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arin\Downloads\"/>
    </mc:Choice>
  </mc:AlternateContent>
  <xr:revisionPtr revIDLastSave="0" documentId="8_{0E3BF29C-7DCC-413D-AEE2-973359F52CF6}" xr6:coauthVersionLast="47" xr6:coauthVersionMax="47" xr10:uidLastSave="{00000000-0000-0000-0000-000000000000}"/>
  <bookViews>
    <workbookView xWindow="-108" yWindow="-108" windowWidth="23256" windowHeight="13896" firstSheet="2" activeTab="2" xr2:uid="{00000000-000D-0000-FFFF-FFFF00000000}"/>
  </bookViews>
  <sheets>
    <sheet name="Datos generales" sheetId="5" r:id="rId1"/>
    <sheet name="Practicas de compensación" sheetId="3" r:id="rId2"/>
    <sheet name="Información por cargo" sheetId="1" r:id="rId3"/>
    <sheet name="Hoja1" sheetId="7" r:id="rId4"/>
    <sheet name="LISTA" sheetId="6" state="hidden" r:id="rId5"/>
    <sheet name="Explicación Tipología y Niveles" sheetId="2" state="hidden" r:id="rId6"/>
    <sheet name="Listas" sheetId="4" state="hidden" r:id="rId7"/>
  </sheets>
  <externalReferences>
    <externalReference r:id="rId8"/>
  </externalReferences>
  <definedNames>
    <definedName name="Autonomia_Lista">[1]!Autonomia[Autonomia]</definedName>
    <definedName name="Categorias_Maximo">'[1]Categorias Configuración'!$C$6</definedName>
    <definedName name="Complejidad_Conceptual_Lista">[1]!Complejidad_Conceptual[Complejidad Conceptual]</definedName>
    <definedName name="Conocimientos_Lista">[1]!Conocimientos[Conocimientos]</definedName>
    <definedName name="Contacto_Lista">[1]!Contacto[Contacto]</definedName>
    <definedName name="Contenido_de_las_Relaciones_Lista">[1]!Contenido_de_las_Relaciones[Contenido de las Relaciones]</definedName>
    <definedName name="Contribución_Individual">Administrativo[Administrativo]</definedName>
    <definedName name="Criticidad_Lista">[1]!Criticidad_Registro[Criticidad]</definedName>
    <definedName name="Datos_Iniciales">'Información por cargo'!$B$5:$Z$84</definedName>
    <definedName name="Destino">INDIRECT('[1]Categorias Configuración'!$F$5)</definedName>
    <definedName name="Docente">Comercial[Comercial]</definedName>
    <definedName name="Formato_Rango_Categorias">[1]Variables!$C$4</definedName>
    <definedName name="Frecuencia_del_Contacto_Lista">[1]!Frecuencia_del_Contacto[Frecuencia del Contacto]</definedName>
    <definedName name="Gerencial">Gerencia[Gerencial]</definedName>
    <definedName name="Guias_de_Apoyo_Lista">[1]!Guias_de_Apoyo[Guias de Apoyo]</definedName>
    <definedName name="Habilidad_Gerencial_Lista">[1]!Habilidad_Gerencial[Habilidad Gerencial]</definedName>
    <definedName name="Impacto_del_Cargo_Lista">[1]!Impacto_del_Cargo[Impacto del cargo]</definedName>
    <definedName name="Magnitud_de_Cifras_Lista">[1]!Magnitud_de_Cifras[Magnitud de Cifras]</definedName>
    <definedName name="Niveles_Lista">[1]!Niveles_Registro[Nivel]</definedName>
    <definedName name="Operativo">Operativos[Operativo]</definedName>
    <definedName name="Piso">'[1]Categorias Configuración'!$C$5</definedName>
    <definedName name="Rol_del_Cargo_Lista">[1]!Rol_del_Cargo[Rol del Cargo]</definedName>
    <definedName name="Semilla">INDIRECT('[1]Categorias Configuración'!$F$4)</definedName>
    <definedName name="Soporte">Soport[Soporte]</definedName>
    <definedName name="Techo">'[1]Categorias Configuración'!$C$4</definedName>
    <definedName name="Técnico">Técnicos[Técnico]</definedName>
    <definedName name="Tendencia_Lista">[1]!Tendencia[Tendencia]</definedName>
  </definedNames>
  <calcPr calcId="191028" calcMode="autoNoTable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  <c r="B7" i="1"/>
  <c r="B9" i="1"/>
  <c r="B6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E64" i="5" l="1"/>
  <c r="E65" i="5" s="1"/>
  <c r="E60" i="5"/>
  <c r="E61" i="5" s="1"/>
  <c r="E55" i="5"/>
  <c r="E56" i="5" s="1"/>
  <c r="E51" i="5"/>
  <c r="E52" i="5" s="1"/>
  <c r="E46" i="5"/>
  <c r="E47" i="5" s="1"/>
  <c r="I35" i="5"/>
  <c r="E35" i="5"/>
  <c r="I34" i="5"/>
  <c r="E34" i="5"/>
  <c r="I33" i="5"/>
  <c r="E33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EQUIPO</author>
  </authors>
  <commentList>
    <comment ref="C43" authorId="0" shapeId="0" xr:uid="{D7FD05D3-D75A-4CF0-A817-6F4364066FE7}">
      <text>
        <r>
          <rPr>
            <b/>
            <sz val="9"/>
            <color indexed="81"/>
            <rFont val="Tahoma"/>
            <family val="2"/>
          </rPr>
          <t>Seres Humanos Realizados:</t>
        </r>
        <r>
          <rPr>
            <sz val="9"/>
            <color indexed="81"/>
            <rFont val="Tahoma"/>
            <family val="2"/>
          </rPr>
          <t xml:space="preserve">
Si aplica, escriba que otro factor ha identificado como influyente en el % de rotación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SHR</author>
    <author>Usuario</author>
    <author>EQUIPO</author>
    <author>57311</author>
    <author>Camilo Salazar Arboleda</author>
  </authors>
  <commentList>
    <comment ref="U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SHR:</t>
        </r>
        <r>
          <rPr>
            <sz val="9"/>
            <color indexed="81"/>
            <rFont val="Tahoma"/>
            <family val="2"/>
          </rPr>
          <t xml:space="preserve">
CS: Constitutivo de salario</t>
        </r>
      </text>
    </comment>
    <comment ref="X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SHR:</t>
        </r>
        <r>
          <rPr>
            <sz val="9"/>
            <color indexed="81"/>
            <rFont val="Tahoma"/>
            <family val="2"/>
          </rPr>
          <t xml:space="preserve">
NCS: No Constitutivo de Salario</t>
        </r>
      </text>
    </comment>
    <comment ref="C5" authorId="1" shapeId="0" xr:uid="{56DFC9FC-1028-4C21-BC7A-EDE5911F4D39}">
      <text>
        <r>
          <rPr>
            <b/>
            <sz val="9"/>
            <color indexed="81"/>
            <rFont val="Tahoma"/>
            <family val="2"/>
          </rPr>
          <t>Seres Humanos Realizados:
(opcional)</t>
        </r>
        <r>
          <rPr>
            <sz val="9"/>
            <color indexed="81"/>
            <rFont val="Tahoma"/>
            <family val="2"/>
          </rPr>
          <t>Este campo se utiliza para agregar un identificador cuando se listan varias personas en un mismo cargo ejm: CC o Nombre</t>
        </r>
      </text>
    </comment>
    <comment ref="M5" authorId="2" shapeId="0" xr:uid="{4AE64A23-46D7-483D-8131-D4AA47C4E97C}">
      <text>
        <r>
          <rPr>
            <b/>
            <sz val="9"/>
            <color indexed="81"/>
            <rFont val="Tahoma"/>
            <family val="2"/>
          </rPr>
          <t>Seres Humanos Realizados:</t>
        </r>
        <r>
          <rPr>
            <sz val="9"/>
            <color indexed="81"/>
            <rFont val="Tahoma"/>
            <family val="2"/>
          </rPr>
          <t xml:space="preserve">
La misión del cargo nos ayudaría a entender mejor el alcance del cargo</t>
        </r>
      </text>
    </comment>
    <comment ref="AF5" authorId="3" shapeId="0" xr:uid="{F40D0ADD-0910-4CCF-ACA1-B027874EF0B5}">
      <text>
        <r>
          <rPr>
            <b/>
            <sz val="9"/>
            <color indexed="81"/>
            <rFont val="Tahoma"/>
            <family val="2"/>
          </rPr>
          <t>57311: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36" authorId="4" shapeId="0" xr:uid="{4A8FB064-E9A6-4ADE-9B63-B74A6960B360}">
      <text>
        <r>
          <rPr>
            <b/>
            <sz val="9"/>
            <color indexed="81"/>
            <rFont val="Tahoma"/>
            <family val="2"/>
          </rPr>
          <t>Camilo Salazar Arboleda:DE operario de envoltura a Auxiliar mejora continua el 25 de abril 2022</t>
        </r>
      </text>
    </comment>
    <comment ref="D58" authorId="4" shapeId="0" xr:uid="{10BA6174-DF4D-4EC4-9B64-A808CB07F66F}">
      <text>
        <r>
          <rPr>
            <b/>
            <sz val="9"/>
            <color indexed="81"/>
            <rFont val="Tahoma"/>
            <family val="2"/>
          </rPr>
          <t>Camilo Salazar Arboleda:</t>
        </r>
        <r>
          <rPr>
            <sz val="9"/>
            <color indexed="81"/>
            <rFont val="Tahoma"/>
            <family val="2"/>
          </rPr>
          <t xml:space="preserve">
De coordinador de ingenieria</t>
        </r>
      </text>
    </comment>
    <comment ref="D64" authorId="4" shapeId="0" xr:uid="{636FD99A-50E1-4EE4-A044-D3FDD188827F}">
      <text>
        <r>
          <rPr>
            <b/>
            <sz val="9"/>
            <color indexed="81"/>
            <rFont val="Tahoma"/>
            <family val="2"/>
          </rPr>
          <t>Camilo Salazar Arboleda:</t>
        </r>
        <r>
          <rPr>
            <sz val="9"/>
            <color indexed="81"/>
            <rFont val="Tahoma"/>
            <family val="2"/>
          </rPr>
          <t xml:space="preserve">
De asistente de innovacion y desarrollo </t>
        </r>
      </text>
    </comment>
  </commentList>
</comments>
</file>

<file path=xl/sharedStrings.xml><?xml version="1.0" encoding="utf-8"?>
<sst xmlns="http://schemas.openxmlformats.org/spreadsheetml/2006/main" count="978" uniqueCount="570">
  <si>
    <t>INFORMACION GENERAL</t>
  </si>
  <si>
    <t>x</t>
  </si>
  <si>
    <t>Fecha de diligenciamiento</t>
  </si>
  <si>
    <t>dd/mm/aaaa</t>
  </si>
  <si>
    <t>Consultor</t>
  </si>
  <si>
    <t>Nombre de la empresa</t>
  </si>
  <si>
    <t>EXTRUSIONES S.A</t>
  </si>
  <si>
    <t>Razón social</t>
  </si>
  <si>
    <t>Nit</t>
  </si>
  <si>
    <t>890931708-1</t>
  </si>
  <si>
    <t>Dirección</t>
  </si>
  <si>
    <t>Calle 25#41-166</t>
  </si>
  <si>
    <t>Teléfono</t>
  </si>
  <si>
    <t>Departamento</t>
  </si>
  <si>
    <t>ANTIOQUIA</t>
  </si>
  <si>
    <t>Ciudad</t>
  </si>
  <si>
    <t>ITAGUI</t>
  </si>
  <si>
    <t>Persona que diligencia el formulario</t>
  </si>
  <si>
    <t>ANDRES ALCARAZ BENITEZ</t>
  </si>
  <si>
    <t>Cargo</t>
  </si>
  <si>
    <t>DIRECTOR DE GESTION HUMANA</t>
  </si>
  <si>
    <t>Telefono del contacto (incluir extensión si es necesario)</t>
  </si>
  <si>
    <t>Email</t>
  </si>
  <si>
    <t>aalcaraz@extrusiones.com.co</t>
  </si>
  <si>
    <t>Sector económico de la compañía</t>
  </si>
  <si>
    <t>INDUSTRIA Y MANUFACTURA</t>
  </si>
  <si>
    <t>Actividad Económica</t>
  </si>
  <si>
    <t>FABRICACION Y COMERCIALIZACION DE PRODUCTOS DE CAUCHO Y PLASTICO</t>
  </si>
  <si>
    <t>Tipo De Empresa (Privada, Publica, Mixta)</t>
  </si>
  <si>
    <t>Principales Productos/Servicios De La Compañía</t>
  </si>
  <si>
    <t>PRODUCTOS DE CAUCHO Y PLASTICO</t>
  </si>
  <si>
    <t>¿Qué los motivó a participar en el estudio?</t>
  </si>
  <si>
    <t>CONOCER LA COMPETITIVIDAD EXTERNA Y EQUIDAD INTERNA</t>
  </si>
  <si>
    <t>¿Cuántas personas se encuentran contratadas actualmente en la compañía?</t>
  </si>
  <si>
    <t>Empleados con Modalidad de Trabajo Presencial</t>
  </si>
  <si>
    <t>¿Cuáles son los tipos de contratos de las personas contratadas?</t>
  </si>
  <si>
    <t>INDEFINIDO</t>
  </si>
  <si>
    <t>Empleados con Modalidad de Teletrabajo</t>
  </si>
  <si>
    <t>¿Cómo se distribuyen los tipos de contratos de las personas contratadas</t>
  </si>
  <si>
    <t>Por lo general se contrata termino indefinido, excepto los operarios de produccion de la planta</t>
  </si>
  <si>
    <t>Empleados con Modalidad de Trabajo Mixta</t>
  </si>
  <si>
    <t>Relacion Obrero Patronal (Marque Con Una X, El Tipo De Relacion Y A Quienes Involucra)</t>
  </si>
  <si>
    <t>Tipo de Relacion</t>
  </si>
  <si>
    <t>Todos</t>
  </si>
  <si>
    <t>Administrativa</t>
  </si>
  <si>
    <t>Operativa</t>
  </si>
  <si>
    <t>Convención Colectiva</t>
  </si>
  <si>
    <t>Niveles involucrados</t>
  </si>
  <si>
    <t>Pacto Colectivo</t>
  </si>
  <si>
    <t>Politicas de la compañía</t>
  </si>
  <si>
    <t xml:space="preserve">Rotación </t>
  </si>
  <si>
    <t>Administrativos</t>
  </si>
  <si>
    <t>Supervisores/Operarios/Vendededores</t>
  </si>
  <si>
    <t>Total</t>
  </si>
  <si>
    <t xml:space="preserve">Accidentalidad </t>
  </si>
  <si>
    <t>Personas que Ingresaron en los ultimos 12 meses</t>
  </si>
  <si>
    <t>No. De Accidentes en los ultimos 12 meses</t>
  </si>
  <si>
    <t>Personas con Retiros Voluntarios en los ultimos 12 meses</t>
  </si>
  <si>
    <t>Días de Incapacidad en los ultimos 12 meses</t>
  </si>
  <si>
    <t>Personas Retiradas por la Compañía en los ultimos 12 meses</t>
  </si>
  <si>
    <t>Días de Ausentismo en los ultimos 12 meses</t>
  </si>
  <si>
    <t>¿Qué factores han identificado como influyentes en el % de rotación dentro de la compañía?</t>
  </si>
  <si>
    <t>Seleccione</t>
  </si>
  <si>
    <t>Salarios más altos</t>
  </si>
  <si>
    <t xml:space="preserve">Mayores beneficios </t>
  </si>
  <si>
    <t>Horarios</t>
  </si>
  <si>
    <t>Oportunidades de crecimiento profesional</t>
  </si>
  <si>
    <t>Tipo de contratación</t>
  </si>
  <si>
    <t>Otro</t>
  </si>
  <si>
    <t>Ventas Sector Real (Millones De Pesos)</t>
  </si>
  <si>
    <t>Año</t>
  </si>
  <si>
    <t xml:space="preserve">V. Reales </t>
  </si>
  <si>
    <t xml:space="preserve">V. Presupuestadas </t>
  </si>
  <si>
    <t>Sector Financiero</t>
  </si>
  <si>
    <t>Volumen de Captaciones (Millones De Pesos)</t>
  </si>
  <si>
    <t>Captaciones reales</t>
  </si>
  <si>
    <t>Captaciones Presupuestadas</t>
  </si>
  <si>
    <t>Volumen de Colocaciones (Millones De Pesos)</t>
  </si>
  <si>
    <t>Colocaciones reales</t>
  </si>
  <si>
    <t>Colocaciones Presupuestadas</t>
  </si>
  <si>
    <t>Ingresos (Millones De Pesos)</t>
  </si>
  <si>
    <t>Ingresos reales</t>
  </si>
  <si>
    <t>Ingresos presupuestados</t>
  </si>
  <si>
    <t>Excedentes (Millones De Pesos)</t>
  </si>
  <si>
    <t>Excedentes reales</t>
  </si>
  <si>
    <t>Excedentes presupuestados</t>
  </si>
  <si>
    <t>Marque las casillas que correspondan</t>
  </si>
  <si>
    <t>Sí / No</t>
  </si>
  <si>
    <t>Observaciones</t>
  </si>
  <si>
    <t>¿La organización cuenta con una estructura salarial para la administración de la compensación?</t>
  </si>
  <si>
    <t>SI</t>
  </si>
  <si>
    <t>Si cuenta con una estructura salaraial ¿Cuándo fue la última vez que se actualizó la estructura salarial?</t>
  </si>
  <si>
    <t>¿Cuál metodología de valoración de cargos utiliza actualmente?</t>
  </si>
  <si>
    <t>Por puntos</t>
  </si>
  <si>
    <t>¿Tienen definido un sistema de bonos anuales por resultados?</t>
  </si>
  <si>
    <t>Bono de navidad, para todo el personal</t>
  </si>
  <si>
    <t>Si tiene  ¿para qué cargos aplica un sistema de bonos anuales por resultados?</t>
  </si>
  <si>
    <t xml:space="preserve">Todo el personal, sin discriminacion d ecargos </t>
  </si>
  <si>
    <t>¿Tienen pagos por comisiones y/o bonificaciones de corto plazo (mensual,trimestral, semestral)?</t>
  </si>
  <si>
    <t>Si tiene  ¿para que cargos aplica se aplican pagos por comisiones y/o bonificaciones a corto plazo?</t>
  </si>
  <si>
    <t>Lideres y directores comerciales</t>
  </si>
  <si>
    <t>¿Tienen implementado un modelo de compensación flexible o desalarización?</t>
  </si>
  <si>
    <t xml:space="preserve">No </t>
  </si>
  <si>
    <t>¿Para que cargos un modelo de compensación flexible o desalarización?</t>
  </si>
  <si>
    <t>N/A</t>
  </si>
  <si>
    <t xml:space="preserve">¿Qué pagos extralegales tiene su organización? </t>
  </si>
  <si>
    <t xml:space="preserve"> ¿En qué mes o meses se paga? marque la casilla que corresponda</t>
  </si>
  <si>
    <t>Nombre de la prima extralegal</t>
  </si>
  <si>
    <t>A cuantos días de salario equivale</t>
  </si>
  <si>
    <t>¿Es constitutivo de salario?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</si>
  <si>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</si>
  <si>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</si>
  <si>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</si>
  <si>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</si>
  <si>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</si>
  <si>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</si>
  <si>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</si>
  <si>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</si>
  <si>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</si>
  <si>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</si>
  <si>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</si>
  <si>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</si>
  <si>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Junio</t>
  </si>
  <si>
    <t>Diciembre / Navidad</t>
  </si>
  <si>
    <t>NO</t>
  </si>
  <si>
    <t>X</t>
  </si>
  <si>
    <t>Vacaciones</t>
  </si>
  <si>
    <t>Otro pago extralegal</t>
  </si>
  <si>
    <t>Otro pago extralegal (indique el nombre)</t>
  </si>
  <si>
    <t>Plan Complementario</t>
  </si>
  <si>
    <t>Indique cuales son los otros pagos extralegales que tienen en su organización</t>
  </si>
  <si>
    <t>Auxilio de Parqueadero</t>
  </si>
  <si>
    <t xml:space="preserve"> ¿Qué beneficio tiene su organización? Marque la casilla que corresponda  </t>
  </si>
  <si>
    <t>% Asumido por la compañía</t>
  </si>
  <si>
    <t>Costo individual para la compañía</t>
  </si>
  <si>
    <t>Seguro de Vida</t>
  </si>
  <si>
    <t>Auxilio Optico</t>
  </si>
  <si>
    <t>Auxilio Educativos para el empleado</t>
  </si>
  <si>
    <t xml:space="preserve">Auxilios Educativos </t>
  </si>
  <si>
    <t>Auxilios para vehiculo</t>
  </si>
  <si>
    <t>Medicina Prepagada</t>
  </si>
  <si>
    <t>Auxilio de Alimentación (En Restaurante de la compañía, en efectivo, etc)</t>
  </si>
  <si>
    <t>Auxilio de Gimnasio</t>
  </si>
  <si>
    <t>Indique qué otros beneficios tienen en su organización</t>
  </si>
  <si>
    <t>Consultas de accompañamiento psicologico, celebracion de quinquenios (se entrega un porcentade de un salario minimo, partiendo de un 25%, y va incrementando de acuerdo con antigüedad), medio dia por graduación, licencia de 2 días por matrimonio, aguinaldo de navidad, modalidad de trabajo hibrida (para personal adminisitrativo), mas dias de vacaciones (no se cuentan los sabados), horarios flexibles, 3 horas libres para padres, cuando su hijo ingresa por primera vez a la escuela, feria de emprendimiento, un cafe con gerencias y/o gestion humana, un invitado especial a la planta de produccion.</t>
  </si>
  <si>
    <t>Marque la casilla que corresponda                                   ¿Qué prácticas de salario emocional existen en su organización?</t>
  </si>
  <si>
    <t>Salida más temprano los viernes</t>
  </si>
  <si>
    <t>Jornada laboral más corta a la legal</t>
  </si>
  <si>
    <t>Zonas de café (café gratuito)</t>
  </si>
  <si>
    <t>Zonas de juegos en la sede</t>
  </si>
  <si>
    <t>Zonas para descanso durante la jornada laboral</t>
  </si>
  <si>
    <t>Día o tarde libre de cumpleaños</t>
  </si>
  <si>
    <t>Tiempo libre remunerado para vueltas personales</t>
  </si>
  <si>
    <t>Indique qué otras prácticas de salario emocional tienen en su organización</t>
  </si>
  <si>
    <t>INCREMENTO SALARIAL</t>
  </si>
  <si>
    <t>Incrementos Salariales</t>
  </si>
  <si>
    <t>Mes en el que se realiza el incremento</t>
  </si>
  <si>
    <t>Periodicidad (Seleccione)</t>
  </si>
  <si>
    <t>Incremento Real de este año (%)</t>
  </si>
  <si>
    <t>Incremento Proyectado año siguiente (%)</t>
  </si>
  <si>
    <t>Anual</t>
  </si>
  <si>
    <t>Semestral</t>
  </si>
  <si>
    <t>Otro (cual)</t>
  </si>
  <si>
    <t>Salario Integral</t>
  </si>
  <si>
    <t>Salario Ordinario</t>
  </si>
  <si>
    <t>Ejecutivo</t>
  </si>
  <si>
    <t>Febrero</t>
  </si>
  <si>
    <t>Gerencia Alta</t>
  </si>
  <si>
    <t>Gerencia Media</t>
  </si>
  <si>
    <t>Táctico</t>
  </si>
  <si>
    <t>Soporte</t>
  </si>
  <si>
    <t>Operativo</t>
  </si>
  <si>
    <t>Variables que se tienen en cuenta para los incrementos salariales (Seleccione)</t>
  </si>
  <si>
    <t>Inflación</t>
  </si>
  <si>
    <t>Mercado</t>
  </si>
  <si>
    <t>Mérito</t>
  </si>
  <si>
    <t>Otras ¿Cuales?</t>
  </si>
  <si>
    <t>Nivelaciones Y Promociones</t>
  </si>
  <si>
    <t>¿Cada cuánto se hacen nivelaciones de salarios (distintas al incremento general anual)?</t>
  </si>
  <si>
    <t>Trimestral</t>
  </si>
  <si>
    <t xml:space="preserve">De cuerdo con las revisiones por egstiones que se hacen a lo largo del año, esto puede ocurrir en cualquier momento. </t>
  </si>
  <si>
    <t>¿Utiliza evaluación de desempeño como herramienta de apoyo para realizar los incrementos salariales y/o nivelaciones salariales?</t>
  </si>
  <si>
    <t xml:space="preserve">Qué % del incremento general esta asociado al desempeño? </t>
  </si>
  <si>
    <t>Califique de 1 a 5 los siguientes objetivos primarios para tener un programa de Compensación Variable.
Teniendo en cuenta que 1 es baja importancia y 5 es Muy Importante</t>
  </si>
  <si>
    <t>Objetivo</t>
  </si>
  <si>
    <t>Calificación</t>
  </si>
  <si>
    <t>Mejorar el desempeño financiero de la Organización</t>
  </si>
  <si>
    <t>Crear una Compensación Total más competitiva frente al mercado de referencia</t>
  </si>
  <si>
    <t>Mejorar los desempeños individuales y la productividad</t>
  </si>
  <si>
    <t>Incrementar la productividad de forma global</t>
  </si>
  <si>
    <t>Mejorar el reconocimiento a la contribución de los empleados</t>
  </si>
  <si>
    <t>Promover el sentido de pertenencia</t>
  </si>
  <si>
    <t>Optimizar la gestión de los costos laborales</t>
  </si>
  <si>
    <t>Promover la participación de los empleados</t>
  </si>
  <si>
    <t>Soportar el cambio de cultura</t>
  </si>
  <si>
    <t>Reducir la rotación de personal</t>
  </si>
  <si>
    <t>Cambie los nombres las columnas o ingrese más columnas si lo considera necesario</t>
  </si>
  <si>
    <t>Días a los que corresponde</t>
  </si>
  <si>
    <t>Ej: Logística, Área Desarrollo</t>
  </si>
  <si>
    <t>Intregral o Ordinario</t>
  </si>
  <si>
    <t>Si el cargo es Tiempo Completo indique, 230, si el cargo es Medio Tiempo Indique 115 u otra variación si es necesario</t>
  </si>
  <si>
    <t>Riesgo I: 0,522%
Riesgo II: 1,044%
Riesgo III: 2,436%
Riesgo IV: 4,350%
Riesgo V: 6,96%</t>
  </si>
  <si>
    <t>COMISIONES</t>
  </si>
  <si>
    <r>
      <t xml:space="preserve">OTROS INGRESOS MENSUALES </t>
    </r>
    <r>
      <rPr>
        <b/>
        <u/>
        <sz val="12"/>
        <color theme="0"/>
        <rFont val="Calibri"/>
        <family val="2"/>
        <scheme val="minor"/>
      </rPr>
      <t>CONSTITUTIVOS DE SALARIO</t>
    </r>
  </si>
  <si>
    <r>
      <t xml:space="preserve">OTROS INGRESOS MENSUALES                                   </t>
    </r>
    <r>
      <rPr>
        <b/>
        <u/>
        <sz val="12"/>
        <color theme="0"/>
        <rFont val="Calibri"/>
        <family val="2"/>
        <scheme val="minor"/>
      </rPr>
      <t>NO CONSTITUTIVOS DE SALARIO</t>
    </r>
  </si>
  <si>
    <t>BONIFICACIONES  ANUALES</t>
  </si>
  <si>
    <t xml:space="preserve"> OTRAS BONIFICACIONES </t>
  </si>
  <si>
    <r>
      <t xml:space="preserve">BENEFICIOS </t>
    </r>
    <r>
      <rPr>
        <b/>
        <u/>
        <sz val="12"/>
        <color theme="0"/>
        <rFont val="Calibri"/>
        <family val="2"/>
        <scheme val="minor"/>
      </rPr>
      <t>CONSTITUTIVOS DE SALARIO</t>
    </r>
    <r>
      <rPr>
        <b/>
        <sz val="12"/>
        <color theme="0"/>
        <rFont val="Calibri"/>
        <family val="2"/>
        <scheme val="minor"/>
      </rPr>
      <t xml:space="preserve">  (VALOR MENSUAL)</t>
    </r>
  </si>
  <si>
    <r>
      <t xml:space="preserve">BENEFICIOS </t>
    </r>
    <r>
      <rPr>
        <b/>
        <u/>
        <sz val="12"/>
        <color theme="0"/>
        <rFont val="Calibri"/>
        <family val="2"/>
        <scheme val="minor"/>
      </rPr>
      <t>NO CONSTITUTIVOS DE SALARIO</t>
    </r>
    <r>
      <rPr>
        <b/>
        <sz val="12"/>
        <color theme="0"/>
        <rFont val="Calibri"/>
        <family val="2"/>
        <scheme val="minor"/>
      </rPr>
      <t xml:space="preserve">  (VALOR MENSUAL)</t>
    </r>
  </si>
  <si>
    <r>
      <t xml:space="preserve">EXTRALEGALES </t>
    </r>
    <r>
      <rPr>
        <b/>
        <u/>
        <sz val="12"/>
        <color theme="0"/>
        <rFont val="Calibri"/>
        <family val="2"/>
        <scheme val="minor"/>
      </rPr>
      <t>CONSTITUTIVOS DE SALARIO</t>
    </r>
  </si>
  <si>
    <r>
      <t xml:space="preserve">EXTRALEGALES </t>
    </r>
    <r>
      <rPr>
        <b/>
        <u/>
        <sz val="12"/>
        <color theme="0"/>
        <rFont val="Calibri"/>
        <family val="2"/>
        <scheme val="minor"/>
      </rPr>
      <t>NO CONSTITUTIVOS DE SALARIO</t>
    </r>
  </si>
  <si>
    <t>#</t>
  </si>
  <si>
    <t>ID</t>
  </si>
  <si>
    <t>Nombre del Cargo</t>
  </si>
  <si>
    <t>Número de personas que ocupan el cargo</t>
  </si>
  <si>
    <t>¿Tiene impacto directo en ingresos/egresos?
(SI / NO)</t>
  </si>
  <si>
    <t>¿Responsables de Ingresos o Egresos?</t>
  </si>
  <si>
    <t>Monto anual por el que tienen impacto directo</t>
  </si>
  <si>
    <t>Tipo de contrato</t>
  </si>
  <si>
    <t>Modalidad de trabajo (presencial, hibrido, remoto)</t>
  </si>
  <si>
    <t>Cargo del jefe inmediato</t>
  </si>
  <si>
    <t>Área</t>
  </si>
  <si>
    <t>Descripción del cargo</t>
  </si>
  <si>
    <t>Pacto / Convención</t>
  </si>
  <si>
    <t>Tipo de Salario</t>
  </si>
  <si>
    <t>Horas al mes</t>
  </si>
  <si>
    <t>Porcentaje de ARL</t>
  </si>
  <si>
    <t>Básico</t>
  </si>
  <si>
    <t>Valor por cumplimiento al 100%</t>
  </si>
  <si>
    <t>Real pagado (PROMEDIO MENSUAL)</t>
  </si>
  <si>
    <t>Concepto 2</t>
  </si>
  <si>
    <t>Concepto 3</t>
  </si>
  <si>
    <t>Concepto 5</t>
  </si>
  <si>
    <t>Concepto 6</t>
  </si>
  <si>
    <t>Concepto 7</t>
  </si>
  <si>
    <t>Concepto 8</t>
  </si>
  <si>
    <t>Valor por cumplimiento al 100%.</t>
  </si>
  <si>
    <t>REAL PAGADO ULTIMO AÑO (historico)</t>
  </si>
  <si>
    <t>Bono Trimestral</t>
  </si>
  <si>
    <t xml:space="preserve">Bono por antigüedad </t>
  </si>
  <si>
    <t>Columna16</t>
  </si>
  <si>
    <t>Concepto 1</t>
  </si>
  <si>
    <t>Concepto2</t>
  </si>
  <si>
    <t>Concepto3</t>
  </si>
  <si>
    <t xml:space="preserve">Concepto1 </t>
  </si>
  <si>
    <t xml:space="preserve">Concepto2 </t>
  </si>
  <si>
    <t xml:space="preserve">Concepto3 </t>
  </si>
  <si>
    <t xml:space="preserve">Concepto4 </t>
  </si>
  <si>
    <t>Prima Extralegal de Navidad</t>
  </si>
  <si>
    <t>Prima Extralegal de Vacaciones</t>
  </si>
  <si>
    <t>Columna10</t>
  </si>
  <si>
    <t>Columna11</t>
  </si>
  <si>
    <t>Prima Extralegal de Navidad2</t>
  </si>
  <si>
    <t>Prima Extralegal de Vacaciones2</t>
  </si>
  <si>
    <t>Columna124</t>
  </si>
  <si>
    <t>GERENCIA COMERCIAL Y MERCADEO</t>
  </si>
  <si>
    <t>EGRESOS</t>
  </si>
  <si>
    <t>70 MM</t>
  </si>
  <si>
    <t>Hibrido</t>
  </si>
  <si>
    <t>GERENCIA DE OPERACIONES</t>
  </si>
  <si>
    <t>INGRESOS</t>
  </si>
  <si>
    <t>40 MM</t>
  </si>
  <si>
    <t>GERENTE GENERAL</t>
  </si>
  <si>
    <t>INGRESOS Y EGRESOS</t>
  </si>
  <si>
    <t>110 MM</t>
  </si>
  <si>
    <t>COORDINADOR DE PRODUCCION</t>
  </si>
  <si>
    <t>11-500 M</t>
  </si>
  <si>
    <t>Contrato a Término Indefinido</t>
  </si>
  <si>
    <t>Presencial</t>
  </si>
  <si>
    <t xml:space="preserve">Director de producción </t>
  </si>
  <si>
    <t xml:space="preserve">Producción </t>
  </si>
  <si>
    <t>Garantizar la gestión, planeación, ejecución, dirección y control de la producción de la empresa para atender la demanda de los productos y la disponibilidad de operación permanente de maquinaria y equipos siempre manteniendo excelentes relaciones interpersonales.</t>
  </si>
  <si>
    <t xml:space="preserve">Ordinario </t>
  </si>
  <si>
    <t>ANALISTA COTIZACIONES DISEÑO Y DESARROLLO</t>
  </si>
  <si>
    <t>Directora de diseño y desarrollo</t>
  </si>
  <si>
    <t>Diseño y desarrollo</t>
  </si>
  <si>
    <t xml:space="preserve">Realizar las cotizaciones y referencias de productos nuevos y actuales en caucho y termoplástico. </t>
  </si>
  <si>
    <t>ANALISTA DE COMERCIO EXTERIOR</t>
  </si>
  <si>
    <t xml:space="preserve">Coordinadora de Comercio exterior </t>
  </si>
  <si>
    <t xml:space="preserve">Logistica </t>
  </si>
  <si>
    <t>Apoyar todas las actividades operativas de Comercio Exterior 
de la Organización.</t>
  </si>
  <si>
    <t xml:space="preserve">COORDINADOR DE INGENIERIA </t>
  </si>
  <si>
    <t xml:space="preserve">29752 - 59502 MM  </t>
  </si>
  <si>
    <t xml:space="preserve">Director Senior de ingenieria </t>
  </si>
  <si>
    <t xml:space="preserve">Ingenieria </t>
  </si>
  <si>
    <t>Garantizar el desarrollo de nuevos productos solicitados por los clientes internos o externos en los tiempos estipulados y cumpliendo todas las especificaciones solicitadas, o mejoras al interior con el fin de asegurar que el diseño de los productos actuales esté constantemente vigentes en calidad, costo y desempeño.</t>
  </si>
  <si>
    <t>372 M</t>
  </si>
  <si>
    <t xml:space="preserve">Gerente General </t>
  </si>
  <si>
    <t xml:space="preserve">Gerencia general </t>
  </si>
  <si>
    <t>Gestionar la transformación de las personas en su paso por la organización, generando una "Experiencia Memorable" personal y profesional, buscando mejorar sus competencias y obteniendo de ellas un desempeño superior, generando a su vez Cultura y Liderazgo dentro de la organización.</t>
  </si>
  <si>
    <t>DIRECTOR DE MATERIALES</t>
  </si>
  <si>
    <t xml:space="preserve">932 - 1859 MM </t>
  </si>
  <si>
    <t xml:space="preserve">Gerente de operaciones </t>
  </si>
  <si>
    <t xml:space="preserve">Materiales </t>
  </si>
  <si>
    <t>Asegurar la viabilidad técnica y económica de los nuevos compuestos y materias primas de la compañía por medio de la planeación, ejecución y control de actividades de investigación y pruebas de laboratorio, realizando seguimiento desde pruebas piloto hasta proceso industrial.</t>
  </si>
  <si>
    <t>DIRECTOR DE LOGISTICA</t>
  </si>
  <si>
    <t xml:space="preserve">3720 - 7435 MM </t>
  </si>
  <si>
    <t>Asegurar un proceso integrado en toda la cadena de suministro para la Empresa, respecto del abastecimiento de insumos y materiales necesarios para la producción (siendo este abastecimiento procedente tanto de proveedores nacionales como internacionales) generando competitividad a la Compañía e implementando modelos de compras y trabajo colaborativo con los proveedores; el almacenamiento de producto terminado, insumos y materias primas y la posterior distribución a nivel nacional e internacional, manteniendo una cadena de distribución orientada al cliente. Todo esto en procura de generar continuamente valor a todos los grupos de interés (stakeholders) de la Organización.</t>
  </si>
  <si>
    <t>DIRECTOR DE CENTRO DE TRANSFORMACION</t>
  </si>
  <si>
    <t>Taller</t>
  </si>
  <si>
    <t xml:space="preserve">Direccionar el talento humano y técnico del Centro de construcción de herramentales, asegurando el cumplimiento de la programación y fabricación de herramentales según los parámetros y procedimientos establecidos en la gestión de operaciones; apoyar en la Fabricación de los nuevos herramentales, dispositivos y elementos de maquinaria, según información suministrada por personal I&amp;D e Ingería. Garantizando el buen ambiente laboral y las condiciones apropiadas para que los colaboradores ejecuten sus funciones de forma eficiente y eficaz </t>
  </si>
  <si>
    <t>PROGRAMADOR DE PRODUCCION</t>
  </si>
  <si>
    <t>11 - 500 M</t>
  </si>
  <si>
    <t>Optimizar la planeación de la planta en cantidad, calidad y tiempo, teniendo siempre como misión la satisfacción del cliente, y el aprovechamiento máximo de los recursos.</t>
  </si>
  <si>
    <t>COORDINADOR DE DISEÑO Y DESARROLLO</t>
  </si>
  <si>
    <t>501 - 931 M</t>
  </si>
  <si>
    <t xml:space="preserve">Diseño y desarrollo </t>
  </si>
  <si>
    <t>Garantizar el desarrollo de nuevos productos solicitados por los clientes internos o externos en los tiempos estipulados y cumpliendo todas las especificaciones solicitadas, o mejoras al interior con el fin de asegurar que el diseño de los productos actuales esté constantemente vigente en calidad, costo y desempeño.</t>
  </si>
  <si>
    <t>ANALISTA DE SERVICIOS</t>
  </si>
  <si>
    <t xml:space="preserve">Coordinadora de servicio al cliente </t>
  </si>
  <si>
    <t xml:space="preserve">Comercial </t>
  </si>
  <si>
    <t>Respaldar la gestión integral de cotizaciones, muestras a los lideres y apoyo administrativo al mercado internacional</t>
  </si>
  <si>
    <t>AUXILIAR DE DISEÑO Y COMUNICACIONES EN MERCADEO</t>
  </si>
  <si>
    <t xml:space="preserve">Coordinadora de Mercadeo </t>
  </si>
  <si>
    <t xml:space="preserve">Mercadeo </t>
  </si>
  <si>
    <t xml:space="preserve">Apoyar la estrategia de comunicación ante el mercado, de y para el cliente interno y externo, soportado en la administración y ejecución del proceso de comunicación e imagen definido, generando respuesta proactiva, efectiva y oportuna a los requerimientos solicitados. </t>
  </si>
  <si>
    <t>INGENIERO DE DATOS</t>
  </si>
  <si>
    <t xml:space="preserve">0 - 1 M </t>
  </si>
  <si>
    <t>Director de TIC</t>
  </si>
  <si>
    <t>TIC</t>
  </si>
  <si>
    <t>Implementar métodos que mejoren la confiablidad y la calidad de los datos y convertirlos en conjuntos de información fácil de analizar y que estén alineados con los objetivos estratégicos de la compañía.</t>
  </si>
  <si>
    <t>COORDINADORA DE COMERCIO EXTERIOR</t>
  </si>
  <si>
    <t xml:space="preserve">7436 - 14875 MM </t>
  </si>
  <si>
    <t xml:space="preserve">Director de Logistica </t>
  </si>
  <si>
    <t>Coordinar integralmente todas las operaciones de Comercio Exterior de la Organización.</t>
  </si>
  <si>
    <t>ANALISTA DE MERCADEO</t>
  </si>
  <si>
    <t>Diseñar, dirigir y controlar las actividades y políticas de mercadeo que aseguren el crecimiento de las ventas, la sostenibilidad y el posicionamiento de marca.</t>
  </si>
  <si>
    <t>ANALISTA DE SEGURIDAD Y SALUD EN EL TRABAJO</t>
  </si>
  <si>
    <t xml:space="preserve">Coordinadora de seguridad y salud en el trabajo </t>
  </si>
  <si>
    <t>SST</t>
  </si>
  <si>
    <t>Diseñar, administrar y ejecutar todos los mecanismos necesarios para que el sistema SST sea operativo y se logren los objetivos y metas propuestas, contribuyendo al proceso de transformación cultural que permita identificar la seguridad como un valor vital de la organización, motivando el cambio de comportamientos y actitudes.</t>
  </si>
  <si>
    <t>ANALISTA DE MATRICERIA CNC</t>
  </si>
  <si>
    <t>Director de Taller</t>
  </si>
  <si>
    <t>Fabricar nuevos herramentales, dispositivos y elementos de maquinaria, según información suministrada por personal de la gestión. Programar y operar el centro de mecanizado según necesidades direccionadas en la gestión.</t>
  </si>
  <si>
    <t>ANALISTA DE CONTABILIDAD</t>
  </si>
  <si>
    <t xml:space="preserve">Coordinadora contable </t>
  </si>
  <si>
    <t>Contabilidad</t>
  </si>
  <si>
    <t>Apoyar a la gestión financiera en el proceso de tesorería garantizando una adecuada administración de los recursos que posee la empresa, velando por la seguridad, oportunidad y confiabilidad de la información, así como las obligaciones derivadas de la cuenta de compensación.</t>
  </si>
  <si>
    <t>AUXILIAR DE CEDI</t>
  </si>
  <si>
    <t xml:space="preserve">Director logistico </t>
  </si>
  <si>
    <t>Garantizar el adecuado control en los diferentes procesos   de inventarios, separación de pedidos, despachos y traslados entre las diferentes bodegas garantizando trazabilidad e información confiable.</t>
  </si>
  <si>
    <t>ANALISTA SOPORTE TIC</t>
  </si>
  <si>
    <t>Coordinador TIC</t>
  </si>
  <si>
    <t xml:space="preserve">Apoyar la correcta gestión de la infraestructura de Hardware y software de las TIC, con el cumplimiento de las normas legales y las establecidas por la compañía, de tal forma que permitan su disponibilidad permanente.  </t>
  </si>
  <si>
    <t>ANALISTA ADMINISTRATIVA Y CONTABLE</t>
  </si>
  <si>
    <t xml:space="preserve">Directora administrativa y contable </t>
  </si>
  <si>
    <t>Fedextru</t>
  </si>
  <si>
    <t>Brindar apoyo en las tareas administrativas y contables, contribuyendo a la eficiencia y eficacia de FEDEXTRU.</t>
  </si>
  <si>
    <t>ADMINISTRADOR FEDEXTRU</t>
  </si>
  <si>
    <t>Administrar, gestionar y proteger los recursos del fondo de empleados, buscando prestar el mejor servicio a los asociados y maximizar los resultados del fondo.</t>
  </si>
  <si>
    <t>ANALISTA CALIDAD</t>
  </si>
  <si>
    <t xml:space="preserve">Jefe de calidad </t>
  </si>
  <si>
    <t xml:space="preserve">Calidad </t>
  </si>
  <si>
    <t>Planificar, coordinar y gestionar actividades encaminadas a garantizar el cumplimiento de las especificaciones del cliente y su funcionalidad.</t>
  </si>
  <si>
    <t>ANALISTA ADMINISTRATIVA DE DISEÑO Y DESARROLLO</t>
  </si>
  <si>
    <t>Garantizar el cumplimiento de los requisitos del numeral 8.3 de la norma ISO 9001:2015, de Diseño y Desarrollos productos nuevos y modificados, mediante el Manejo, seguimiento y actualización de la información dentro de la gestión</t>
  </si>
  <si>
    <t>ANALISTA DE COSTOS</t>
  </si>
  <si>
    <t xml:space="preserve">Director de costos </t>
  </si>
  <si>
    <t xml:space="preserve">Costos </t>
  </si>
  <si>
    <t>Llevar a cabo actividades que contribuyan a la planeación, ejecución, auditoria, control y seguimiento a la asignación de los costos, logrando aportar información útil y pertinente para la toma de decisiones.</t>
  </si>
  <si>
    <t>ANALISTA DE DE COMPRAS</t>
  </si>
  <si>
    <t xml:space="preserve">Jefe de compras </t>
  </si>
  <si>
    <t xml:space="preserve">Garantizar y apoyar que el proceso de compras se realice de acuerdo con los procedimientos administrativos del área. </t>
  </si>
  <si>
    <t>ANALISTA DE NOMINA</t>
  </si>
  <si>
    <t xml:space="preserve">Directora contable </t>
  </si>
  <si>
    <t>Responsable de realizar y gestionar  de manera correcta y oportuna los procesos de liquidación de nómina y seguridad social; garantizando el cumplimiento normativo, así como la gestión eficiente de novedades laborales de los colaboradores</t>
  </si>
  <si>
    <t>ANALISTA DE MEJORA CONTINUA</t>
  </si>
  <si>
    <t>Jefe de mejora continua</t>
  </si>
  <si>
    <t>Mejora continua</t>
  </si>
  <si>
    <t xml:space="preserve">Estandarizar los recursos operativos asociados a la manufactura de los diferentes productos. También, Identificar, documentar y alertar sobre oportunidades de mejora en todos los procesos productivos. </t>
  </si>
  <si>
    <t>ANALISTA DE GESTION HUMANA</t>
  </si>
  <si>
    <t xml:space="preserve">Director de gestión humana </t>
  </si>
  <si>
    <t xml:space="preserve">Gestión Humana </t>
  </si>
  <si>
    <t xml:space="preserve">Responsable de realizar y gestionar de manera correcta y oportuna los procesos de contratación, y seguridad social; garantizando el cumplimiento normativo, así como la gestión eficiente de novedades laborales y la organización y actualización del archivo físico y digital de los colaboradores.
</t>
  </si>
  <si>
    <t>ANALISTA DOCUMENTAL DE INGENIERIA</t>
  </si>
  <si>
    <t xml:space="preserve">Realizar apoyo en la programación, control y diligenciamiento de ordenes de herramental, así como en el control de las bodegas asociadas a los herramentales y materiales para el consumo de I&amp;D </t>
  </si>
  <si>
    <t>ANALISTA TECNICO PROYECTOS ALIADOS</t>
  </si>
  <si>
    <t xml:space="preserve">Jefe de proyectos aliados </t>
  </si>
  <si>
    <t xml:space="preserve">Apoyar las diferentes actividades documentales, modelado en CAD y gestión en el sistema ERP, las actividades referentes a cotizaciones y desarrollos en procesos de tercerización </t>
  </si>
  <si>
    <t>ANALISTA DE LABORATORIO</t>
  </si>
  <si>
    <t>Coordinador de laboratorio</t>
  </si>
  <si>
    <t>Laboratorio</t>
  </si>
  <si>
    <t>Realizar las inspecciones, controles y aseguramiento de Calidad a los Productos semielaborados (pastas) y materias primas garantizando el cumplimiento de los requisitos establecidos en el sistema de información, en las normatividades exigidas por los clientes y en las definidas por los protocolos del laboratorio de inspección y ensayo.</t>
  </si>
  <si>
    <t>ANALISTA DE TERCERIZADOS</t>
  </si>
  <si>
    <t>Compras</t>
  </si>
  <si>
    <t>ANALISTA OPERATIVO DESARROLLO</t>
  </si>
  <si>
    <t>Apoyar a los Coordinadores de Diseño y Desarrollo con los ensayos en planta, generación de documentos requeridos para los ensayos, almacenamiento y validación de pruebas de envoltura y el cierre de las órdenes de ensayo.</t>
  </si>
  <si>
    <t>ANALISTA DE TECNOLOGÍAS DE LA INFORMACIÓN</t>
  </si>
  <si>
    <t>Apoyar el correcto funcionamiento de los sistemas de información TIC con el cumplimiento de las normas legales y estipuladas en la compañía, de tal forma que permitan su disponibilidad permanente y el soporte a los usuarios para su correcta utilización y manejo.</t>
  </si>
  <si>
    <t>AUXILIAR ADMINISTRATIVA CEDI</t>
  </si>
  <si>
    <t>Coordinador CEDI</t>
  </si>
  <si>
    <t>Gestionar y controlar los procesos de: recepción, identificación, almacenamiento, rotación, preservación, inventarios, transporte y despacho de todos los materiales, (tanto materias primas como productos terminados).</t>
  </si>
  <si>
    <t>AUXILIAR SERVICIO AL CLIENTE</t>
  </si>
  <si>
    <t>Realizar las encuestas definidas de servicio al cliente con el fin de conocer la satisfacción de los clientes y presentar información de valor para analizar y establecer planes de mejora</t>
  </si>
  <si>
    <t xml:space="preserve">JEFE DE CALIDAD </t>
  </si>
  <si>
    <t>Director de calidad</t>
  </si>
  <si>
    <t>Liderar, planificar y coordinar las actividades relacionadas con la calidad del producto y del laboratorio de tal forma que se garantice el cumplimiento de los requisitos del cliente y de los definidos por la organización.</t>
  </si>
  <si>
    <t>AUXILIAR DE PRODUCCION</t>
  </si>
  <si>
    <t>Administrar y controlar el proceso productivo de transformación del caucho y el plástico, con un máximo aprovechamiento de todos los recursos disponibles (directos e indirectos), para dar cumplimiento al programa de producción, (en cantidad, calidad y tiempo).</t>
  </si>
  <si>
    <t>AUXILIAR DE MATRICERIA</t>
  </si>
  <si>
    <t>Fabricar nuevos herramentales, dispositivos y elementos de maquinaria, según información suministrada por personal de la gestión. Operar electroerosionadora de corte por hilo según necesidades direccionadas en la gestión.</t>
  </si>
  <si>
    <t>AUXILIAR FACTURACION</t>
  </si>
  <si>
    <t xml:space="preserve">Ejecutar todas las actividades necesarias para la correcta facturación de todos los pedidos despachados por la empresa. </t>
  </si>
  <si>
    <t>COORDINADOR CEDI</t>
  </si>
  <si>
    <t>Coordinar todos los procesos logísticos del CEDI (operación bajo techo) y de distribución.</t>
  </si>
  <si>
    <t>DIRECTOR DE COSTOS</t>
  </si>
  <si>
    <t xml:space="preserve">14876 - 29751 MM </t>
  </si>
  <si>
    <t xml:space="preserve">Gerente administrativa y financiera </t>
  </si>
  <si>
    <t xml:space="preserve">Financiera </t>
  </si>
  <si>
    <t>Dirigir las actividades relacionadas con el desarrollo, organización y control de los sistemas de costos, análisis de variaciones para generar información confiable para la toma de decisiones.</t>
  </si>
  <si>
    <t>DIRECTOR DE TIC</t>
  </si>
  <si>
    <t xml:space="preserve">Planear, administrar y controlar los proyectos o procesos relacionados con las Tecnologías de la Información y las Comunicaciones (TIC), de acuerdo con los requerimientos del negocio. </t>
  </si>
  <si>
    <t>DIRECTOR DE CALIDAD Y CONTROL DE PROCESOS</t>
  </si>
  <si>
    <t xml:space="preserve">Operaciones </t>
  </si>
  <si>
    <t>Liderar y gestionar los diseños y desarrollos de productos nuevos internacionales bajo la modalidad PPAP con la gestión de ingeniería de tal forma que cumplan con los requerimientos de los clientes y su funcionalidad. Ser garante del desarrollo de proyectos de alto impacto Nacionales e Internacionales con el fin de alinear la expectativa del cliente con las capacidades internas y externas. Liderar los SGI y certificaciones de la empresa.</t>
  </si>
  <si>
    <t>COORDINADORA DE CONTABILIDAD</t>
  </si>
  <si>
    <t>COORDINADOR DE MANTENIMIENTO</t>
  </si>
  <si>
    <t xml:space="preserve">Director de mantenimiento y proyectos </t>
  </si>
  <si>
    <t xml:space="preserve">Mantenimiento </t>
  </si>
  <si>
    <t>Responder por el buen funcionamiento y disponibilidad permanente de todas las maquinas operativas de la empresa, cumpliendo con lo normatividad legal y los procedimientos e instructivos de la empresa.</t>
  </si>
  <si>
    <t>COORDINADOR SERVICIO AL CLIENTE</t>
  </si>
  <si>
    <t xml:space="preserve">Gerente comercial y de mercadeo </t>
  </si>
  <si>
    <t>Coordinar y apoyar a la Gerencia Comercial en la supervisión, control y orientación de las actividades relacionadas con el servicio al cliente (internos y externos).</t>
  </si>
  <si>
    <t>DIRECTOR DE INNOVACION</t>
  </si>
  <si>
    <t>10 MM</t>
  </si>
  <si>
    <t xml:space="preserve">Gerente general </t>
  </si>
  <si>
    <t>DIRECTOR DE  MANTENIMIENTO Y PROYECTOS</t>
  </si>
  <si>
    <t>Gestionar y coordinar el arranque vertical de nuevos equipos, líneas productivas, cambios de ingeniería de procesos, implementación de mejoras de procesos y demás actividades afines que resulten de mejoras de procesos, proyectos y aumentos de capacidad de la planta productiva en pro de la actualización permanente de equipos, procesos e infraestructura.
Liderar el equipo de Mantenimiento en pro del cumplimiento del Mantenimiento Preventivo que busca tener equipos e infraestructura en excelentes condiciones operativas.</t>
  </si>
  <si>
    <t>DIRECTORA ADMINISTRATIVA Y CONTABLE</t>
  </si>
  <si>
    <t>Dirigir los procesos administrativos y contables aplicando las normas y procedimientos vigentes a fin de lograr información oportuna y confiable que produzca los elementos de análisis para la toma de decisiones en la evaluación, programación y control de los recursos financieros de la empresa y en cumplimiento de obligaciones para con las entidades estatales.</t>
  </si>
  <si>
    <t>DIRECTOR DE VENTAS LATAM</t>
  </si>
  <si>
    <t>Direccionar y apoyar a la Gerencia Comercial en la supervisión, control y orientación a la gestión de la Fuerza de Ventas, para conseguir los objetivos empresariales que garanticen el crecimiento y la proyección de la compañía a corto, mediano y largo plazo estableciendo relaciones rentables y duraderas con los clientes por medio de una excelente atención.</t>
  </si>
  <si>
    <t xml:space="preserve">DIRECTOR DE VENTAS NACIONAL </t>
  </si>
  <si>
    <t>COORDINADOR DE TERCERIZADOS</t>
  </si>
  <si>
    <t>COORDINADOR DE MERCADEO</t>
  </si>
  <si>
    <t>Diseñar, dirigir y garantizar la ejecución de las actividades y políticas de mercadeo que aseguren el crecimiento de las ventas, la sostenibilidad y el posicionamiento de marca.</t>
  </si>
  <si>
    <t>DIRECTORA DE DISEÑO Y  DESARROLLO</t>
  </si>
  <si>
    <t xml:space="preserve">1860 - 3719 MM </t>
  </si>
  <si>
    <t>COORDINADOR DE LABORATORIO</t>
  </si>
  <si>
    <t xml:space="preserve">Laboratorio </t>
  </si>
  <si>
    <t>Liderar, planificar y coordinar las actividades del laboratorio de tal forma que asegure la confiabilidad de los resultados y una alta satisfacción de los clientes.</t>
  </si>
  <si>
    <t>COORDINADOR TIC</t>
  </si>
  <si>
    <t>Director TIC</t>
  </si>
  <si>
    <t xml:space="preserve">Coordinar y controlar la correcta gestión de infraestructura de hardware y software para las Tecnologías de la información y la Comunicación (TIC), de   acuerdo con los requerimientos del negocio, asegurando la actualización tecnológica, mantenimiento y gestión técnica necesaria para la continuidad del negocio. </t>
  </si>
  <si>
    <t>COORDINADOR  SST</t>
  </si>
  <si>
    <t>LIDER MECANICO EXPERTO EN MOLDES</t>
  </si>
  <si>
    <t>Liderar todas las actividades referentes a necesidades sobre herramentales de moldeo: ajuste, ensamble, acompañamiento en ensayos de herramentales nuevos y apoyar en la Fabricación de los nuevos herramentales, dispositivos y elementos de maquinaria, según información suministrada por personal de las gestiones I&amp;D.  Así mismo, brindar atención a las necesidades de mejora y reparación de los herramentales de moldeo productos actuales y realizar acompañamiento en la ejecución de tareas de fabricación, ajuste y ensayo de proyectos especiales</t>
  </si>
  <si>
    <t>LIDER DE VENTAS EEUU</t>
  </si>
  <si>
    <t>3720 - 7435 MM</t>
  </si>
  <si>
    <t>Director de ventas EEUU</t>
  </si>
  <si>
    <t>Garantizar el logro de los objetivos y KPIs definidos para su zona, respondiendo por la satisfacción de nuestros clientes, la rentabilidad, permanencia, crecimiento y continuidad del negocio de acuerdo con las políticas, procesos y procedimientos establecidos por la compañía.</t>
  </si>
  <si>
    <t xml:space="preserve">LIDER DE VENTAS LATINOAMERICA </t>
  </si>
  <si>
    <t>Director de ventas Latinoamerica</t>
  </si>
  <si>
    <t>LIDER DE ZONA</t>
  </si>
  <si>
    <t>1860 - 3719 MM</t>
  </si>
  <si>
    <t>Director de ventas Nacional</t>
  </si>
  <si>
    <t>Garantizar el logro de los objetivos, KPIs  y estados de resultados (margen de contribución) definidos para su zona, respondiendo por la satisfacción de nuestros clientes, la rentabilidad, permanencia, crecimiento y continuidad del negocio de acuerdo con las políticas, procesos y procedimientos establecidos por la compañía.</t>
  </si>
  <si>
    <t>LIDER DE COMERCIO EXTERIOR</t>
  </si>
  <si>
    <t>Coordinador de comercio exterior</t>
  </si>
  <si>
    <t>Apoyar todas las actividades de Comercio Exterior de la Organización con un fuerte enfoque en Servicio al cliente (tanto interno como externo).</t>
  </si>
  <si>
    <t>JEFE DE COMPRAS</t>
  </si>
  <si>
    <t xml:space="preserve">Director de logistica </t>
  </si>
  <si>
    <t>Dirigir y optimizar estratégicamente el proceso de abastecimiento de la organización, garantizando la adquisición de materias primas, insumos y servicios de alta calidad a costos competitivos y en los plazos requeridos. Fomentar una gestión eficiente y colaborativa del equipo de compras, ajustándose a los cambios del entorno para mantener un flujo de suministro que apalanque el cumplimiento de los objetivos organizacionales.</t>
  </si>
  <si>
    <t>TECNICO DE MANTENIMIENTO</t>
  </si>
  <si>
    <t xml:space="preserve">Coordinador de mantenimiento </t>
  </si>
  <si>
    <t>Realizar las funciones de alto riesgo de forma segura y alineada a los procedimientos y políticas de Seguridad y salud en el trabajo.</t>
  </si>
  <si>
    <t>LIDER DE CANAL</t>
  </si>
  <si>
    <t>Garantizar el logro de los objetivos, KPIs y estados de resultados (margen de contribución) definidos para su zona, respondiendo por la satisfacción de nuestros clientes, la rentabilidad, permanencia, crecimiento y continuidad del negocio de acuerdo con las políticas, procesos y procedimientos establecidos por la compañía.</t>
  </si>
  <si>
    <t>JEFE DE MEJORAMIENTO CONTINUO</t>
  </si>
  <si>
    <t>Gerente de operaciones</t>
  </si>
  <si>
    <t>Liderar la gestion de mejoramiento continuo implementando buenas practicas en los procesos productivos que permitan mejoras en los costos de fabricacion, tiempos de entregas, calidad, seguridad y rentabilidad acordes a los objetivos financieros de la compañía</t>
  </si>
  <si>
    <t>INGENIERO DE FORMULACIONES</t>
  </si>
  <si>
    <t xml:space="preserve">Director de materiales </t>
  </si>
  <si>
    <t>Diseñar compuestos en caucho (EPDM, CR, IR, VMQ, SBR, IR etc) según las necesidades de los clientes por medio de la planeación, ejecución y control de actividades de investigación y pruebas de laboratorio, realizando seguimiento desde pruebas piloto hasta proceso industrial.</t>
  </si>
  <si>
    <t>LIDER DE GESTIÓN HUMANA Y DESARROLLO DEL TALENTO</t>
  </si>
  <si>
    <t xml:space="preserve">Director de gestón humana </t>
  </si>
  <si>
    <t>Coordinar, gestionar y apoyar el sistema integrado de gestión del Talento Humano, realizando seguimiento y controlando los subprocesos a su cargo (Plan de formación, Gestión del desempeño, Plan de sucesión, Mapa de carrera y las Encuestas de clima laboral y Riesgo Psicosocial), mediante una gestión eficaz con la que se garantice la correcta administración de las actividades implícitas en cada uno.</t>
  </si>
  <si>
    <t>LIDER DE DISEÑO Y COMUNICACIONES EN MERCADEO</t>
  </si>
  <si>
    <t xml:space="preserve">Coordinadora de mercadeo </t>
  </si>
  <si>
    <t>Responsable de la estrategia de comunicación ante el mercado, de y para el cliente interno y externo, apoyado en la administración y ejecución del proceso de comunicación e imagen definido, generando respuesta proactiva, efectiva y oportuna a los requerimientos solicitados.</t>
  </si>
  <si>
    <t>JEFE DE TERCERIZADOS</t>
  </si>
  <si>
    <t>INGENIERO DE MEJORA CONTINUA</t>
  </si>
  <si>
    <t>g</t>
  </si>
  <si>
    <t>Intervenir de forma oportuna los procesos productivos, para lograr maximizar los recursos, disminuir las perdidas, e impactar positivamente por medio de proyectos de mejoramiento continuo el margen de la compañía.</t>
  </si>
  <si>
    <t xml:space="preserve">LIDER DE COSTOS </t>
  </si>
  <si>
    <t>Realizar la planeación, ejecución, auditoria, control y seguimiento a la asignación de los costos, logrando aportar información útil y pertinente para la toma de decisiones.</t>
  </si>
  <si>
    <t>COORDINADORA DE GESTION HUMANA</t>
  </si>
  <si>
    <t xml:space="preserve">Director de gestion humana </t>
  </si>
  <si>
    <t>Coordinar y liderar la gestión integral de los procesos de Gestión Humana, incluyendo atracción y selección de talento, relaciones laborales, y administración de personal, garantizando la implementación de estrategias alineadas con los objetivos organizacionales. Asegurando la optimización de los procesos, el cumplimiento normativo y la generación de un ambiente laboral positivo, en apoyo a la Dirección de Gestión Humana y contribuyendo al crecimiento y sostenibilidad de la empresa.</t>
  </si>
  <si>
    <t xml:space="preserve">GERENTE ADMINISTRATIVA Y FINANCIERA </t>
  </si>
  <si>
    <t>20 MM</t>
  </si>
  <si>
    <t>Direccionar todos los procesos de la gestión para garantizar el funcionamiento eficiente de la empresa y administrar los recursos financieros logrando rentabilidad y liquidez.</t>
  </si>
  <si>
    <t>MESES</t>
  </si>
  <si>
    <t>MODALIDAD</t>
  </si>
  <si>
    <t>Enero</t>
  </si>
  <si>
    <t>Virtual</t>
  </si>
  <si>
    <t>Marzo</t>
  </si>
  <si>
    <t>Abril</t>
  </si>
  <si>
    <t>Mayo</t>
  </si>
  <si>
    <t>Julio</t>
  </si>
  <si>
    <t>Agosto</t>
  </si>
  <si>
    <t>Septiembre</t>
  </si>
  <si>
    <t>Octubre</t>
  </si>
  <si>
    <t>Noviembre</t>
  </si>
  <si>
    <t>Diciembre</t>
  </si>
  <si>
    <t>Tipología</t>
  </si>
  <si>
    <t>Descripción</t>
  </si>
  <si>
    <t>Nivel</t>
  </si>
  <si>
    <t>Gerencial</t>
  </si>
  <si>
    <t>Estas categorías es para cargos que líderan compañías, áreas, proceso o equipos</t>
  </si>
  <si>
    <t>1er Nivel</t>
  </si>
  <si>
    <t>Responsable de direccionar estratégicamente toda la organización, es el cargo de mayor autonomía y responsable de los resultados totales del negocio</t>
  </si>
  <si>
    <t>Directivo de Reporte al 1er Nivel</t>
  </si>
  <si>
    <t>Responsable de direccionar estratégicamente varias áreas funcionales (macroprocesos) o una unidad de negocio, planear a larzo plazo (más de 3 años), líderar uno o varios equipos de trabajo con objetivos heterogeneos y requiere capacidad de liderar negociaciones complejas.</t>
  </si>
  <si>
    <t>Líder de Macroproceso</t>
  </si>
  <si>
    <t>Responsable de gerenciar un área funcional (macroproceso), planear a mediano plazo (mínimo un año), líderar uno o varios equipos de trabajo con objetivos heterogeneos y requiere capacidad de negociación.</t>
  </si>
  <si>
    <t>Líder de área específica</t>
  </si>
  <si>
    <t>Responsable de gerenciar un área específica dentro de un área funcional, planear a mediano plazo (mínimo un año), líderar uno o varios equipos de trabajo con objetivos heterogeneos y requiere capacidad de negociación.</t>
  </si>
  <si>
    <t>Coordinador de Proceso</t>
  </si>
  <si>
    <t>Responsable de coordinar un área específica o proceso con el fin de garantizar la continuidad de este, líderar un equipo de trabajo con objetivo homogeneo</t>
  </si>
  <si>
    <t>Supervisor de Subproceso</t>
  </si>
  <si>
    <t>Responsable de supervisar un proceso administrativo o productivo con el fin de garantizar el cumplimiento de las actividades o procedimientos de este.</t>
  </si>
  <si>
    <t>Contribución Individual</t>
  </si>
  <si>
    <t>Cargos cuya responsabilidad prinicipal es aportar su conocimiento en su área o áreas de impacto</t>
  </si>
  <si>
    <t>Especialista I</t>
  </si>
  <si>
    <t>Requiere conocimiento profundo en un arte o disciplina profesional específica, puede requerir la habilidad para coordinar equipos de trabajo de una o de varias áreas, los cuales están direccionado técnicamente por este. Es reconocido como el experto de la organización. Requiere experiencia superior a 5 años. Diseña y/o aprueba herramientas complejas de acuerdo al área de especialidad</t>
  </si>
  <si>
    <t>Especialista II</t>
  </si>
  <si>
    <t>Requiere conocimiento profundo en un arte o disciplina profesional específica, puede requerir la habilidad para supervisar un equipo de trabajo el cual está direccionado técnicamente por este. Requiere una experiencia mayor a 3 años. Propone y/o diseña herramientas de acuerdo al área de especialidad</t>
  </si>
  <si>
    <t>Analista I</t>
  </si>
  <si>
    <t>Responsable por realizar analisis complejos, proponer y/o diseñar herramientas de acuerdo al área de conocimiento  y se requiere una experiencia mayor a 3 años</t>
  </si>
  <si>
    <t>Analista II</t>
  </si>
  <si>
    <t>Responsable por realizar análisis rutinarios, proponer herramientas de acuerdo al área de conocimiento  y no se requiere experiencia.</t>
  </si>
  <si>
    <t>Comercial</t>
  </si>
  <si>
    <t>Cargos cuya responsabilidad prinicipal es generar ingreso a través de la venta</t>
  </si>
  <si>
    <t>Ejecutivo Comercial Sr</t>
  </si>
  <si>
    <t>Responde por las ventas en los clientes más grandes y estratégicos de la organización,  requiere tener alto conocimiento en el portafolio de productos/servicios, de la competencia y de los clientes y una experiencia de más de 5 años. Diseña, planifica y ejecuta la estrategia de ventas para su territorio y clientes. Lidera negociaciones exigentes y de alto impacto para los resultados organizacionales.</t>
  </si>
  <si>
    <t>Ejecutivo Comercial Jr</t>
  </si>
  <si>
    <t xml:space="preserve">Responde por las ventas en clientes importantes para la organización,  requiere tener alto conocimiento en el portafolio de productos/servicios, de la competencia y de los clientes y una experiencia de más de 3 años. Diseña, planifica y ejecuta la estrategia de ventas para su territorio y clientes. </t>
  </si>
  <si>
    <t>Asesor Comercial Sr</t>
  </si>
  <si>
    <t xml:space="preserve">Asesora y acompaña técnicamente a los clientes estratégicos de la compañía en los productos/servicios de esta durante todo el proceso de la venta. Requiere experiencia superior a 3 años. Ejecuta el plan de ventas asignado. </t>
  </si>
  <si>
    <t>Asesor Comercial Jr</t>
  </si>
  <si>
    <t>Asesora y acompaña técnicamente a los clientes de normal o bajo nivel de la compañía en los productos/servicios de esta durante todo el proceso. Requiere experiencia superior a 1 año. Ejecuta el plan de ventas asignado</t>
  </si>
  <si>
    <t>Vendedor Sr</t>
  </si>
  <si>
    <t xml:space="preserve">Responsable de vender en forma directa los productos de la compañía. Tomar los pedidos del cliente y en algunos casos hace los cobros y recibir los pagos. Normalmente tiene a su cargo zonas o clientes de importancia y posee una sólida experiencia en ventas.        </t>
  </si>
  <si>
    <t>Vendedor Jr</t>
  </si>
  <si>
    <t>Responsable de vender en forma directa los productos de la compañía. Tomar los pedidos del cliente y en algunos casos recibe los pagos. Normalmente la venta no le exige  persuasión "le compran, no vende".</t>
  </si>
  <si>
    <t>Cargos cuya responsabilidad principal es brindar un soporte en el área o proceso al que pertenecen</t>
  </si>
  <si>
    <t>Auxiliar Administrativo</t>
  </si>
  <si>
    <t>Responsable de realizar actividades administrativas de soporte dentro de la organización. Se requiere experiencia de más de una año</t>
  </si>
  <si>
    <t>Auxiliar Operativo</t>
  </si>
  <si>
    <t>Responsable de realizar actividades operativas y repetitivas dentro de la organización. No se requiere experiencia</t>
  </si>
  <si>
    <t>Técnico</t>
  </si>
  <si>
    <t>Cargos cuya principal responsabilidad es aplicar el conocimiento de una técnica</t>
  </si>
  <si>
    <t>Técnico experto</t>
  </si>
  <si>
    <t>Requiere de un conocimiento técnico especializado y/o métodos de trabajo de complejos que puede requerir la operación de equipos especializados. Está en la capacidad de resolver situaciones complejas. Requiere experiencia de más de 2 años</t>
  </si>
  <si>
    <t>Requiere de un conocimiento técnico y/o de procedimientos básicos o rutinarios. No se requiere experiencia</t>
  </si>
  <si>
    <t>Cargos cuya principal responsabilidad es ejecutar uno o varios oficios en un proceso productivo</t>
  </si>
  <si>
    <t>Operario Especializado</t>
  </si>
  <si>
    <t>Responsable de ejecutar un oficio especializado dentro de un proceso productivo que implica integrar varias rutinas de trabajo o el dominio de equipos especializados. Requiere experiencia de más de 3 años.</t>
  </si>
  <si>
    <t>Operario I</t>
  </si>
  <si>
    <t>Responsable de ejecutar un oficio dentro de un proceso productivo, sin embargo, requiere conocimiento de otros oficios del proceso productivo y una amplia experiencia. Puede operar equipos o máquinas simples.</t>
  </si>
  <si>
    <t>Operario II</t>
  </si>
  <si>
    <t>Responsable de ejecutar un oficio dentro de un proceso productivo, con conocimiento de procedimientos para operar equipos o máquinas simples. Requiere experiencia mínima</t>
  </si>
  <si>
    <t>Operario III</t>
  </si>
  <si>
    <t>Responsable de ejecutar un oficio simple normalmente se trata de un trabajo manual. No requiere experiencia</t>
  </si>
  <si>
    <t>Administrativo</t>
  </si>
  <si>
    <t xml:space="preserve">Junior </t>
  </si>
  <si>
    <t>Senior</t>
  </si>
  <si>
    <t>Master</t>
  </si>
  <si>
    <t>Pleno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</si>
</sst>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&quot;$&quot;\ * #,##0.00_-;\-&quot;$&quot;\ * #,##0.00_-;_-&quot;$&quot;\ * &quot;-&quot;??_-;_-@_-"/>
    <numFmt numFmtId="164" formatCode="_(&quot;$&quot;\ * #,##0_);_(&quot;$&quot;\ * \(#,##0\);_(&quot;$&quot;\ * &quot;-&quot;_);_(@_)"/>
    <numFmt numFmtId="165" formatCode="_(&quot;$&quot;\ * #,##0.00_);_(&quot;$&quot;\ * \(#,##0.00\);_(&quot;$&quot;\ * &quot;-&quot;??_);_(@_)"/>
    <numFmt numFmtId="166" formatCode="_(* #,##0.00_);_(* \(#,##0.00\);_(* &quot;-&quot;??_);_(@_)"/>
    <numFmt numFmtId="167" formatCode="#,##0_);[Red]\(#,##0\)"/>
    <numFmt numFmtId="168" formatCode="#,##0.0;[Red]\-#,##0.0"/>
    <numFmt numFmtId="169" formatCode="General_)"/>
    <numFmt numFmtId="170" formatCode="0.0%"/>
    <numFmt numFmtId="171" formatCode="0.000%"/>
    <numFmt numFmtId="172" formatCode="#,##0.000;[Red]\-#,##0.000"/>
    <numFmt numFmtId="173" formatCode="#,##0.000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u/>
      <sz val="10"/>
      <color rgb="FF000000"/>
      <name val="Gotham"/>
      <family val="2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name val="Arial"/>
      <family val="2"/>
    </font>
    <font>
      <b/>
      <u/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sz val="9"/>
      <name val="Arial"/>
      <family val="2"/>
    </font>
    <font>
      <u/>
      <sz val="7"/>
      <color indexed="12"/>
      <name val="Arial"/>
      <family val="2"/>
    </font>
    <font>
      <sz val="12"/>
      <name val="Helv"/>
    </font>
    <font>
      <b/>
      <sz val="11"/>
      <name val="Calibri"/>
      <family val="2"/>
      <scheme val="minor"/>
    </font>
    <font>
      <sz val="11"/>
      <color indexed="18"/>
      <name val="Calibri"/>
      <family val="2"/>
      <scheme val="minor"/>
    </font>
    <font>
      <b/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EE0000"/>
      <name val="Calibri"/>
      <family val="2"/>
      <scheme val="minor"/>
    </font>
    <font>
      <b/>
      <sz val="11"/>
      <color rgb="FFEE0000"/>
      <name val="Calibri"/>
      <family val="2"/>
      <scheme val="minor"/>
    </font>
    <font>
      <sz val="8"/>
      <color rgb="FF000000"/>
      <name val="Segoe UI"/>
      <family val="2"/>
    </font>
  </fonts>
  <fills count="1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2"/>
      </patternFill>
    </fill>
    <fill>
      <patternFill patternType="solid">
        <fgColor theme="0"/>
        <bgColor rgb="FFFFFFFF"/>
      </patternFill>
    </fill>
    <fill>
      <patternFill patternType="solid">
        <fgColor rgb="FFC4D79B"/>
        <bgColor indexed="64"/>
      </patternFill>
    </fill>
    <fill>
      <patternFill patternType="solid">
        <fgColor rgb="FFC4D79B"/>
        <bgColor indexed="22"/>
      </patternFill>
    </fill>
    <fill>
      <patternFill patternType="solid">
        <fgColor rgb="FFC4D79B"/>
        <bgColor rgb="FFFFFFFF"/>
      </patternFill>
    </fill>
  </fills>
  <borders count="37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rgb="FF00B050"/>
      </right>
      <top style="thin">
        <color rgb="FF00B050"/>
      </top>
      <bottom style="thin">
        <color rgb="FF00B050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00B050"/>
      </left>
      <right/>
      <top style="thin">
        <color rgb="FF00B050"/>
      </top>
      <bottom style="thin">
        <color rgb="FF00B050"/>
      </bottom>
      <diagonal/>
    </border>
    <border>
      <left/>
      <right/>
      <top style="thin">
        <color rgb="FF00B050"/>
      </top>
      <bottom style="thin">
        <color rgb="FF00B050"/>
      </bottom>
      <diagonal/>
    </border>
    <border>
      <left style="thin">
        <color rgb="FF00B050"/>
      </left>
      <right style="thin">
        <color rgb="FF00B050"/>
      </right>
      <top/>
      <bottom style="thin">
        <color rgb="FF00B050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rgb="FFC4BD97"/>
      </left>
      <right style="thin">
        <color rgb="FFC4BD97"/>
      </right>
      <top style="thin">
        <color rgb="FFC4BD97"/>
      </top>
      <bottom style="thin">
        <color rgb="FFC4BD97"/>
      </bottom>
      <diagonal/>
    </border>
    <border>
      <left style="thin">
        <color rgb="FFC4BD97"/>
      </left>
      <right/>
      <top/>
      <bottom/>
      <diagonal/>
    </border>
    <border>
      <left style="thin">
        <color rgb="FFC4BD97"/>
      </left>
      <right/>
      <top style="thin">
        <color rgb="FFC4BD97"/>
      </top>
      <bottom style="thin">
        <color rgb="FFC4BD97"/>
      </bottom>
      <diagonal/>
    </border>
    <border>
      <left/>
      <right style="thin">
        <color rgb="FFC4BD97"/>
      </right>
      <top style="thin">
        <color rgb="FFC4BD97"/>
      </top>
      <bottom style="thin">
        <color rgb="FFC4BD97"/>
      </bottom>
      <diagonal/>
    </border>
    <border>
      <left style="thin">
        <color rgb="FFC4BD97"/>
      </left>
      <right style="thin">
        <color rgb="FFC4BD97"/>
      </right>
      <top style="thin">
        <color rgb="FFC4BD97"/>
      </top>
      <bottom/>
      <diagonal/>
    </border>
    <border>
      <left/>
      <right/>
      <top style="thin">
        <color rgb="FFC4BD97"/>
      </top>
      <bottom style="thin">
        <color rgb="FFC4BD97"/>
      </bottom>
      <diagonal/>
    </border>
    <border>
      <left style="thin">
        <color rgb="FFC4BD97"/>
      </left>
      <right/>
      <top/>
      <bottom style="thin">
        <color rgb="FFC4BD97"/>
      </bottom>
      <diagonal/>
    </border>
    <border>
      <left/>
      <right/>
      <top/>
      <bottom style="thin">
        <color rgb="FFC4BD97"/>
      </bottom>
      <diagonal/>
    </border>
    <border>
      <left style="thin">
        <color theme="2" tint="-0.249977111117893"/>
      </left>
      <right/>
      <top/>
      <bottom style="thin">
        <color rgb="FFC4BD97"/>
      </bottom>
      <diagonal/>
    </border>
    <border>
      <left/>
      <right style="thin">
        <color theme="2" tint="-0.249977111117893"/>
      </right>
      <top/>
      <bottom style="thin">
        <color rgb="FFC4BD9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166" fontId="1" fillId="0" borderId="0" applyFont="0" applyFill="0" applyBorder="0" applyAlignment="0" applyProtection="0"/>
    <xf numFmtId="166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7" fillId="8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169" fontId="17" fillId="0" borderId="0"/>
    <xf numFmtId="0" fontId="21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184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40" fontId="0" fillId="0" borderId="0" xfId="0" applyNumberFormat="1" applyAlignment="1">
      <alignment horizontal="center" vertical="center"/>
    </xf>
    <xf numFmtId="38" fontId="0" fillId="0" borderId="0" xfId="1" applyNumberFormat="1" applyFont="1" applyAlignment="1">
      <alignment horizontal="center" vertical="center"/>
    </xf>
    <xf numFmtId="38" fontId="1" fillId="0" borderId="0" xfId="0" applyNumberFormat="1" applyFont="1" applyAlignment="1">
      <alignment horizontal="center" vertical="center"/>
    </xf>
    <xf numFmtId="168" fontId="1" fillId="0" borderId="0" xfId="0" applyNumberFormat="1" applyFont="1" applyAlignment="1">
      <alignment horizontal="center" vertical="center"/>
    </xf>
    <xf numFmtId="38" fontId="0" fillId="0" borderId="0" xfId="0" applyNumberForma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0" xfId="0" applyAlignment="1">
      <alignment vertical="center"/>
    </xf>
    <xf numFmtId="0" fontId="6" fillId="0" borderId="0" xfId="0" applyFont="1"/>
    <xf numFmtId="0" fontId="10" fillId="2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9" fontId="0" fillId="0" borderId="0" xfId="7" applyFont="1" applyFill="1" applyBorder="1" applyAlignment="1">
      <alignment horizontal="center" vertical="center"/>
    </xf>
    <xf numFmtId="0" fontId="12" fillId="0" borderId="0" xfId="6" applyFont="1" applyFill="1" applyAlignment="1">
      <alignment horizontal="center" vertical="center"/>
    </xf>
    <xf numFmtId="0" fontId="0" fillId="0" borderId="16" xfId="0" applyBorder="1" applyAlignment="1">
      <alignment vertical="center"/>
    </xf>
    <xf numFmtId="0" fontId="6" fillId="4" borderId="17" xfId="0" applyFont="1" applyFill="1" applyBorder="1" applyAlignment="1">
      <alignment horizontal="center" vertical="center" wrapText="1"/>
    </xf>
    <xf numFmtId="0" fontId="14" fillId="8" borderId="16" xfId="6" applyFont="1" applyBorder="1" applyAlignment="1">
      <alignment horizontal="center" vertical="center"/>
    </xf>
    <xf numFmtId="0" fontId="14" fillId="8" borderId="16" xfId="6" applyFont="1" applyBorder="1" applyAlignment="1" applyProtection="1">
      <alignment horizontal="center" vertical="center"/>
      <protection locked="0"/>
    </xf>
    <xf numFmtId="0" fontId="6" fillId="4" borderId="16" xfId="6" applyFont="1" applyFill="1" applyBorder="1" applyAlignment="1">
      <alignment horizontal="center" vertical="center" wrapText="1"/>
    </xf>
    <xf numFmtId="0" fontId="6" fillId="4" borderId="16" xfId="6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 wrapText="1"/>
    </xf>
    <xf numFmtId="9" fontId="6" fillId="4" borderId="16" xfId="7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10" borderId="16" xfId="0" applyFill="1" applyBorder="1" applyAlignment="1">
      <alignment horizontal="center" vertical="center" wrapText="1"/>
    </xf>
    <xf numFmtId="0" fontId="0" fillId="10" borderId="16" xfId="0" applyFill="1" applyBorder="1" applyAlignment="1">
      <alignment horizontal="center" vertical="center"/>
    </xf>
    <xf numFmtId="0" fontId="0" fillId="10" borderId="0" xfId="0" applyFill="1" applyAlignment="1">
      <alignment vertical="center"/>
    </xf>
    <xf numFmtId="0" fontId="0" fillId="10" borderId="0" xfId="0" applyFill="1" applyAlignment="1">
      <alignment horizontal="center" vertical="center"/>
    </xf>
    <xf numFmtId="40" fontId="0" fillId="10" borderId="0" xfId="0" applyNumberFormat="1" applyFill="1" applyAlignment="1">
      <alignment horizontal="center" vertical="center"/>
    </xf>
    <xf numFmtId="38" fontId="0" fillId="10" borderId="0" xfId="1" applyNumberFormat="1" applyFont="1" applyFill="1" applyAlignment="1">
      <alignment horizontal="center" vertical="center"/>
    </xf>
    <xf numFmtId="38" fontId="0" fillId="10" borderId="0" xfId="0" applyNumberFormat="1" applyFill="1" applyAlignment="1">
      <alignment horizontal="center" vertical="center"/>
    </xf>
    <xf numFmtId="168" fontId="0" fillId="10" borderId="0" xfId="0" applyNumberFormat="1" applyFill="1" applyAlignment="1">
      <alignment horizontal="center" vertical="center"/>
    </xf>
    <xf numFmtId="38" fontId="1" fillId="10" borderId="0" xfId="0" applyNumberFormat="1" applyFont="1" applyFill="1" applyAlignment="1">
      <alignment horizontal="center" vertical="center"/>
    </xf>
    <xf numFmtId="0" fontId="6" fillId="10" borderId="10" xfId="0" applyFont="1" applyFill="1" applyBorder="1" applyAlignment="1">
      <alignment horizontal="left" vertical="center"/>
    </xf>
    <xf numFmtId="0" fontId="0" fillId="10" borderId="11" xfId="0" applyFill="1" applyBorder="1" applyAlignment="1">
      <alignment horizontal="center" vertical="center"/>
    </xf>
    <xf numFmtId="0" fontId="0" fillId="10" borderId="8" xfId="0" applyFill="1" applyBorder="1" applyAlignment="1">
      <alignment horizontal="center" vertical="center"/>
    </xf>
    <xf numFmtId="0" fontId="15" fillId="8" borderId="0" xfId="6" applyFont="1" applyAlignment="1">
      <alignment horizontal="center" vertical="center"/>
    </xf>
    <xf numFmtId="0" fontId="15" fillId="0" borderId="0" xfId="6" applyFont="1" applyFill="1" applyAlignment="1">
      <alignment horizontal="center" vertical="center"/>
    </xf>
    <xf numFmtId="0" fontId="15" fillId="10" borderId="0" xfId="6" applyFont="1" applyFill="1" applyAlignment="1">
      <alignment horizontal="center" vertical="center"/>
    </xf>
    <xf numFmtId="0" fontId="0" fillId="10" borderId="0" xfId="0" applyFill="1"/>
    <xf numFmtId="0" fontId="15" fillId="12" borderId="0" xfId="6" applyFont="1" applyFill="1" applyAlignment="1">
      <alignment horizontal="center" vertical="center"/>
    </xf>
    <xf numFmtId="0" fontId="1" fillId="10" borderId="0" xfId="0" applyFont="1" applyFill="1" applyAlignment="1">
      <alignment vertical="center"/>
    </xf>
    <xf numFmtId="0" fontId="1" fillId="10" borderId="0" xfId="0" applyFont="1" applyFill="1" applyAlignment="1">
      <alignment horizontal="center" vertical="center"/>
    </xf>
    <xf numFmtId="0" fontId="14" fillId="8" borderId="0" xfId="6" applyFont="1" applyAlignment="1">
      <alignment horizontal="center" vertical="center"/>
    </xf>
    <xf numFmtId="0" fontId="14" fillId="12" borderId="0" xfId="6" applyFont="1" applyFill="1" applyAlignment="1">
      <alignment horizontal="center" vertical="center"/>
    </xf>
    <xf numFmtId="0" fontId="0" fillId="10" borderId="26" xfId="0" applyFill="1" applyBorder="1" applyAlignment="1">
      <alignment horizontal="center" vertical="center" wrapText="1"/>
    </xf>
    <xf numFmtId="3" fontId="0" fillId="0" borderId="26" xfId="0" applyNumberFormat="1" applyBorder="1" applyAlignment="1">
      <alignment horizontal="center" vertical="center"/>
    </xf>
    <xf numFmtId="0" fontId="0" fillId="9" borderId="26" xfId="0" applyFill="1" applyBorder="1" applyAlignment="1">
      <alignment horizontal="center" vertical="center" wrapText="1"/>
    </xf>
    <xf numFmtId="9" fontId="0" fillId="10" borderId="16" xfId="7" applyFont="1" applyFill="1" applyBorder="1" applyAlignment="1">
      <alignment horizontal="center" vertical="center"/>
    </xf>
    <xf numFmtId="0" fontId="0" fillId="10" borderId="16" xfId="0" applyFill="1" applyBorder="1" applyAlignment="1">
      <alignment vertical="center"/>
    </xf>
    <xf numFmtId="9" fontId="0" fillId="10" borderId="16" xfId="7" applyFont="1" applyFill="1" applyBorder="1" applyAlignment="1">
      <alignment horizontal="center" vertical="center" wrapText="1"/>
    </xf>
    <xf numFmtId="38" fontId="14" fillId="10" borderId="26" xfId="9" applyNumberFormat="1" applyFont="1" applyFill="1" applyBorder="1" applyAlignment="1" applyProtection="1">
      <alignment horizontal="center" vertical="center" wrapText="1"/>
      <protection locked="0"/>
    </xf>
    <xf numFmtId="0" fontId="14" fillId="12" borderId="26" xfId="6" applyFont="1" applyFill="1" applyBorder="1" applyAlignment="1" applyProtection="1">
      <alignment horizontal="center" vertical="center"/>
      <protection locked="0"/>
    </xf>
    <xf numFmtId="0" fontId="14" fillId="10" borderId="0" xfId="6" applyFont="1" applyFill="1" applyAlignment="1">
      <alignment horizontal="center" vertical="center"/>
    </xf>
    <xf numFmtId="9" fontId="14" fillId="10" borderId="0" xfId="6" applyNumberFormat="1" applyFont="1" applyFill="1" applyAlignment="1">
      <alignment horizontal="center" vertical="center"/>
    </xf>
    <xf numFmtId="0" fontId="14" fillId="10" borderId="26" xfId="6" applyFont="1" applyFill="1" applyBorder="1" applyAlignment="1">
      <alignment horizontal="center" vertical="center"/>
    </xf>
    <xf numFmtId="0" fontId="19" fillId="12" borderId="0" xfId="6" applyFont="1" applyFill="1" applyAlignment="1">
      <alignment horizontal="center" vertical="center"/>
    </xf>
    <xf numFmtId="0" fontId="19" fillId="12" borderId="0" xfId="6" applyFont="1" applyFill="1" applyAlignment="1">
      <alignment horizontal="center" vertical="center" wrapText="1"/>
    </xf>
    <xf numFmtId="38" fontId="14" fillId="11" borderId="26" xfId="9" applyNumberFormat="1" applyFont="1" applyFill="1" applyBorder="1" applyAlignment="1">
      <alignment horizontal="center" vertical="center" wrapText="1"/>
    </xf>
    <xf numFmtId="38" fontId="14" fillId="10" borderId="0" xfId="9" applyNumberFormat="1" applyFont="1" applyFill="1" applyAlignment="1">
      <alignment horizontal="center" vertical="center" wrapText="1"/>
    </xf>
    <xf numFmtId="0" fontId="18" fillId="13" borderId="26" xfId="6" applyFont="1" applyFill="1" applyBorder="1" applyAlignment="1">
      <alignment horizontal="center" vertical="center" wrapText="1"/>
    </xf>
    <xf numFmtId="10" fontId="14" fillId="12" borderId="26" xfId="6" applyNumberFormat="1" applyFont="1" applyFill="1" applyBorder="1" applyAlignment="1" applyProtection="1">
      <alignment horizontal="center" vertical="center"/>
      <protection locked="0"/>
    </xf>
    <xf numFmtId="0" fontId="18" fillId="10" borderId="0" xfId="6" applyFont="1" applyFill="1" applyAlignment="1">
      <alignment vertical="center"/>
    </xf>
    <xf numFmtId="0" fontId="18" fillId="13" borderId="22" xfId="6" applyFont="1" applyFill="1" applyBorder="1" applyAlignment="1">
      <alignment horizontal="center" vertical="center"/>
    </xf>
    <xf numFmtId="0" fontId="18" fillId="0" borderId="0" xfId="6" applyFont="1" applyFill="1" applyAlignment="1">
      <alignment horizontal="center" vertical="center"/>
    </xf>
    <xf numFmtId="0" fontId="18" fillId="10" borderId="0" xfId="6" applyFont="1" applyFill="1" applyAlignment="1">
      <alignment horizontal="center" vertical="center"/>
    </xf>
    <xf numFmtId="0" fontId="14" fillId="0" borderId="0" xfId="6" applyFont="1" applyFill="1" applyAlignment="1">
      <alignment horizontal="center" vertical="center"/>
    </xf>
    <xf numFmtId="0" fontId="14" fillId="8" borderId="22" xfId="6" applyFont="1" applyBorder="1" applyAlignment="1" applyProtection="1">
      <alignment horizontal="center" vertical="center"/>
      <protection locked="0"/>
    </xf>
    <xf numFmtId="0" fontId="18" fillId="13" borderId="22" xfId="6" applyFont="1" applyFill="1" applyBorder="1" applyAlignment="1">
      <alignment horizontal="center" vertical="center" wrapText="1"/>
    </xf>
    <xf numFmtId="0" fontId="18" fillId="12" borderId="0" xfId="6" applyFont="1" applyFill="1" applyAlignment="1">
      <alignment horizontal="center" vertical="center"/>
    </xf>
    <xf numFmtId="38" fontId="18" fillId="14" borderId="22" xfId="9" applyNumberFormat="1" applyFont="1" applyFill="1" applyBorder="1" applyAlignment="1">
      <alignment horizontal="center" vertical="center" wrapText="1"/>
    </xf>
    <xf numFmtId="38" fontId="14" fillId="0" borderId="22" xfId="9" applyNumberFormat="1" applyFont="1" applyBorder="1" applyAlignment="1" applyProtection="1">
      <alignment vertical="center" wrapText="1"/>
      <protection locked="0"/>
    </xf>
    <xf numFmtId="0" fontId="18" fillId="8" borderId="22" xfId="6" applyFont="1" applyBorder="1" applyAlignment="1">
      <alignment horizontal="center" vertical="center"/>
    </xf>
    <xf numFmtId="0" fontId="14" fillId="13" borderId="22" xfId="6" applyFont="1" applyFill="1" applyBorder="1" applyAlignment="1">
      <alignment horizontal="center" vertical="center"/>
    </xf>
    <xf numFmtId="38" fontId="14" fillId="14" borderId="22" xfId="9" applyNumberFormat="1" applyFont="1" applyFill="1" applyBorder="1" applyAlignment="1">
      <alignment horizontal="center" vertical="center" wrapText="1"/>
    </xf>
    <xf numFmtId="38" fontId="14" fillId="0" borderId="22" xfId="9" applyNumberFormat="1" applyFont="1" applyBorder="1" applyAlignment="1" applyProtection="1">
      <alignment horizontal="center" vertical="center" wrapText="1"/>
      <protection locked="0"/>
    </xf>
    <xf numFmtId="38" fontId="14" fillId="13" borderId="22" xfId="9" applyNumberFormat="1" applyFont="1" applyFill="1" applyBorder="1" applyAlignment="1">
      <alignment horizontal="center" vertical="center" wrapText="1"/>
    </xf>
    <xf numFmtId="38" fontId="14" fillId="11" borderId="0" xfId="9" applyNumberFormat="1" applyFont="1" applyFill="1" applyAlignment="1">
      <alignment horizontal="center" vertical="center" wrapText="1"/>
    </xf>
    <xf numFmtId="38" fontId="14" fillId="10" borderId="0" xfId="9" applyNumberFormat="1" applyFont="1" applyFill="1" applyAlignment="1" applyProtection="1">
      <alignment horizontal="center" vertical="center" wrapText="1"/>
      <protection locked="0"/>
    </xf>
    <xf numFmtId="38" fontId="14" fillId="11" borderId="22" xfId="9" applyNumberFormat="1" applyFont="1" applyFill="1" applyBorder="1" applyAlignment="1">
      <alignment horizontal="center" vertical="center" wrapText="1"/>
    </xf>
    <xf numFmtId="3" fontId="14" fillId="8" borderId="22" xfId="6" applyNumberFormat="1" applyFont="1" applyBorder="1" applyAlignment="1" applyProtection="1">
      <alignment horizontal="center" vertical="center" wrapText="1"/>
      <protection locked="0"/>
    </xf>
    <xf numFmtId="3" fontId="14" fillId="8" borderId="22" xfId="6" applyNumberFormat="1" applyFont="1" applyBorder="1" applyAlignment="1" applyProtection="1">
      <alignment horizontal="center" vertical="center"/>
      <protection locked="0"/>
    </xf>
    <xf numFmtId="3" fontId="14" fillId="10" borderId="0" xfId="6" applyNumberFormat="1" applyFont="1" applyFill="1" applyAlignment="1" applyProtection="1">
      <alignment horizontal="center" vertical="center"/>
      <protection locked="0"/>
    </xf>
    <xf numFmtId="0" fontId="0" fillId="10" borderId="36" xfId="0" applyFill="1" applyBorder="1" applyAlignment="1">
      <alignment horizontal="center" vertical="center"/>
    </xf>
    <xf numFmtId="171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12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66" fontId="0" fillId="0" borderId="0" xfId="1" applyFont="1" applyAlignment="1">
      <alignment horizontal="center" vertical="center"/>
    </xf>
    <xf numFmtId="3" fontId="2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71" fontId="24" fillId="0" borderId="0" xfId="0" applyNumberFormat="1" applyFont="1" applyAlignment="1">
      <alignment horizontal="center" vertical="center"/>
    </xf>
    <xf numFmtId="172" fontId="0" fillId="0" borderId="0" xfId="0" applyNumberFormat="1" applyAlignment="1">
      <alignment horizontal="center" vertical="center"/>
    </xf>
    <xf numFmtId="3" fontId="23" fillId="0" borderId="0" xfId="0" applyNumberFormat="1" applyFont="1" applyAlignment="1">
      <alignment horizontal="center" vertical="center"/>
    </xf>
    <xf numFmtId="0" fontId="0" fillId="10" borderId="0" xfId="0" applyFill="1" applyAlignment="1">
      <alignment horizontal="left" vertical="center" wrapText="1"/>
    </xf>
    <xf numFmtId="3" fontId="22" fillId="0" borderId="0" xfId="0" applyNumberFormat="1" applyFont="1" applyAlignment="1">
      <alignment horizontal="center"/>
    </xf>
    <xf numFmtId="173" fontId="14" fillId="8" borderId="22" xfId="6" applyNumberFormat="1" applyFont="1" applyBorder="1" applyAlignment="1" applyProtection="1">
      <alignment horizontal="center" vertical="center" wrapText="1"/>
      <protection locked="0"/>
    </xf>
    <xf numFmtId="173" fontId="14" fillId="8" borderId="22" xfId="6" applyNumberFormat="1" applyFont="1" applyBorder="1" applyAlignment="1" applyProtection="1">
      <alignment horizontal="center" vertical="center"/>
      <protection locked="0"/>
    </xf>
    <xf numFmtId="0" fontId="26" fillId="0" borderId="0" xfId="0" applyFont="1" applyAlignment="1">
      <alignment horizontal="center"/>
    </xf>
    <xf numFmtId="0" fontId="25" fillId="0" borderId="6" xfId="0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44" fontId="25" fillId="0" borderId="0" xfId="11" applyFont="1" applyAlignment="1">
      <alignment horizontal="center" vertical="center"/>
    </xf>
    <xf numFmtId="44" fontId="25" fillId="0" borderId="0" xfId="11" applyFont="1" applyFill="1" applyAlignment="1">
      <alignment horizontal="center" vertical="center"/>
    </xf>
    <xf numFmtId="0" fontId="3" fillId="3" borderId="13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7" borderId="13" xfId="0" applyFont="1" applyFill="1" applyBorder="1" applyAlignment="1">
      <alignment horizontal="center" vertical="center"/>
    </xf>
    <xf numFmtId="0" fontId="3" fillId="7" borderId="14" xfId="0" applyFont="1" applyFill="1" applyBorder="1" applyAlignment="1">
      <alignment horizontal="center" vertical="center"/>
    </xf>
    <xf numFmtId="0" fontId="3" fillId="7" borderId="15" xfId="0" applyFont="1" applyFill="1" applyBorder="1" applyAlignment="1">
      <alignment horizontal="center" vertical="center"/>
    </xf>
    <xf numFmtId="0" fontId="18" fillId="13" borderId="22" xfId="6" applyFont="1" applyFill="1" applyBorder="1" applyAlignment="1">
      <alignment horizontal="center" vertical="center"/>
    </xf>
    <xf numFmtId="0" fontId="14" fillId="8" borderId="22" xfId="6" applyFont="1" applyBorder="1" applyAlignment="1" applyProtection="1">
      <alignment horizontal="center" vertical="center"/>
      <protection locked="0"/>
    </xf>
    <xf numFmtId="0" fontId="18" fillId="13" borderId="23" xfId="6" applyFont="1" applyFill="1" applyBorder="1" applyAlignment="1">
      <alignment horizontal="center" vertical="center"/>
    </xf>
    <xf numFmtId="0" fontId="18" fillId="13" borderId="25" xfId="6" applyFont="1" applyFill="1" applyBorder="1" applyAlignment="1">
      <alignment horizontal="center" vertical="center"/>
    </xf>
    <xf numFmtId="14" fontId="18" fillId="8" borderId="22" xfId="6" applyNumberFormat="1" applyFont="1" applyBorder="1" applyAlignment="1" applyProtection="1">
      <alignment horizontal="center" vertical="center"/>
      <protection locked="0"/>
    </xf>
    <xf numFmtId="0" fontId="18" fillId="13" borderId="22" xfId="6" applyFont="1" applyFill="1" applyBorder="1" applyAlignment="1" applyProtection="1">
      <alignment horizontal="center" vertical="center"/>
      <protection locked="0"/>
    </xf>
    <xf numFmtId="0" fontId="21" fillId="0" borderId="22" xfId="10" applyBorder="1" applyAlignment="1" applyProtection="1">
      <alignment horizontal="center" vertical="center"/>
      <protection locked="0"/>
    </xf>
    <xf numFmtId="0" fontId="18" fillId="15" borderId="23" xfId="6" applyFont="1" applyFill="1" applyBorder="1" applyAlignment="1">
      <alignment horizontal="center" vertical="center"/>
    </xf>
    <xf numFmtId="0" fontId="18" fillId="15" borderId="24" xfId="6" applyFont="1" applyFill="1" applyBorder="1" applyAlignment="1">
      <alignment horizontal="center" vertical="center"/>
    </xf>
    <xf numFmtId="0" fontId="14" fillId="8" borderId="23" xfId="6" applyFont="1" applyBorder="1" applyAlignment="1">
      <alignment horizontal="center" vertical="center"/>
    </xf>
    <xf numFmtId="0" fontId="14" fillId="8" borderId="24" xfId="6" applyFont="1" applyBorder="1" applyAlignment="1">
      <alignment horizontal="center" vertical="center"/>
    </xf>
    <xf numFmtId="0" fontId="14" fillId="8" borderId="25" xfId="6" applyFont="1" applyBorder="1" applyAlignment="1">
      <alignment horizontal="center" vertical="center"/>
    </xf>
    <xf numFmtId="38" fontId="18" fillId="14" borderId="22" xfId="9" applyNumberFormat="1" applyFont="1" applyFill="1" applyBorder="1" applyAlignment="1">
      <alignment horizontal="center" vertical="center" wrapText="1"/>
    </xf>
    <xf numFmtId="0" fontId="14" fillId="13" borderId="22" xfId="6" applyFont="1" applyFill="1" applyBorder="1" applyAlignment="1">
      <alignment horizontal="center" vertical="center"/>
    </xf>
    <xf numFmtId="0" fontId="18" fillId="13" borderId="22" xfId="6" applyFont="1" applyFill="1" applyBorder="1" applyAlignment="1">
      <alignment horizontal="center" vertical="center" wrapText="1"/>
    </xf>
    <xf numFmtId="0" fontId="14" fillId="13" borderId="22" xfId="6" applyFont="1" applyFill="1" applyBorder="1" applyAlignment="1">
      <alignment horizontal="center" vertical="center" wrapText="1"/>
    </xf>
    <xf numFmtId="0" fontId="18" fillId="8" borderId="0" xfId="6" applyFont="1" applyAlignment="1">
      <alignment horizontal="center" vertical="center"/>
    </xf>
    <xf numFmtId="0" fontId="18" fillId="15" borderId="22" xfId="6" applyFont="1" applyFill="1" applyBorder="1" applyAlignment="1">
      <alignment horizontal="center" vertical="center"/>
    </xf>
    <xf numFmtId="0" fontId="18" fillId="12" borderId="22" xfId="6" applyFont="1" applyFill="1" applyBorder="1" applyAlignment="1">
      <alignment horizontal="center" vertical="center"/>
    </xf>
    <xf numFmtId="0" fontId="6" fillId="13" borderId="16" xfId="0" applyFont="1" applyFill="1" applyBorder="1" applyAlignment="1">
      <alignment horizontal="center" vertical="center"/>
    </xf>
    <xf numFmtId="0" fontId="6" fillId="13" borderId="17" xfId="0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center" vertical="center" wrapText="1"/>
    </xf>
    <xf numFmtId="0" fontId="6" fillId="4" borderId="19" xfId="0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3" fontId="0" fillId="0" borderId="26" xfId="0" applyNumberFormat="1" applyBorder="1" applyAlignment="1">
      <alignment horizontal="center" vertical="center"/>
    </xf>
    <xf numFmtId="0" fontId="20" fillId="4" borderId="0" xfId="6" applyFont="1" applyFill="1" applyAlignment="1">
      <alignment horizontal="center" vertical="center"/>
    </xf>
    <xf numFmtId="0" fontId="0" fillId="10" borderId="16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6" xfId="0" applyBorder="1" applyAlignment="1">
      <alignment horizontal="justify" vertical="center"/>
    </xf>
    <xf numFmtId="0" fontId="18" fillId="13" borderId="32" xfId="6" applyFont="1" applyFill="1" applyBorder="1" applyAlignment="1">
      <alignment horizontal="center" vertical="center"/>
    </xf>
    <xf numFmtId="0" fontId="18" fillId="13" borderId="33" xfId="6" applyFont="1" applyFill="1" applyBorder="1" applyAlignment="1">
      <alignment horizontal="center" vertical="center"/>
    </xf>
    <xf numFmtId="170" fontId="14" fillId="0" borderId="26" xfId="7" applyNumberFormat="1" applyFont="1" applyFill="1" applyBorder="1" applyAlignment="1" applyProtection="1">
      <alignment horizontal="center" vertical="center" wrapText="1"/>
      <protection locked="0"/>
    </xf>
    <xf numFmtId="0" fontId="18" fillId="13" borderId="26" xfId="6" applyFont="1" applyFill="1" applyBorder="1" applyAlignment="1">
      <alignment horizontal="center" vertical="center" wrapText="1"/>
    </xf>
    <xf numFmtId="0" fontId="18" fillId="13" borderId="26" xfId="6" applyFont="1" applyFill="1" applyBorder="1" applyAlignment="1">
      <alignment horizontal="center" vertical="center"/>
    </xf>
    <xf numFmtId="0" fontId="18" fillId="13" borderId="27" xfId="6" applyFont="1" applyFill="1" applyBorder="1" applyAlignment="1">
      <alignment horizontal="center" vertical="center" wrapText="1"/>
    </xf>
    <xf numFmtId="0" fontId="18" fillId="13" borderId="0" xfId="6" applyFont="1" applyFill="1" applyAlignment="1">
      <alignment horizontal="center" vertical="center" wrapText="1"/>
    </xf>
    <xf numFmtId="0" fontId="14" fillId="12" borderId="26" xfId="6" applyFont="1" applyFill="1" applyBorder="1" applyAlignment="1" applyProtection="1">
      <alignment horizontal="center" vertical="center"/>
      <protection locked="0"/>
    </xf>
    <xf numFmtId="0" fontId="14" fillId="10" borderId="28" xfId="6" applyFont="1" applyFill="1" applyBorder="1" applyAlignment="1">
      <alignment horizontal="center" vertical="center"/>
    </xf>
    <xf numFmtId="0" fontId="14" fillId="10" borderId="29" xfId="6" applyFont="1" applyFill="1" applyBorder="1" applyAlignment="1">
      <alignment horizontal="center" vertical="center"/>
    </xf>
    <xf numFmtId="0" fontId="14" fillId="10" borderId="28" xfId="6" applyFont="1" applyFill="1" applyBorder="1" applyAlignment="1" applyProtection="1">
      <alignment horizontal="center" vertical="center"/>
      <protection locked="0"/>
    </xf>
    <xf numFmtId="0" fontId="14" fillId="10" borderId="31" xfId="6" applyFont="1" applyFill="1" applyBorder="1" applyAlignment="1" applyProtection="1">
      <alignment horizontal="center" vertical="center"/>
      <protection locked="0"/>
    </xf>
    <xf numFmtId="0" fontId="14" fillId="10" borderId="29" xfId="6" applyFont="1" applyFill="1" applyBorder="1" applyAlignment="1" applyProtection="1">
      <alignment horizontal="center" vertical="center"/>
      <protection locked="0"/>
    </xf>
    <xf numFmtId="0" fontId="14" fillId="12" borderId="26" xfId="6" applyFont="1" applyFill="1" applyBorder="1" applyAlignment="1">
      <alignment horizontal="center" vertical="center"/>
    </xf>
    <xf numFmtId="0" fontId="18" fillId="13" borderId="30" xfId="6" applyFont="1" applyFill="1" applyBorder="1" applyAlignment="1">
      <alignment horizontal="center" vertical="center" wrapText="1"/>
    </xf>
    <xf numFmtId="0" fontId="6" fillId="4" borderId="20" xfId="0" applyFont="1" applyFill="1" applyBorder="1" applyAlignment="1">
      <alignment horizontal="center" vertical="center"/>
    </xf>
    <xf numFmtId="0" fontId="6" fillId="4" borderId="34" xfId="0" applyFont="1" applyFill="1" applyBorder="1" applyAlignment="1">
      <alignment horizontal="center" vertical="center"/>
    </xf>
    <xf numFmtId="0" fontId="6" fillId="4" borderId="21" xfId="0" applyFont="1" applyFill="1" applyBorder="1" applyAlignment="1">
      <alignment horizontal="center" vertical="center"/>
    </xf>
    <xf numFmtId="0" fontId="6" fillId="4" borderId="35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</cellXfs>
  <cellStyles count="12">
    <cellStyle name="Hipervínculo" xfId="10" builtinId="8"/>
    <cellStyle name="Hipervínculo 2" xfId="8" xr:uid="{CA80B6C2-21A1-4743-9BC3-BDB2C8342371}"/>
    <cellStyle name="Millares" xfId="1" builtinId="3"/>
    <cellStyle name="Millares 2" xfId="2" xr:uid="{00000000-0005-0000-0000-000001000000}"/>
    <cellStyle name="Moneda" xfId="11" builtinId="4"/>
    <cellStyle name="Moneda [0] 2" xfId="3" xr:uid="{00000000-0005-0000-0000-000002000000}"/>
    <cellStyle name="Moneda 2" xfId="4" xr:uid="{00000000-0005-0000-0000-000003000000}"/>
    <cellStyle name="Normal" xfId="0" builtinId="0"/>
    <cellStyle name="Normal 2" xfId="6" xr:uid="{C837DE09-24FA-44EB-A9A9-5DAC197745BA}"/>
    <cellStyle name="Normal_Encuesta Formulario 2001" xfId="9" xr:uid="{9DC559D9-FBD2-4FD6-B807-518F94A2F4D7}"/>
    <cellStyle name="Porcentaje" xfId="7" builtinId="5"/>
    <cellStyle name="Porcentual 2" xfId="5" xr:uid="{00000000-0005-0000-0000-000006000000}"/>
  </cellStyles>
  <dxfs count="5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6" formatCode="#,##0;[Red]\-#,##0"/>
      <alignment horizontal="center" vertical="center" textRotation="0" wrapText="0" indent="0" justifyLastLine="0" shrinkToFit="0" readingOrder="0"/>
    </dxf>
    <dxf>
      <numFmt numFmtId="6" formatCode="#,##0;[Red]\-#,##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7" formatCode="#,##0_);[Red]\(#,##0\)"/>
      <alignment horizontal="center" vertical="center" textRotation="0" wrapText="0" indent="0" justifyLastLine="0" shrinkToFit="0" readingOrder="0"/>
    </dxf>
    <dxf>
      <numFmt numFmtId="6" formatCode="#,##0;[Red]\-#,##0"/>
      <alignment horizontal="center" vertical="center" textRotation="0" wrapText="0" indent="0" justifyLastLine="0" shrinkToFit="0" readingOrder="0"/>
    </dxf>
    <dxf>
      <numFmt numFmtId="6" formatCode="#,##0;[Red]\-#,##0"/>
      <alignment horizontal="center" vertical="center" textRotation="0" wrapText="0" indent="0" justifyLastLine="0" shrinkToFit="0" readingOrder="0"/>
    </dxf>
    <dxf>
      <numFmt numFmtId="6" formatCode="#,##0;[Red]\-#,##0"/>
      <alignment horizontal="center" vertical="center" textRotation="0" wrapText="0" indent="0" justifyLastLine="0" shrinkToFit="0" readingOrder="0"/>
    </dxf>
    <dxf>
      <numFmt numFmtId="6" formatCode="#,##0;[Red]\-#,##0"/>
      <alignment horizontal="center" vertical="center" textRotation="0" wrapText="0" indent="0" justifyLastLine="0" shrinkToFit="0" readingOrder="0"/>
    </dxf>
    <dxf>
      <numFmt numFmtId="6" formatCode="#,##0;[Red]\-#,##0"/>
      <alignment horizontal="center" vertical="center" textRotation="0" wrapText="0" indent="0" justifyLastLine="0" shrinkToFit="0" readingOrder="0"/>
    </dxf>
    <dxf>
      <numFmt numFmtId="6" formatCode="#,##0;[Red]\-#,##0"/>
      <alignment horizontal="center" vertical="center" textRotation="0" wrapText="0" indent="0" justifyLastLine="0" shrinkToFit="0" readingOrder="0"/>
    </dxf>
    <dxf>
      <numFmt numFmtId="6" formatCode="#,##0;[Red]\-#,##0"/>
      <alignment horizontal="center" vertical="center" textRotation="0" wrapText="0" indent="0" justifyLastLine="0" shrinkToFit="0" readingOrder="0"/>
    </dxf>
    <dxf>
      <numFmt numFmtId="6" formatCode="#,##0;[Red]\-#,##0"/>
      <alignment horizontal="center" vertical="center" textRotation="0" wrapText="0" indent="0" justifyLastLine="0" shrinkToFit="0" readingOrder="0"/>
    </dxf>
    <dxf>
      <numFmt numFmtId="6" formatCode="#,##0;[Red]\-#,##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8" formatCode="#,##0.00;[Red]\-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EE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EE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EE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</dxf>
    <dxf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indent="0" justifyLastLine="0" shrinkToFit="0" readingOrder="0"/>
    </dxf>
    <dxf>
      <border>
        <bottom style="thin">
          <color theme="0" tint="-0.499984740745262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/>
        <bottom/>
      </border>
    </dxf>
  </dxfs>
  <tableStyles count="0" defaultTableStyle="TableStyleMedium2" defaultPivotStyle="PivotStyleLight16"/>
  <colors>
    <mruColors>
      <color rgb="FF7ED957"/>
      <color rgb="FFC4D79B"/>
      <color rgb="FFC4BD97"/>
      <color rgb="FF6F994F"/>
      <color rgb="FFF2F2F2"/>
      <color rgb="FFEBF1DE"/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checked="Checked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checked="Checked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944880</xdr:colOff>
          <xdr:row>36</xdr:row>
          <xdr:rowOff>868680</xdr:rowOff>
        </xdr:from>
        <xdr:to>
          <xdr:col>2</xdr:col>
          <xdr:colOff>1325880</xdr:colOff>
          <xdr:row>38</xdr:row>
          <xdr:rowOff>83820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0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944880</xdr:colOff>
          <xdr:row>37</xdr:row>
          <xdr:rowOff>144780</xdr:rowOff>
        </xdr:from>
        <xdr:to>
          <xdr:col>2</xdr:col>
          <xdr:colOff>1325880</xdr:colOff>
          <xdr:row>39</xdr:row>
          <xdr:rowOff>83820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0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944880</xdr:colOff>
          <xdr:row>38</xdr:row>
          <xdr:rowOff>144780</xdr:rowOff>
        </xdr:from>
        <xdr:to>
          <xdr:col>2</xdr:col>
          <xdr:colOff>1325880</xdr:colOff>
          <xdr:row>40</xdr:row>
          <xdr:rowOff>83820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0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944880</xdr:colOff>
          <xdr:row>39</xdr:row>
          <xdr:rowOff>190500</xdr:rowOff>
        </xdr:from>
        <xdr:to>
          <xdr:col>2</xdr:col>
          <xdr:colOff>1325880</xdr:colOff>
          <xdr:row>41</xdr:row>
          <xdr:rowOff>7620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0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944880</xdr:colOff>
          <xdr:row>40</xdr:row>
          <xdr:rowOff>266700</xdr:rowOff>
        </xdr:from>
        <xdr:to>
          <xdr:col>2</xdr:col>
          <xdr:colOff>1325880</xdr:colOff>
          <xdr:row>42</xdr:row>
          <xdr:rowOff>83820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0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7</xdr:col>
      <xdr:colOff>1</xdr:colOff>
      <xdr:row>2</xdr:row>
      <xdr:rowOff>74772</xdr:rowOff>
    </xdr:from>
    <xdr:to>
      <xdr:col>8</xdr:col>
      <xdr:colOff>419100</xdr:colOff>
      <xdr:row>6</xdr:row>
      <xdr:rowOff>148590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618" t="6443" r="31239" b="73513"/>
        <a:stretch/>
      </xdr:blipFill>
      <xdr:spPr>
        <a:xfrm>
          <a:off x="9344026" y="265272"/>
          <a:ext cx="1857374" cy="8358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88900</xdr:colOff>
      <xdr:row>4</xdr:row>
      <xdr:rowOff>46566</xdr:rowOff>
    </xdr:from>
    <xdr:to>
      <xdr:col>12</xdr:col>
      <xdr:colOff>99482</xdr:colOff>
      <xdr:row>6</xdr:row>
      <xdr:rowOff>258837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618" t="6443" r="31239" b="73513"/>
        <a:stretch/>
      </xdr:blipFill>
      <xdr:spPr>
        <a:xfrm>
          <a:off x="8534400" y="808566"/>
          <a:ext cx="2709333" cy="121920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524972</xdr:colOff>
          <xdr:row>31</xdr:row>
          <xdr:rowOff>197662</xdr:rowOff>
        </xdr:from>
        <xdr:to>
          <xdr:col>2</xdr:col>
          <xdr:colOff>829772</xdr:colOff>
          <xdr:row>40</xdr:row>
          <xdr:rowOff>323687</xdr:rowOff>
        </xdr:to>
        <xdr:grpSp>
          <xdr:nvGrpSpPr>
            <xdr:cNvPr id="9" name="Grupo 8">
              <a:extLst>
                <a:ext uri="{FF2B5EF4-FFF2-40B4-BE49-F238E27FC236}">
                  <a16:creationId xmlns:a16="http://schemas.microsoft.com/office/drawing/2014/main" id="{00000000-0008-0000-0100-000009000000}"/>
                </a:ext>
              </a:extLst>
            </xdr:cNvPr>
            <xdr:cNvGrpSpPr/>
          </xdr:nvGrpSpPr>
          <xdr:grpSpPr>
            <a:xfrm>
              <a:off x="3913631" y="8283827"/>
              <a:ext cx="304800" cy="3272636"/>
              <a:chOff x="3435350" y="6587060"/>
              <a:chExt cx="304800" cy="3377139"/>
            </a:xfrm>
          </xdr:grpSpPr>
          <xdr:sp macro="" textlink="">
            <xdr:nvSpPr>
              <xdr:cNvPr id="5145" name="Check Box 25" hidden="1">
                <a:extLst>
                  <a:ext uri="{63B3BB69-23CF-44E3-9099-C40C66FF867C}">
                    <a14:compatExt spid="_x0000_s5145"/>
                  </a:ext>
                  <a:ext uri="{FF2B5EF4-FFF2-40B4-BE49-F238E27FC236}">
                    <a16:creationId xmlns:a16="http://schemas.microsoft.com/office/drawing/2014/main" id="{9663CC17-48F1-0B21-CE6A-B2B25C61DA82}"/>
                  </a:ext>
                </a:extLst>
              </xdr:cNvPr>
              <xdr:cNvSpPr/>
            </xdr:nvSpPr>
            <xdr:spPr bwMode="auto">
              <a:xfrm>
                <a:off x="3435350" y="6587060"/>
                <a:ext cx="30480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25</a:t>
                </a:r>
              </a:p>
            </xdr:txBody>
          </xdr:sp>
          <xdr:sp macro="" textlink="">
            <xdr:nvSpPr>
              <xdr:cNvPr id="5146" name="Check Box 26" hidden="1">
                <a:extLst>
                  <a:ext uri="{63B3BB69-23CF-44E3-9099-C40C66FF867C}">
                    <a14:compatExt spid="_x0000_s5146"/>
                  </a:ext>
                  <a:ext uri="{FF2B5EF4-FFF2-40B4-BE49-F238E27FC236}">
                    <a16:creationId xmlns:a16="http://schemas.microsoft.com/office/drawing/2014/main" id="{F1B7921B-A25B-886B-B5B8-BFBDCAF6E68F}"/>
                  </a:ext>
                </a:extLst>
              </xdr:cNvPr>
              <xdr:cNvSpPr/>
            </xdr:nvSpPr>
            <xdr:spPr bwMode="auto">
              <a:xfrm>
                <a:off x="3435350" y="6916208"/>
                <a:ext cx="30480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26</a:t>
                </a:r>
              </a:p>
            </xdr:txBody>
          </xdr:sp>
          <xdr:sp macro="" textlink="">
            <xdr:nvSpPr>
              <xdr:cNvPr id="5147" name="Check Box 27" hidden="1">
                <a:extLst>
                  <a:ext uri="{63B3BB69-23CF-44E3-9099-C40C66FF867C}">
                    <a14:compatExt spid="_x0000_s5147"/>
                  </a:ext>
                  <a:ext uri="{FF2B5EF4-FFF2-40B4-BE49-F238E27FC236}">
                    <a16:creationId xmlns:a16="http://schemas.microsoft.com/office/drawing/2014/main" id="{47296B63-1999-B761-967F-FA4A2B55F37D}"/>
                  </a:ext>
                </a:extLst>
              </xdr:cNvPr>
              <xdr:cNvSpPr/>
            </xdr:nvSpPr>
            <xdr:spPr bwMode="auto">
              <a:xfrm>
                <a:off x="3435350" y="7292975"/>
                <a:ext cx="30480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27</a:t>
                </a:r>
              </a:p>
            </xdr:txBody>
          </xdr:sp>
          <xdr:sp macro="" textlink="">
            <xdr:nvSpPr>
              <xdr:cNvPr id="5148" name="Check Box 28" hidden="1">
                <a:extLst>
                  <a:ext uri="{63B3BB69-23CF-44E3-9099-C40C66FF867C}">
                    <a14:compatExt spid="_x0000_s5148"/>
                  </a:ext>
                  <a:ext uri="{FF2B5EF4-FFF2-40B4-BE49-F238E27FC236}">
                    <a16:creationId xmlns:a16="http://schemas.microsoft.com/office/drawing/2014/main" id="{B7F02BEB-138C-B667-8811-C8ABC44B85E4}"/>
                  </a:ext>
                </a:extLst>
              </xdr:cNvPr>
              <xdr:cNvSpPr/>
            </xdr:nvSpPr>
            <xdr:spPr bwMode="auto">
              <a:xfrm>
                <a:off x="3435350" y="7645401"/>
                <a:ext cx="30480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28</a:t>
                </a:r>
              </a:p>
            </xdr:txBody>
          </xdr:sp>
          <xdr:sp macro="" textlink="">
            <xdr:nvSpPr>
              <xdr:cNvPr id="5149" name="Check Box 29" hidden="1">
                <a:extLst>
                  <a:ext uri="{63B3BB69-23CF-44E3-9099-C40C66FF867C}">
                    <a14:compatExt spid="_x0000_s5149"/>
                  </a:ext>
                  <a:ext uri="{FF2B5EF4-FFF2-40B4-BE49-F238E27FC236}">
                    <a16:creationId xmlns:a16="http://schemas.microsoft.com/office/drawing/2014/main" id="{A18A4A49-09A2-DBE8-3443-96C2C41A8346}"/>
                  </a:ext>
                </a:extLst>
              </xdr:cNvPr>
              <xdr:cNvSpPr/>
            </xdr:nvSpPr>
            <xdr:spPr bwMode="auto">
              <a:xfrm>
                <a:off x="3435350" y="7993593"/>
                <a:ext cx="30480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29</a:t>
                </a:r>
              </a:p>
            </xdr:txBody>
          </xdr:sp>
          <xdr:sp macro="" textlink="">
            <xdr:nvSpPr>
              <xdr:cNvPr id="5150" name="Check Box 30" hidden="1">
                <a:extLst>
                  <a:ext uri="{63B3BB69-23CF-44E3-9099-C40C66FF867C}">
                    <a14:compatExt spid="_x0000_s5150"/>
                  </a:ext>
                  <a:ext uri="{FF2B5EF4-FFF2-40B4-BE49-F238E27FC236}">
                    <a16:creationId xmlns:a16="http://schemas.microsoft.com/office/drawing/2014/main" id="{B4213191-104E-49FC-4B43-D67B12439894}"/>
                  </a:ext>
                </a:extLst>
              </xdr:cNvPr>
              <xdr:cNvSpPr/>
            </xdr:nvSpPr>
            <xdr:spPr bwMode="auto">
              <a:xfrm>
                <a:off x="3435350" y="8344958"/>
                <a:ext cx="30480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30</a:t>
                </a:r>
              </a:p>
            </xdr:txBody>
          </xdr:sp>
          <xdr:sp macro="" textlink="">
            <xdr:nvSpPr>
              <xdr:cNvPr id="5151" name="Check Box 31" hidden="1">
                <a:extLst>
                  <a:ext uri="{63B3BB69-23CF-44E3-9099-C40C66FF867C}">
                    <a14:compatExt spid="_x0000_s5151"/>
                  </a:ext>
                  <a:ext uri="{FF2B5EF4-FFF2-40B4-BE49-F238E27FC236}">
                    <a16:creationId xmlns:a16="http://schemas.microsoft.com/office/drawing/2014/main" id="{F765A7EB-89C4-23A0-1B40-B0CDC36D7EB8}"/>
                  </a:ext>
                </a:extLst>
              </xdr:cNvPr>
              <xdr:cNvSpPr/>
            </xdr:nvSpPr>
            <xdr:spPr bwMode="auto">
              <a:xfrm>
                <a:off x="3435350" y="8674101"/>
                <a:ext cx="30480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31</a:t>
                </a:r>
              </a:p>
            </xdr:txBody>
          </xdr:sp>
          <xdr:sp macro="" textlink="">
            <xdr:nvSpPr>
              <xdr:cNvPr id="5152" name="Check Box 32" hidden="1">
                <a:extLst>
                  <a:ext uri="{63B3BB69-23CF-44E3-9099-C40C66FF867C}">
                    <a14:compatExt spid="_x0000_s5152"/>
                  </a:ext>
                  <a:ext uri="{FF2B5EF4-FFF2-40B4-BE49-F238E27FC236}">
                    <a16:creationId xmlns:a16="http://schemas.microsoft.com/office/drawing/2014/main" id="{FCA57F76-3A98-EE04-3F65-52481E856C32}"/>
                  </a:ext>
                </a:extLst>
              </xdr:cNvPr>
              <xdr:cNvSpPr/>
            </xdr:nvSpPr>
            <xdr:spPr bwMode="auto">
              <a:xfrm>
                <a:off x="3435350" y="9031817"/>
                <a:ext cx="30480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32</a:t>
                </a:r>
              </a:p>
            </xdr:txBody>
          </xdr:sp>
          <xdr:sp macro="" textlink="">
            <xdr:nvSpPr>
              <xdr:cNvPr id="5153" name="Check Box 33" hidden="1">
                <a:extLst>
                  <a:ext uri="{63B3BB69-23CF-44E3-9099-C40C66FF867C}">
                    <a14:compatExt spid="_x0000_s5153"/>
                  </a:ext>
                  <a:ext uri="{FF2B5EF4-FFF2-40B4-BE49-F238E27FC236}">
                    <a16:creationId xmlns:a16="http://schemas.microsoft.com/office/drawing/2014/main" id="{B5D8D2BE-EFB5-E510-CFE0-DF5A79F9FBD6}"/>
                  </a:ext>
                </a:extLst>
              </xdr:cNvPr>
              <xdr:cNvSpPr/>
            </xdr:nvSpPr>
            <xdr:spPr bwMode="auto">
              <a:xfrm>
                <a:off x="3435350" y="9399058"/>
                <a:ext cx="30480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33</a:t>
                </a:r>
              </a:p>
            </xdr:txBody>
          </xdr:sp>
          <xdr:sp macro="" textlink="">
            <xdr:nvSpPr>
              <xdr:cNvPr id="5154" name="Check Box 34" hidden="1">
                <a:extLst>
                  <a:ext uri="{63B3BB69-23CF-44E3-9099-C40C66FF867C}">
                    <a14:compatExt spid="_x0000_s5154"/>
                  </a:ext>
                  <a:ext uri="{FF2B5EF4-FFF2-40B4-BE49-F238E27FC236}">
                    <a16:creationId xmlns:a16="http://schemas.microsoft.com/office/drawing/2014/main" id="{9524B613-5D9C-3181-262C-3BF2D1A4B0F3}"/>
                  </a:ext>
                </a:extLst>
              </xdr:cNvPr>
              <xdr:cNvSpPr/>
            </xdr:nvSpPr>
            <xdr:spPr bwMode="auto">
              <a:xfrm>
                <a:off x="3435350" y="9745124"/>
                <a:ext cx="30480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34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510578</xdr:colOff>
          <xdr:row>17</xdr:row>
          <xdr:rowOff>139590</xdr:rowOff>
        </xdr:from>
        <xdr:to>
          <xdr:col>2</xdr:col>
          <xdr:colOff>815378</xdr:colOff>
          <xdr:row>22</xdr:row>
          <xdr:rowOff>92137</xdr:rowOff>
        </xdr:to>
        <xdr:grpSp>
          <xdr:nvGrpSpPr>
            <xdr:cNvPr id="10" name="Grupo 9">
              <a:extLst>
                <a:ext uri="{FF2B5EF4-FFF2-40B4-BE49-F238E27FC236}">
                  <a16:creationId xmlns:a16="http://schemas.microsoft.com/office/drawing/2014/main" id="{00000000-0008-0000-0100-00000A000000}"/>
                </a:ext>
              </a:extLst>
            </xdr:cNvPr>
            <xdr:cNvGrpSpPr/>
          </xdr:nvGrpSpPr>
          <xdr:grpSpPr>
            <a:xfrm>
              <a:off x="3899237" y="5715637"/>
              <a:ext cx="304800" cy="1162782"/>
              <a:chOff x="3435350" y="3988856"/>
              <a:chExt cx="304800" cy="1192735"/>
            </a:xfrm>
          </xdr:grpSpPr>
          <xdr:sp macro="" textlink="">
            <xdr:nvSpPr>
              <xdr:cNvPr id="5140" name="Check Box 20" hidden="1">
                <a:extLst>
                  <a:ext uri="{63B3BB69-23CF-44E3-9099-C40C66FF867C}">
                    <a14:compatExt spid="_x0000_s5140"/>
                  </a:ext>
                  <a:ext uri="{FF2B5EF4-FFF2-40B4-BE49-F238E27FC236}">
                    <a16:creationId xmlns:a16="http://schemas.microsoft.com/office/drawing/2014/main" id="{48F93C68-2025-61B5-0B38-7C52620F1735}"/>
                  </a:ext>
                </a:extLst>
              </xdr:cNvPr>
              <xdr:cNvSpPr/>
            </xdr:nvSpPr>
            <xdr:spPr bwMode="auto">
              <a:xfrm>
                <a:off x="3435350" y="3988856"/>
                <a:ext cx="304800" cy="21907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20</a:t>
                </a:r>
              </a:p>
            </xdr:txBody>
          </xdr:sp>
          <xdr:sp macro="" textlink="">
            <xdr:nvSpPr>
              <xdr:cNvPr id="5141" name="Check Box 21" hidden="1">
                <a:extLst>
                  <a:ext uri="{63B3BB69-23CF-44E3-9099-C40C66FF867C}">
                    <a14:compatExt spid="_x0000_s5141"/>
                  </a:ext>
                  <a:ext uri="{FF2B5EF4-FFF2-40B4-BE49-F238E27FC236}">
                    <a16:creationId xmlns:a16="http://schemas.microsoft.com/office/drawing/2014/main" id="{705BDEE3-1A70-C5CC-C9A4-C723DC1FD3E7}"/>
                  </a:ext>
                </a:extLst>
              </xdr:cNvPr>
              <xdr:cNvSpPr/>
            </xdr:nvSpPr>
            <xdr:spPr bwMode="auto">
              <a:xfrm>
                <a:off x="3435350" y="4232275"/>
                <a:ext cx="30480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21</a:t>
                </a:r>
              </a:p>
            </xdr:txBody>
          </xdr:sp>
          <xdr:sp macro="" textlink="">
            <xdr:nvSpPr>
              <xdr:cNvPr id="5142" name="Check Box 22" hidden="1">
                <a:extLst>
                  <a:ext uri="{63B3BB69-23CF-44E3-9099-C40C66FF867C}">
                    <a14:compatExt spid="_x0000_s5142"/>
                  </a:ext>
                  <a:ext uri="{FF2B5EF4-FFF2-40B4-BE49-F238E27FC236}">
                    <a16:creationId xmlns:a16="http://schemas.microsoft.com/office/drawing/2014/main" id="{EA77A6BD-B3EF-60DF-EA71-B670ED830B72}"/>
                  </a:ext>
                </a:extLst>
              </xdr:cNvPr>
              <xdr:cNvSpPr/>
            </xdr:nvSpPr>
            <xdr:spPr bwMode="auto">
              <a:xfrm>
                <a:off x="3435350" y="4475692"/>
                <a:ext cx="30480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22</a:t>
                </a:r>
              </a:p>
            </xdr:txBody>
          </xdr:sp>
          <xdr:sp macro="" textlink="">
            <xdr:nvSpPr>
              <xdr:cNvPr id="5144" name="Check Box 24" hidden="1">
                <a:extLst>
                  <a:ext uri="{63B3BB69-23CF-44E3-9099-C40C66FF867C}">
                    <a14:compatExt spid="_x0000_s5144"/>
                  </a:ext>
                  <a:ext uri="{FF2B5EF4-FFF2-40B4-BE49-F238E27FC236}">
                    <a16:creationId xmlns:a16="http://schemas.microsoft.com/office/drawing/2014/main" id="{38ECFD11-0B8B-16B3-4328-F2F123464630}"/>
                  </a:ext>
                </a:extLst>
              </xdr:cNvPr>
              <xdr:cNvSpPr/>
            </xdr:nvSpPr>
            <xdr:spPr bwMode="auto">
              <a:xfrm>
                <a:off x="3435350" y="4962516"/>
                <a:ext cx="30480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24</a:t>
                </a:r>
              </a:p>
            </xdr:txBody>
          </xdr:sp>
          <xdr:sp macro="" textlink="">
            <xdr:nvSpPr>
              <xdr:cNvPr id="5155" name="OTROPAGO" hidden="1">
                <a:extLst>
                  <a:ext uri="{63B3BB69-23CF-44E3-9099-C40C66FF867C}">
                    <a14:compatExt spid="_x0000_s5155"/>
                  </a:ext>
                  <a:ext uri="{FF2B5EF4-FFF2-40B4-BE49-F238E27FC236}">
                    <a16:creationId xmlns:a16="http://schemas.microsoft.com/office/drawing/2014/main" id="{06176655-BF7F-71F4-5CE9-4C6C8D05C20A}"/>
                  </a:ext>
                </a:extLst>
              </xdr:cNvPr>
              <xdr:cNvSpPr/>
            </xdr:nvSpPr>
            <xdr:spPr bwMode="auto">
              <a:xfrm>
                <a:off x="3435350" y="4719108"/>
                <a:ext cx="30480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35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532591</xdr:colOff>
          <xdr:row>49</xdr:row>
          <xdr:rowOff>130877</xdr:rowOff>
        </xdr:from>
        <xdr:to>
          <xdr:col>2</xdr:col>
          <xdr:colOff>837391</xdr:colOff>
          <xdr:row>55</xdr:row>
          <xdr:rowOff>326541</xdr:rowOff>
        </xdr:to>
        <xdr:grpSp>
          <xdr:nvGrpSpPr>
            <xdr:cNvPr id="8" name="Grupo 7">
              <a:extLst>
                <a:ext uri="{FF2B5EF4-FFF2-40B4-BE49-F238E27FC236}">
                  <a16:creationId xmlns:a16="http://schemas.microsoft.com/office/drawing/2014/main" id="{00000000-0008-0000-0100-000008000000}"/>
                </a:ext>
              </a:extLst>
            </xdr:cNvPr>
            <xdr:cNvGrpSpPr/>
          </xdr:nvGrpSpPr>
          <xdr:grpSpPr>
            <a:xfrm>
              <a:off x="3921250" y="13802053"/>
              <a:ext cx="304800" cy="2185829"/>
              <a:chOff x="3457575" y="11934841"/>
              <a:chExt cx="304800" cy="2238388"/>
            </a:xfrm>
          </xdr:grpSpPr>
          <xdr:sp macro="" textlink="">
            <xdr:nvSpPr>
              <xdr:cNvPr id="5156" name="Check Box 36" hidden="1">
                <a:extLst>
                  <a:ext uri="{63B3BB69-23CF-44E3-9099-C40C66FF867C}">
                    <a14:compatExt spid="_x0000_s5156"/>
                  </a:ext>
                  <a:ext uri="{FF2B5EF4-FFF2-40B4-BE49-F238E27FC236}">
                    <a16:creationId xmlns:a16="http://schemas.microsoft.com/office/drawing/2014/main" id="{1FD61E35-EA1B-E1F1-A6E2-121F21630599}"/>
                  </a:ext>
                </a:extLst>
              </xdr:cNvPr>
              <xdr:cNvSpPr/>
            </xdr:nvSpPr>
            <xdr:spPr bwMode="auto">
              <a:xfrm>
                <a:off x="3457575" y="11934841"/>
                <a:ext cx="304800" cy="21907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36</a:t>
                </a:r>
              </a:p>
            </xdr:txBody>
          </xdr:sp>
          <xdr:sp macro="" textlink="">
            <xdr:nvSpPr>
              <xdr:cNvPr id="5157" name="Check Box 37" hidden="1">
                <a:extLst>
                  <a:ext uri="{63B3BB69-23CF-44E3-9099-C40C66FF867C}">
                    <a14:compatExt spid="_x0000_s5157"/>
                  </a:ext>
                  <a:ext uri="{FF2B5EF4-FFF2-40B4-BE49-F238E27FC236}">
                    <a16:creationId xmlns:a16="http://schemas.microsoft.com/office/drawing/2014/main" id="{9C10CF2C-9E17-6965-BA76-47B0BB5B1EAF}"/>
                  </a:ext>
                </a:extLst>
              </xdr:cNvPr>
              <xdr:cNvSpPr/>
            </xdr:nvSpPr>
            <xdr:spPr bwMode="auto">
              <a:xfrm>
                <a:off x="3457575" y="12277725"/>
                <a:ext cx="30480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37</a:t>
                </a:r>
              </a:p>
            </xdr:txBody>
          </xdr:sp>
          <xdr:sp macro="" textlink="">
            <xdr:nvSpPr>
              <xdr:cNvPr id="5158" name="Check Box 38" hidden="1">
                <a:extLst>
                  <a:ext uri="{63B3BB69-23CF-44E3-9099-C40C66FF867C}">
                    <a14:compatExt spid="_x0000_s5158"/>
                  </a:ext>
                  <a:ext uri="{FF2B5EF4-FFF2-40B4-BE49-F238E27FC236}">
                    <a16:creationId xmlns:a16="http://schemas.microsoft.com/office/drawing/2014/main" id="{003677B4-57A4-05CB-046F-EEED2AACEC6C}"/>
                  </a:ext>
                </a:extLst>
              </xdr:cNvPr>
              <xdr:cNvSpPr/>
            </xdr:nvSpPr>
            <xdr:spPr bwMode="auto">
              <a:xfrm>
                <a:off x="3457575" y="12592050"/>
                <a:ext cx="30480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38</a:t>
                </a:r>
              </a:p>
            </xdr:txBody>
          </xdr:sp>
          <xdr:sp macro="" textlink="">
            <xdr:nvSpPr>
              <xdr:cNvPr id="5159" name="Check Box 39" hidden="1">
                <a:extLst>
                  <a:ext uri="{63B3BB69-23CF-44E3-9099-C40C66FF867C}">
                    <a14:compatExt spid="_x0000_s5159"/>
                  </a:ext>
                  <a:ext uri="{FF2B5EF4-FFF2-40B4-BE49-F238E27FC236}">
                    <a16:creationId xmlns:a16="http://schemas.microsoft.com/office/drawing/2014/main" id="{C21D555B-FFEC-6F95-0209-8CAF1030F984}"/>
                  </a:ext>
                </a:extLst>
              </xdr:cNvPr>
              <xdr:cNvSpPr/>
            </xdr:nvSpPr>
            <xdr:spPr bwMode="auto">
              <a:xfrm>
                <a:off x="3457575" y="12944475"/>
                <a:ext cx="30480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39</a:t>
                </a:r>
              </a:p>
            </xdr:txBody>
          </xdr:sp>
          <xdr:sp macro="" textlink="">
            <xdr:nvSpPr>
              <xdr:cNvPr id="5160" name="Check Box 40" hidden="1">
                <a:extLst>
                  <a:ext uri="{63B3BB69-23CF-44E3-9099-C40C66FF867C}">
                    <a14:compatExt spid="_x0000_s5160"/>
                  </a:ext>
                  <a:ext uri="{FF2B5EF4-FFF2-40B4-BE49-F238E27FC236}">
                    <a16:creationId xmlns:a16="http://schemas.microsoft.com/office/drawing/2014/main" id="{C52AEEDA-6AA4-2BB1-54B5-FBE1A05F5B0F}"/>
                  </a:ext>
                </a:extLst>
              </xdr:cNvPr>
              <xdr:cNvSpPr/>
            </xdr:nvSpPr>
            <xdr:spPr bwMode="auto">
              <a:xfrm>
                <a:off x="3457575" y="13277851"/>
                <a:ext cx="30480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40</a:t>
                </a:r>
              </a:p>
            </xdr:txBody>
          </xdr:sp>
          <xdr:sp macro="" textlink="">
            <xdr:nvSpPr>
              <xdr:cNvPr id="5161" name="Check Box 41" hidden="1">
                <a:extLst>
                  <a:ext uri="{63B3BB69-23CF-44E3-9099-C40C66FF867C}">
                    <a14:compatExt spid="_x0000_s5161"/>
                  </a:ext>
                  <a:ext uri="{FF2B5EF4-FFF2-40B4-BE49-F238E27FC236}">
                    <a16:creationId xmlns:a16="http://schemas.microsoft.com/office/drawing/2014/main" id="{9A92A3F4-A406-4E6B-257A-A4A487AE9101}"/>
                  </a:ext>
                </a:extLst>
              </xdr:cNvPr>
              <xdr:cNvSpPr/>
            </xdr:nvSpPr>
            <xdr:spPr bwMode="auto">
              <a:xfrm>
                <a:off x="3457575" y="13611224"/>
                <a:ext cx="30480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41</a:t>
                </a:r>
              </a:p>
            </xdr:txBody>
          </xdr:sp>
          <xdr:sp macro="" textlink="">
            <xdr:nvSpPr>
              <xdr:cNvPr id="5162" name="Check Box 42" hidden="1">
                <a:extLst>
                  <a:ext uri="{63B3BB69-23CF-44E3-9099-C40C66FF867C}">
                    <a14:compatExt spid="_x0000_s5162"/>
                  </a:ext>
                  <a:ext uri="{FF2B5EF4-FFF2-40B4-BE49-F238E27FC236}">
                    <a16:creationId xmlns:a16="http://schemas.microsoft.com/office/drawing/2014/main" id="{437D9A56-A731-D4BB-1C1D-039DC9D2E2D4}"/>
                  </a:ext>
                </a:extLst>
              </xdr:cNvPr>
              <xdr:cNvSpPr/>
            </xdr:nvSpPr>
            <xdr:spPr bwMode="auto">
              <a:xfrm>
                <a:off x="3457575" y="13954154"/>
                <a:ext cx="30480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42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158937</xdr:colOff>
          <xdr:row>17</xdr:row>
          <xdr:rowOff>156509</xdr:rowOff>
        </xdr:from>
        <xdr:to>
          <xdr:col>16384</xdr:col>
          <xdr:colOff>28907</xdr:colOff>
          <xdr:row>18</xdr:row>
          <xdr:rowOff>123788</xdr:rowOff>
        </xdr:to>
        <xdr:grpSp>
          <xdr:nvGrpSpPr>
            <xdr:cNvPr id="3" name="Grupo 2">
              <a:extLst>
                <a:ext uri="{FF2B5EF4-FFF2-40B4-BE49-F238E27FC236}">
                  <a16:creationId xmlns:a16="http://schemas.microsoft.com/office/drawing/2014/main" id="{00000000-0008-0000-0100-000003000000}"/>
                </a:ext>
              </a:extLst>
            </xdr:cNvPr>
            <xdr:cNvGrpSpPr/>
          </xdr:nvGrpSpPr>
          <xdr:grpSpPr>
            <a:xfrm>
              <a:off x="9240184" y="5732556"/>
              <a:ext cx="6172158" cy="209326"/>
              <a:chOff x="8477257" y="3676650"/>
              <a:chExt cx="6324598" cy="219075"/>
            </a:xfrm>
          </xdr:grpSpPr>
          <xdr:sp macro="" textlink="">
            <xdr:nvSpPr>
              <xdr:cNvPr id="5164" name="Check Box 44" hidden="1">
                <a:extLst>
                  <a:ext uri="{63B3BB69-23CF-44E3-9099-C40C66FF867C}">
                    <a14:compatExt spid="_x0000_s5164"/>
                  </a:ext>
                  <a:ext uri="{FF2B5EF4-FFF2-40B4-BE49-F238E27FC236}">
                    <a16:creationId xmlns:a16="http://schemas.microsoft.com/office/drawing/2014/main" id="{5A8386FC-F75C-7F3F-E84F-EAF3834EB860}"/>
                  </a:ext>
                </a:extLst>
              </xdr:cNvPr>
              <xdr:cNvSpPr/>
            </xdr:nvSpPr>
            <xdr:spPr bwMode="auto">
              <a:xfrm>
                <a:off x="8477257" y="3676650"/>
                <a:ext cx="361949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44</a:t>
                </a:r>
              </a:p>
            </xdr:txBody>
          </xdr:sp>
          <xdr:sp macro="" textlink="">
            <xdr:nvSpPr>
              <xdr:cNvPr id="5165" name="Check Box 45" hidden="1">
                <a:extLst>
                  <a:ext uri="{63B3BB69-23CF-44E3-9099-C40C66FF867C}">
                    <a14:compatExt spid="_x0000_s5165"/>
                  </a:ext>
                  <a:ext uri="{FF2B5EF4-FFF2-40B4-BE49-F238E27FC236}">
                    <a16:creationId xmlns:a16="http://schemas.microsoft.com/office/drawing/2014/main" id="{BF703319-2B6C-3BC5-D19C-F50A8D321D24}"/>
                  </a:ext>
                </a:extLst>
              </xdr:cNvPr>
              <xdr:cNvSpPr/>
            </xdr:nvSpPr>
            <xdr:spPr bwMode="auto">
              <a:xfrm>
                <a:off x="9086850" y="3676650"/>
                <a:ext cx="36195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45</a:t>
                </a:r>
              </a:p>
            </xdr:txBody>
          </xdr:sp>
          <xdr:sp macro="" textlink="">
            <xdr:nvSpPr>
              <xdr:cNvPr id="5166" name="Check Box 46" hidden="1">
                <a:extLst>
                  <a:ext uri="{63B3BB69-23CF-44E3-9099-C40C66FF867C}">
                    <a14:compatExt spid="_x0000_s5166"/>
                  </a:ext>
                  <a:ext uri="{FF2B5EF4-FFF2-40B4-BE49-F238E27FC236}">
                    <a16:creationId xmlns:a16="http://schemas.microsoft.com/office/drawing/2014/main" id="{0B13A6CF-1F23-4B87-2335-D377C2FBA4B3}"/>
                  </a:ext>
                </a:extLst>
              </xdr:cNvPr>
              <xdr:cNvSpPr/>
            </xdr:nvSpPr>
            <xdr:spPr bwMode="auto">
              <a:xfrm>
                <a:off x="9686925" y="3676650"/>
                <a:ext cx="36195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46</a:t>
                </a:r>
              </a:p>
            </xdr:txBody>
          </xdr:sp>
          <xdr:sp macro="" textlink="">
            <xdr:nvSpPr>
              <xdr:cNvPr id="5167" name="Check Box 47" hidden="1">
                <a:extLst>
                  <a:ext uri="{63B3BB69-23CF-44E3-9099-C40C66FF867C}">
                    <a14:compatExt spid="_x0000_s5167"/>
                  </a:ext>
                  <a:ext uri="{FF2B5EF4-FFF2-40B4-BE49-F238E27FC236}">
                    <a16:creationId xmlns:a16="http://schemas.microsoft.com/office/drawing/2014/main" id="{A97DAA6B-6602-5194-50AE-28267D7C8F7A}"/>
                  </a:ext>
                </a:extLst>
              </xdr:cNvPr>
              <xdr:cNvSpPr/>
            </xdr:nvSpPr>
            <xdr:spPr bwMode="auto">
              <a:xfrm>
                <a:off x="10258425" y="3676650"/>
                <a:ext cx="36195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47</a:t>
                </a:r>
              </a:p>
            </xdr:txBody>
          </xdr:sp>
          <xdr:sp macro="" textlink="">
            <xdr:nvSpPr>
              <xdr:cNvPr id="5168" name="Check Box 48" hidden="1">
                <a:extLst>
                  <a:ext uri="{63B3BB69-23CF-44E3-9099-C40C66FF867C}">
                    <a14:compatExt spid="_x0000_s5168"/>
                  </a:ext>
                  <a:ext uri="{FF2B5EF4-FFF2-40B4-BE49-F238E27FC236}">
                    <a16:creationId xmlns:a16="http://schemas.microsoft.com/office/drawing/2014/main" id="{E0A93D87-C1DC-8BB5-6626-104354D02709}"/>
                  </a:ext>
                </a:extLst>
              </xdr:cNvPr>
              <xdr:cNvSpPr/>
            </xdr:nvSpPr>
            <xdr:spPr bwMode="auto">
              <a:xfrm>
                <a:off x="10772775" y="3676650"/>
                <a:ext cx="36195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48</a:t>
                </a:r>
              </a:p>
            </xdr:txBody>
          </xdr:sp>
          <xdr:sp macro="" textlink="">
            <xdr:nvSpPr>
              <xdr:cNvPr id="5169" name="Check Box 49" hidden="1">
                <a:extLst>
                  <a:ext uri="{63B3BB69-23CF-44E3-9099-C40C66FF867C}">
                    <a14:compatExt spid="_x0000_s5169"/>
                  </a:ext>
                  <a:ext uri="{FF2B5EF4-FFF2-40B4-BE49-F238E27FC236}">
                    <a16:creationId xmlns:a16="http://schemas.microsoft.com/office/drawing/2014/main" id="{73C91BE8-EEB2-3CF1-E74E-51167A412672}"/>
                  </a:ext>
                </a:extLst>
              </xdr:cNvPr>
              <xdr:cNvSpPr/>
            </xdr:nvSpPr>
            <xdr:spPr bwMode="auto">
              <a:xfrm>
                <a:off x="11277600" y="3676650"/>
                <a:ext cx="36195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49</a:t>
                </a:r>
              </a:p>
            </xdr:txBody>
          </xdr:sp>
          <xdr:sp macro="" textlink="">
            <xdr:nvSpPr>
              <xdr:cNvPr id="5170" name="Check Box 50" hidden="1">
                <a:extLst>
                  <a:ext uri="{63B3BB69-23CF-44E3-9099-C40C66FF867C}">
                    <a14:compatExt spid="_x0000_s5170"/>
                  </a:ext>
                  <a:ext uri="{FF2B5EF4-FFF2-40B4-BE49-F238E27FC236}">
                    <a16:creationId xmlns:a16="http://schemas.microsoft.com/office/drawing/2014/main" id="{4EB789A7-59EC-7AF5-7A4D-FF3586B4FD41}"/>
                  </a:ext>
                </a:extLst>
              </xdr:cNvPr>
              <xdr:cNvSpPr/>
            </xdr:nvSpPr>
            <xdr:spPr bwMode="auto">
              <a:xfrm>
                <a:off x="11839575" y="3676650"/>
                <a:ext cx="36195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50</a:t>
                </a:r>
              </a:p>
            </xdr:txBody>
          </xdr:sp>
          <xdr:sp macro="" textlink="">
            <xdr:nvSpPr>
              <xdr:cNvPr id="5171" name="Check Box 51" hidden="1">
                <a:extLst>
                  <a:ext uri="{63B3BB69-23CF-44E3-9099-C40C66FF867C}">
                    <a14:compatExt spid="_x0000_s5171"/>
                  </a:ext>
                  <a:ext uri="{FF2B5EF4-FFF2-40B4-BE49-F238E27FC236}">
                    <a16:creationId xmlns:a16="http://schemas.microsoft.com/office/drawing/2014/main" id="{5396281D-EDDE-51B4-E5A4-7A9D1CF5699C}"/>
                  </a:ext>
                </a:extLst>
              </xdr:cNvPr>
              <xdr:cNvSpPr/>
            </xdr:nvSpPr>
            <xdr:spPr bwMode="auto">
              <a:xfrm>
                <a:off x="12363450" y="3676650"/>
                <a:ext cx="36195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51</a:t>
                </a:r>
              </a:p>
            </xdr:txBody>
          </xdr:sp>
          <xdr:sp macro="" textlink="">
            <xdr:nvSpPr>
              <xdr:cNvPr id="5172" name="Check Box 52" hidden="1">
                <a:extLst>
                  <a:ext uri="{63B3BB69-23CF-44E3-9099-C40C66FF867C}">
                    <a14:compatExt spid="_x0000_s5172"/>
                  </a:ext>
                  <a:ext uri="{FF2B5EF4-FFF2-40B4-BE49-F238E27FC236}">
                    <a16:creationId xmlns:a16="http://schemas.microsoft.com/office/drawing/2014/main" id="{1831B9D5-F05B-02D5-6FE4-3D7694FC9CE6}"/>
                  </a:ext>
                </a:extLst>
              </xdr:cNvPr>
              <xdr:cNvSpPr/>
            </xdr:nvSpPr>
            <xdr:spPr bwMode="auto">
              <a:xfrm>
                <a:off x="12868275" y="3676650"/>
                <a:ext cx="36195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52</a:t>
                </a:r>
              </a:p>
            </xdr:txBody>
          </xdr:sp>
          <xdr:sp macro="" textlink="">
            <xdr:nvSpPr>
              <xdr:cNvPr id="5173" name="Check Box 53" hidden="1">
                <a:extLst>
                  <a:ext uri="{63B3BB69-23CF-44E3-9099-C40C66FF867C}">
                    <a14:compatExt spid="_x0000_s5173"/>
                  </a:ext>
                  <a:ext uri="{FF2B5EF4-FFF2-40B4-BE49-F238E27FC236}">
                    <a16:creationId xmlns:a16="http://schemas.microsoft.com/office/drawing/2014/main" id="{EE8DFD81-3B51-EA5D-8CF9-51E3CD4AB987}"/>
                  </a:ext>
                </a:extLst>
              </xdr:cNvPr>
              <xdr:cNvSpPr/>
            </xdr:nvSpPr>
            <xdr:spPr bwMode="auto">
              <a:xfrm>
                <a:off x="13420725" y="3676650"/>
                <a:ext cx="36195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53</a:t>
                </a:r>
              </a:p>
            </xdr:txBody>
          </xdr:sp>
          <xdr:sp macro="" textlink="">
            <xdr:nvSpPr>
              <xdr:cNvPr id="5174" name="Check Box 54" hidden="1">
                <a:extLst>
                  <a:ext uri="{63B3BB69-23CF-44E3-9099-C40C66FF867C}">
                    <a14:compatExt spid="_x0000_s5174"/>
                  </a:ext>
                  <a:ext uri="{FF2B5EF4-FFF2-40B4-BE49-F238E27FC236}">
                    <a16:creationId xmlns:a16="http://schemas.microsoft.com/office/drawing/2014/main" id="{DE85A405-221E-A1FC-9B8D-DEEF71B3DEAE}"/>
                  </a:ext>
                </a:extLst>
              </xdr:cNvPr>
              <xdr:cNvSpPr/>
            </xdr:nvSpPr>
            <xdr:spPr bwMode="auto">
              <a:xfrm>
                <a:off x="13944600" y="3676650"/>
                <a:ext cx="36195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54</a:t>
                </a:r>
              </a:p>
            </xdr:txBody>
          </xdr:sp>
          <xdr:sp macro="" textlink="">
            <xdr:nvSpPr>
              <xdr:cNvPr id="5175" name="Check Box 55" hidden="1">
                <a:extLst>
                  <a:ext uri="{63B3BB69-23CF-44E3-9099-C40C66FF867C}">
                    <a14:compatExt spid="_x0000_s5175"/>
                  </a:ext>
                  <a:ext uri="{FF2B5EF4-FFF2-40B4-BE49-F238E27FC236}">
                    <a16:creationId xmlns:a16="http://schemas.microsoft.com/office/drawing/2014/main" id="{9D3DE920-CC0A-9578-5B32-5EB7EE95E4BE}"/>
                  </a:ext>
                </a:extLst>
              </xdr:cNvPr>
              <xdr:cNvSpPr/>
            </xdr:nvSpPr>
            <xdr:spPr bwMode="auto">
              <a:xfrm>
                <a:off x="14439906" y="3676650"/>
                <a:ext cx="361949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55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158937</xdr:colOff>
          <xdr:row>18</xdr:row>
          <xdr:rowOff>137907</xdr:rowOff>
        </xdr:from>
        <xdr:to>
          <xdr:col>16384</xdr:col>
          <xdr:colOff>28907</xdr:colOff>
          <xdr:row>19</xdr:row>
          <xdr:rowOff>107091</xdr:rowOff>
        </xdr:to>
        <xdr:grpSp>
          <xdr:nvGrpSpPr>
            <xdr:cNvPr id="4" name="Grupo 3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GrpSpPr/>
          </xdr:nvGrpSpPr>
          <xdr:grpSpPr>
            <a:xfrm>
              <a:off x="9240184" y="5956001"/>
              <a:ext cx="6172158" cy="211231"/>
              <a:chOff x="8477257" y="3676650"/>
              <a:chExt cx="6324598" cy="219075"/>
            </a:xfrm>
          </xdr:grpSpPr>
          <xdr:sp macro="" textlink="">
            <xdr:nvSpPr>
              <xdr:cNvPr id="5176" name="Check Box 56" hidden="1">
                <a:extLst>
                  <a:ext uri="{63B3BB69-23CF-44E3-9099-C40C66FF867C}">
                    <a14:compatExt spid="_x0000_s5176"/>
                  </a:ext>
                  <a:ext uri="{FF2B5EF4-FFF2-40B4-BE49-F238E27FC236}">
                    <a16:creationId xmlns:a16="http://schemas.microsoft.com/office/drawing/2014/main" id="{56A39CE1-39E6-5809-B80C-290F6AB3FF71}"/>
                  </a:ext>
                </a:extLst>
              </xdr:cNvPr>
              <xdr:cNvSpPr/>
            </xdr:nvSpPr>
            <xdr:spPr bwMode="auto">
              <a:xfrm>
                <a:off x="8477257" y="3676650"/>
                <a:ext cx="361949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56</a:t>
                </a:r>
              </a:p>
            </xdr:txBody>
          </xdr:sp>
          <xdr:sp macro="" textlink="">
            <xdr:nvSpPr>
              <xdr:cNvPr id="5177" name="Check Box 57" hidden="1">
                <a:extLst>
                  <a:ext uri="{63B3BB69-23CF-44E3-9099-C40C66FF867C}">
                    <a14:compatExt spid="_x0000_s5177"/>
                  </a:ext>
                  <a:ext uri="{FF2B5EF4-FFF2-40B4-BE49-F238E27FC236}">
                    <a16:creationId xmlns:a16="http://schemas.microsoft.com/office/drawing/2014/main" id="{BF01D473-8F2C-4143-56FD-377EF1C06A16}"/>
                  </a:ext>
                </a:extLst>
              </xdr:cNvPr>
              <xdr:cNvSpPr/>
            </xdr:nvSpPr>
            <xdr:spPr bwMode="auto">
              <a:xfrm>
                <a:off x="9086850" y="3676650"/>
                <a:ext cx="36195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57</a:t>
                </a:r>
              </a:p>
            </xdr:txBody>
          </xdr:sp>
          <xdr:sp macro="" textlink="">
            <xdr:nvSpPr>
              <xdr:cNvPr id="5178" name="Check Box 58" hidden="1">
                <a:extLst>
                  <a:ext uri="{63B3BB69-23CF-44E3-9099-C40C66FF867C}">
                    <a14:compatExt spid="_x0000_s5178"/>
                  </a:ext>
                  <a:ext uri="{FF2B5EF4-FFF2-40B4-BE49-F238E27FC236}">
                    <a16:creationId xmlns:a16="http://schemas.microsoft.com/office/drawing/2014/main" id="{4B7BA40C-F027-985F-CCBD-1844F4C6A656}"/>
                  </a:ext>
                </a:extLst>
              </xdr:cNvPr>
              <xdr:cNvSpPr/>
            </xdr:nvSpPr>
            <xdr:spPr bwMode="auto">
              <a:xfrm>
                <a:off x="9686925" y="3676650"/>
                <a:ext cx="36195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58</a:t>
                </a:r>
              </a:p>
            </xdr:txBody>
          </xdr:sp>
          <xdr:sp macro="" textlink="">
            <xdr:nvSpPr>
              <xdr:cNvPr id="5179" name="Check Box 59" hidden="1">
                <a:extLst>
                  <a:ext uri="{63B3BB69-23CF-44E3-9099-C40C66FF867C}">
                    <a14:compatExt spid="_x0000_s5179"/>
                  </a:ext>
                  <a:ext uri="{FF2B5EF4-FFF2-40B4-BE49-F238E27FC236}">
                    <a16:creationId xmlns:a16="http://schemas.microsoft.com/office/drawing/2014/main" id="{FF31A7AE-E799-6A2B-35A1-BB1DDAA94C88}"/>
                  </a:ext>
                </a:extLst>
              </xdr:cNvPr>
              <xdr:cNvSpPr/>
            </xdr:nvSpPr>
            <xdr:spPr bwMode="auto">
              <a:xfrm>
                <a:off x="10258425" y="3676650"/>
                <a:ext cx="36195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59</a:t>
                </a:r>
              </a:p>
            </xdr:txBody>
          </xdr:sp>
          <xdr:sp macro="" textlink="">
            <xdr:nvSpPr>
              <xdr:cNvPr id="5180" name="Check Box 60" hidden="1">
                <a:extLst>
                  <a:ext uri="{63B3BB69-23CF-44E3-9099-C40C66FF867C}">
                    <a14:compatExt spid="_x0000_s5180"/>
                  </a:ext>
                  <a:ext uri="{FF2B5EF4-FFF2-40B4-BE49-F238E27FC236}">
                    <a16:creationId xmlns:a16="http://schemas.microsoft.com/office/drawing/2014/main" id="{D7725EA4-6DD3-8448-33AF-DC942C30805C}"/>
                  </a:ext>
                </a:extLst>
              </xdr:cNvPr>
              <xdr:cNvSpPr/>
            </xdr:nvSpPr>
            <xdr:spPr bwMode="auto">
              <a:xfrm>
                <a:off x="10772775" y="3676650"/>
                <a:ext cx="36195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60</a:t>
                </a:r>
              </a:p>
            </xdr:txBody>
          </xdr:sp>
          <xdr:sp macro="" textlink="">
            <xdr:nvSpPr>
              <xdr:cNvPr id="5181" name="Check Box 61" hidden="1">
                <a:extLst>
                  <a:ext uri="{63B3BB69-23CF-44E3-9099-C40C66FF867C}">
                    <a14:compatExt spid="_x0000_s5181"/>
                  </a:ext>
                  <a:ext uri="{FF2B5EF4-FFF2-40B4-BE49-F238E27FC236}">
                    <a16:creationId xmlns:a16="http://schemas.microsoft.com/office/drawing/2014/main" id="{FA7CA657-161D-F160-D899-146F141861C0}"/>
                  </a:ext>
                </a:extLst>
              </xdr:cNvPr>
              <xdr:cNvSpPr/>
            </xdr:nvSpPr>
            <xdr:spPr bwMode="auto">
              <a:xfrm>
                <a:off x="11277600" y="3676650"/>
                <a:ext cx="36195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61</a:t>
                </a:r>
              </a:p>
            </xdr:txBody>
          </xdr:sp>
          <xdr:sp macro="" textlink="">
            <xdr:nvSpPr>
              <xdr:cNvPr id="5182" name="Check Box 62" hidden="1">
                <a:extLst>
                  <a:ext uri="{63B3BB69-23CF-44E3-9099-C40C66FF867C}">
                    <a14:compatExt spid="_x0000_s5182"/>
                  </a:ext>
                  <a:ext uri="{FF2B5EF4-FFF2-40B4-BE49-F238E27FC236}">
                    <a16:creationId xmlns:a16="http://schemas.microsoft.com/office/drawing/2014/main" id="{7E045276-17A9-5007-3A8A-1D1661CAA818}"/>
                  </a:ext>
                </a:extLst>
              </xdr:cNvPr>
              <xdr:cNvSpPr/>
            </xdr:nvSpPr>
            <xdr:spPr bwMode="auto">
              <a:xfrm>
                <a:off x="11839575" y="3676650"/>
                <a:ext cx="36195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62</a:t>
                </a:r>
              </a:p>
            </xdr:txBody>
          </xdr:sp>
          <xdr:sp macro="" textlink="">
            <xdr:nvSpPr>
              <xdr:cNvPr id="5183" name="Check Box 63" hidden="1">
                <a:extLst>
                  <a:ext uri="{63B3BB69-23CF-44E3-9099-C40C66FF867C}">
                    <a14:compatExt spid="_x0000_s5183"/>
                  </a:ext>
                  <a:ext uri="{FF2B5EF4-FFF2-40B4-BE49-F238E27FC236}">
                    <a16:creationId xmlns:a16="http://schemas.microsoft.com/office/drawing/2014/main" id="{273054B1-40F6-59F5-CEDA-DC8C21C317AE}"/>
                  </a:ext>
                </a:extLst>
              </xdr:cNvPr>
              <xdr:cNvSpPr/>
            </xdr:nvSpPr>
            <xdr:spPr bwMode="auto">
              <a:xfrm>
                <a:off x="12363450" y="3676650"/>
                <a:ext cx="36195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63</a:t>
                </a:r>
              </a:p>
            </xdr:txBody>
          </xdr:sp>
          <xdr:sp macro="" textlink="">
            <xdr:nvSpPr>
              <xdr:cNvPr id="5184" name="Check Box 64" hidden="1">
                <a:extLst>
                  <a:ext uri="{63B3BB69-23CF-44E3-9099-C40C66FF867C}">
                    <a14:compatExt spid="_x0000_s5184"/>
                  </a:ext>
                  <a:ext uri="{FF2B5EF4-FFF2-40B4-BE49-F238E27FC236}">
                    <a16:creationId xmlns:a16="http://schemas.microsoft.com/office/drawing/2014/main" id="{274AC767-D987-D9A4-1518-48DED5C38FFB}"/>
                  </a:ext>
                </a:extLst>
              </xdr:cNvPr>
              <xdr:cNvSpPr/>
            </xdr:nvSpPr>
            <xdr:spPr bwMode="auto">
              <a:xfrm>
                <a:off x="12868275" y="3676650"/>
                <a:ext cx="36195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64</a:t>
                </a:r>
              </a:p>
            </xdr:txBody>
          </xdr:sp>
          <xdr:sp macro="" textlink="">
            <xdr:nvSpPr>
              <xdr:cNvPr id="5185" name="Check Box 65" hidden="1">
                <a:extLst>
                  <a:ext uri="{63B3BB69-23CF-44E3-9099-C40C66FF867C}">
                    <a14:compatExt spid="_x0000_s5185"/>
                  </a:ext>
                  <a:ext uri="{FF2B5EF4-FFF2-40B4-BE49-F238E27FC236}">
                    <a16:creationId xmlns:a16="http://schemas.microsoft.com/office/drawing/2014/main" id="{252D3AC6-E95F-21C2-B34F-42109C05FCFD}"/>
                  </a:ext>
                </a:extLst>
              </xdr:cNvPr>
              <xdr:cNvSpPr/>
            </xdr:nvSpPr>
            <xdr:spPr bwMode="auto">
              <a:xfrm>
                <a:off x="13420725" y="3676650"/>
                <a:ext cx="36195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65</a:t>
                </a:r>
              </a:p>
            </xdr:txBody>
          </xdr:sp>
          <xdr:sp macro="" textlink="">
            <xdr:nvSpPr>
              <xdr:cNvPr id="5186" name="Check Box 66" hidden="1">
                <a:extLst>
                  <a:ext uri="{63B3BB69-23CF-44E3-9099-C40C66FF867C}">
                    <a14:compatExt spid="_x0000_s5186"/>
                  </a:ext>
                  <a:ext uri="{FF2B5EF4-FFF2-40B4-BE49-F238E27FC236}">
                    <a16:creationId xmlns:a16="http://schemas.microsoft.com/office/drawing/2014/main" id="{52F46E2F-61BE-F375-7773-CF58A2EC3E6A}"/>
                  </a:ext>
                </a:extLst>
              </xdr:cNvPr>
              <xdr:cNvSpPr/>
            </xdr:nvSpPr>
            <xdr:spPr bwMode="auto">
              <a:xfrm>
                <a:off x="13944600" y="3676650"/>
                <a:ext cx="36195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66</a:t>
                </a:r>
              </a:p>
            </xdr:txBody>
          </xdr:sp>
          <xdr:sp macro="" textlink="">
            <xdr:nvSpPr>
              <xdr:cNvPr id="5187" name="Check Box 67" hidden="1">
                <a:extLst>
                  <a:ext uri="{63B3BB69-23CF-44E3-9099-C40C66FF867C}">
                    <a14:compatExt spid="_x0000_s5187"/>
                  </a:ext>
                  <a:ext uri="{FF2B5EF4-FFF2-40B4-BE49-F238E27FC236}">
                    <a16:creationId xmlns:a16="http://schemas.microsoft.com/office/drawing/2014/main" id="{0A4BA333-2199-577F-0202-65CDB238526B}"/>
                  </a:ext>
                </a:extLst>
              </xdr:cNvPr>
              <xdr:cNvSpPr/>
            </xdr:nvSpPr>
            <xdr:spPr bwMode="auto">
              <a:xfrm>
                <a:off x="14439906" y="3676650"/>
                <a:ext cx="361949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67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158937</xdr:colOff>
          <xdr:row>19</xdr:row>
          <xdr:rowOff>144071</xdr:rowOff>
        </xdr:from>
        <xdr:to>
          <xdr:col>16384</xdr:col>
          <xdr:colOff>28907</xdr:colOff>
          <xdr:row>20</xdr:row>
          <xdr:rowOff>113254</xdr:rowOff>
        </xdr:to>
        <xdr:grpSp>
          <xdr:nvGrpSpPr>
            <xdr:cNvPr id="5" name="Grupo 4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GrpSpPr/>
          </xdr:nvGrpSpPr>
          <xdr:grpSpPr>
            <a:xfrm>
              <a:off x="9240184" y="6204212"/>
              <a:ext cx="6172158" cy="211230"/>
              <a:chOff x="8477257" y="3676650"/>
              <a:chExt cx="6324598" cy="219075"/>
            </a:xfrm>
          </xdr:grpSpPr>
          <xdr:sp macro="" textlink="">
            <xdr:nvSpPr>
              <xdr:cNvPr id="5188" name="Check Box 68" hidden="1">
                <a:extLst>
                  <a:ext uri="{63B3BB69-23CF-44E3-9099-C40C66FF867C}">
                    <a14:compatExt spid="_x0000_s5188"/>
                  </a:ext>
                  <a:ext uri="{FF2B5EF4-FFF2-40B4-BE49-F238E27FC236}">
                    <a16:creationId xmlns:a16="http://schemas.microsoft.com/office/drawing/2014/main" id="{5F12CE46-99D1-0EF3-FF89-F66D658B0EE2}"/>
                  </a:ext>
                </a:extLst>
              </xdr:cNvPr>
              <xdr:cNvSpPr/>
            </xdr:nvSpPr>
            <xdr:spPr bwMode="auto">
              <a:xfrm>
                <a:off x="8477257" y="3676650"/>
                <a:ext cx="361949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68</a:t>
                </a:r>
              </a:p>
            </xdr:txBody>
          </xdr:sp>
          <xdr:sp macro="" textlink="">
            <xdr:nvSpPr>
              <xdr:cNvPr id="5189" name="Check Box 69" hidden="1">
                <a:extLst>
                  <a:ext uri="{63B3BB69-23CF-44E3-9099-C40C66FF867C}">
                    <a14:compatExt spid="_x0000_s5189"/>
                  </a:ext>
                  <a:ext uri="{FF2B5EF4-FFF2-40B4-BE49-F238E27FC236}">
                    <a16:creationId xmlns:a16="http://schemas.microsoft.com/office/drawing/2014/main" id="{90C59357-3881-83AF-A9A7-9EC37BA0EEC1}"/>
                  </a:ext>
                </a:extLst>
              </xdr:cNvPr>
              <xdr:cNvSpPr/>
            </xdr:nvSpPr>
            <xdr:spPr bwMode="auto">
              <a:xfrm>
                <a:off x="9086850" y="3676650"/>
                <a:ext cx="36195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69</a:t>
                </a:r>
              </a:p>
            </xdr:txBody>
          </xdr:sp>
          <xdr:sp macro="" textlink="">
            <xdr:nvSpPr>
              <xdr:cNvPr id="5190" name="Check Box 70" hidden="1">
                <a:extLst>
                  <a:ext uri="{63B3BB69-23CF-44E3-9099-C40C66FF867C}">
                    <a14:compatExt spid="_x0000_s5190"/>
                  </a:ext>
                  <a:ext uri="{FF2B5EF4-FFF2-40B4-BE49-F238E27FC236}">
                    <a16:creationId xmlns:a16="http://schemas.microsoft.com/office/drawing/2014/main" id="{ADD83EA7-17A4-EDC7-8B58-BCC098756DBF}"/>
                  </a:ext>
                </a:extLst>
              </xdr:cNvPr>
              <xdr:cNvSpPr/>
            </xdr:nvSpPr>
            <xdr:spPr bwMode="auto">
              <a:xfrm>
                <a:off x="9686925" y="3676650"/>
                <a:ext cx="36195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70</a:t>
                </a:r>
              </a:p>
            </xdr:txBody>
          </xdr:sp>
          <xdr:sp macro="" textlink="">
            <xdr:nvSpPr>
              <xdr:cNvPr id="5191" name="Check Box 71" hidden="1">
                <a:extLst>
                  <a:ext uri="{63B3BB69-23CF-44E3-9099-C40C66FF867C}">
                    <a14:compatExt spid="_x0000_s5191"/>
                  </a:ext>
                  <a:ext uri="{FF2B5EF4-FFF2-40B4-BE49-F238E27FC236}">
                    <a16:creationId xmlns:a16="http://schemas.microsoft.com/office/drawing/2014/main" id="{507168B1-77DB-7DF1-6E43-DC1B2CB95987}"/>
                  </a:ext>
                </a:extLst>
              </xdr:cNvPr>
              <xdr:cNvSpPr/>
            </xdr:nvSpPr>
            <xdr:spPr bwMode="auto">
              <a:xfrm>
                <a:off x="10258425" y="3676650"/>
                <a:ext cx="36195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71</a:t>
                </a:r>
              </a:p>
            </xdr:txBody>
          </xdr:sp>
          <xdr:sp macro="" textlink="">
            <xdr:nvSpPr>
              <xdr:cNvPr id="5192" name="Check Box 72" hidden="1">
                <a:extLst>
                  <a:ext uri="{63B3BB69-23CF-44E3-9099-C40C66FF867C}">
                    <a14:compatExt spid="_x0000_s5192"/>
                  </a:ext>
                  <a:ext uri="{FF2B5EF4-FFF2-40B4-BE49-F238E27FC236}">
                    <a16:creationId xmlns:a16="http://schemas.microsoft.com/office/drawing/2014/main" id="{26EE4627-6E7E-01E2-FB5F-9097F5D8EA90}"/>
                  </a:ext>
                </a:extLst>
              </xdr:cNvPr>
              <xdr:cNvSpPr/>
            </xdr:nvSpPr>
            <xdr:spPr bwMode="auto">
              <a:xfrm>
                <a:off x="10772775" y="3676650"/>
                <a:ext cx="36195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72</a:t>
                </a:r>
              </a:p>
            </xdr:txBody>
          </xdr:sp>
          <xdr:sp macro="" textlink="">
            <xdr:nvSpPr>
              <xdr:cNvPr id="5193" name="Check Box 73" hidden="1">
                <a:extLst>
                  <a:ext uri="{63B3BB69-23CF-44E3-9099-C40C66FF867C}">
                    <a14:compatExt spid="_x0000_s5193"/>
                  </a:ext>
                  <a:ext uri="{FF2B5EF4-FFF2-40B4-BE49-F238E27FC236}">
                    <a16:creationId xmlns:a16="http://schemas.microsoft.com/office/drawing/2014/main" id="{85A95988-E1BD-4E85-7929-1E89355B6E10}"/>
                  </a:ext>
                </a:extLst>
              </xdr:cNvPr>
              <xdr:cNvSpPr/>
            </xdr:nvSpPr>
            <xdr:spPr bwMode="auto">
              <a:xfrm>
                <a:off x="11277600" y="3676650"/>
                <a:ext cx="36195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73</a:t>
                </a:r>
              </a:p>
            </xdr:txBody>
          </xdr:sp>
          <xdr:sp macro="" textlink="">
            <xdr:nvSpPr>
              <xdr:cNvPr id="5194" name="Check Box 74" hidden="1">
                <a:extLst>
                  <a:ext uri="{63B3BB69-23CF-44E3-9099-C40C66FF867C}">
                    <a14:compatExt spid="_x0000_s5194"/>
                  </a:ext>
                  <a:ext uri="{FF2B5EF4-FFF2-40B4-BE49-F238E27FC236}">
                    <a16:creationId xmlns:a16="http://schemas.microsoft.com/office/drawing/2014/main" id="{821490F2-5660-8462-DB84-1C0CBD61025F}"/>
                  </a:ext>
                </a:extLst>
              </xdr:cNvPr>
              <xdr:cNvSpPr/>
            </xdr:nvSpPr>
            <xdr:spPr bwMode="auto">
              <a:xfrm>
                <a:off x="11839575" y="3676650"/>
                <a:ext cx="36195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74</a:t>
                </a:r>
              </a:p>
            </xdr:txBody>
          </xdr:sp>
          <xdr:sp macro="" textlink="">
            <xdr:nvSpPr>
              <xdr:cNvPr id="5195" name="Check Box 75" hidden="1">
                <a:extLst>
                  <a:ext uri="{63B3BB69-23CF-44E3-9099-C40C66FF867C}">
                    <a14:compatExt spid="_x0000_s5195"/>
                  </a:ext>
                  <a:ext uri="{FF2B5EF4-FFF2-40B4-BE49-F238E27FC236}">
                    <a16:creationId xmlns:a16="http://schemas.microsoft.com/office/drawing/2014/main" id="{FC56EA4A-B101-BA1B-2BEA-75DAEDAA656A}"/>
                  </a:ext>
                </a:extLst>
              </xdr:cNvPr>
              <xdr:cNvSpPr/>
            </xdr:nvSpPr>
            <xdr:spPr bwMode="auto">
              <a:xfrm>
                <a:off x="12363450" y="3676650"/>
                <a:ext cx="36195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75</a:t>
                </a:r>
              </a:p>
            </xdr:txBody>
          </xdr:sp>
          <xdr:sp macro="" textlink="">
            <xdr:nvSpPr>
              <xdr:cNvPr id="5196" name="Check Box 76" hidden="1">
                <a:extLst>
                  <a:ext uri="{63B3BB69-23CF-44E3-9099-C40C66FF867C}">
                    <a14:compatExt spid="_x0000_s5196"/>
                  </a:ext>
                  <a:ext uri="{FF2B5EF4-FFF2-40B4-BE49-F238E27FC236}">
                    <a16:creationId xmlns:a16="http://schemas.microsoft.com/office/drawing/2014/main" id="{3D57E953-6F2E-E736-72A8-503B524FB28C}"/>
                  </a:ext>
                </a:extLst>
              </xdr:cNvPr>
              <xdr:cNvSpPr/>
            </xdr:nvSpPr>
            <xdr:spPr bwMode="auto">
              <a:xfrm>
                <a:off x="12868275" y="3676650"/>
                <a:ext cx="36195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76</a:t>
                </a:r>
              </a:p>
            </xdr:txBody>
          </xdr:sp>
          <xdr:sp macro="" textlink="">
            <xdr:nvSpPr>
              <xdr:cNvPr id="5197" name="Check Box 77" hidden="1">
                <a:extLst>
                  <a:ext uri="{63B3BB69-23CF-44E3-9099-C40C66FF867C}">
                    <a14:compatExt spid="_x0000_s5197"/>
                  </a:ext>
                  <a:ext uri="{FF2B5EF4-FFF2-40B4-BE49-F238E27FC236}">
                    <a16:creationId xmlns:a16="http://schemas.microsoft.com/office/drawing/2014/main" id="{A48166F6-7EE5-D17E-F5FB-677C1A7A5494}"/>
                  </a:ext>
                </a:extLst>
              </xdr:cNvPr>
              <xdr:cNvSpPr/>
            </xdr:nvSpPr>
            <xdr:spPr bwMode="auto">
              <a:xfrm>
                <a:off x="13420725" y="3676650"/>
                <a:ext cx="36195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77</a:t>
                </a:r>
              </a:p>
            </xdr:txBody>
          </xdr:sp>
          <xdr:sp macro="" textlink="">
            <xdr:nvSpPr>
              <xdr:cNvPr id="5198" name="Check Box 78" hidden="1">
                <a:extLst>
                  <a:ext uri="{63B3BB69-23CF-44E3-9099-C40C66FF867C}">
                    <a14:compatExt spid="_x0000_s5198"/>
                  </a:ext>
                  <a:ext uri="{FF2B5EF4-FFF2-40B4-BE49-F238E27FC236}">
                    <a16:creationId xmlns:a16="http://schemas.microsoft.com/office/drawing/2014/main" id="{B95876BF-50D9-A644-6E5B-3FC07A1B4365}"/>
                  </a:ext>
                </a:extLst>
              </xdr:cNvPr>
              <xdr:cNvSpPr/>
            </xdr:nvSpPr>
            <xdr:spPr bwMode="auto">
              <a:xfrm>
                <a:off x="13944600" y="3676650"/>
                <a:ext cx="36195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78</a:t>
                </a:r>
              </a:p>
            </xdr:txBody>
          </xdr:sp>
          <xdr:sp macro="" textlink="">
            <xdr:nvSpPr>
              <xdr:cNvPr id="5199" name="Check Box 79" hidden="1">
                <a:extLst>
                  <a:ext uri="{63B3BB69-23CF-44E3-9099-C40C66FF867C}">
                    <a14:compatExt spid="_x0000_s5199"/>
                  </a:ext>
                  <a:ext uri="{FF2B5EF4-FFF2-40B4-BE49-F238E27FC236}">
                    <a16:creationId xmlns:a16="http://schemas.microsoft.com/office/drawing/2014/main" id="{DCE267AA-04B4-6405-FAED-8CE149717CB2}"/>
                  </a:ext>
                </a:extLst>
              </xdr:cNvPr>
              <xdr:cNvSpPr/>
            </xdr:nvSpPr>
            <xdr:spPr bwMode="auto">
              <a:xfrm>
                <a:off x="14439906" y="3676650"/>
                <a:ext cx="361949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79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158937</xdr:colOff>
          <xdr:row>20</xdr:row>
          <xdr:rowOff>134993</xdr:rowOff>
        </xdr:from>
        <xdr:to>
          <xdr:col>16384</xdr:col>
          <xdr:colOff>28907</xdr:colOff>
          <xdr:row>21</xdr:row>
          <xdr:rowOff>109892</xdr:rowOff>
        </xdr:to>
        <xdr:grpSp>
          <xdr:nvGrpSpPr>
            <xdr:cNvPr id="6" name="Grupo 5">
              <a:extLst>
                <a:ext uri="{FF2B5EF4-FFF2-40B4-BE49-F238E27FC236}">
                  <a16:creationId xmlns:a16="http://schemas.microsoft.com/office/drawing/2014/main" id="{00000000-0008-0000-0100-000006000000}"/>
                </a:ext>
              </a:extLst>
            </xdr:cNvPr>
            <xdr:cNvGrpSpPr/>
          </xdr:nvGrpSpPr>
          <xdr:grpSpPr>
            <a:xfrm>
              <a:off x="9240184" y="6437181"/>
              <a:ext cx="6172158" cy="216946"/>
              <a:chOff x="8477257" y="3676650"/>
              <a:chExt cx="6324598" cy="219075"/>
            </a:xfrm>
          </xdr:grpSpPr>
          <xdr:sp macro="" textlink="">
            <xdr:nvSpPr>
              <xdr:cNvPr id="5200" name="Check Box 80" hidden="1">
                <a:extLst>
                  <a:ext uri="{63B3BB69-23CF-44E3-9099-C40C66FF867C}">
                    <a14:compatExt spid="_x0000_s5200"/>
                  </a:ext>
                  <a:ext uri="{FF2B5EF4-FFF2-40B4-BE49-F238E27FC236}">
                    <a16:creationId xmlns:a16="http://schemas.microsoft.com/office/drawing/2014/main" id="{F361A135-0992-DBDE-6956-1610D89DE65B}"/>
                  </a:ext>
                </a:extLst>
              </xdr:cNvPr>
              <xdr:cNvSpPr/>
            </xdr:nvSpPr>
            <xdr:spPr bwMode="auto">
              <a:xfrm>
                <a:off x="8477257" y="3676650"/>
                <a:ext cx="361949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80</a:t>
                </a:r>
              </a:p>
            </xdr:txBody>
          </xdr:sp>
          <xdr:sp macro="" textlink="">
            <xdr:nvSpPr>
              <xdr:cNvPr id="5201" name="Check Box 81" hidden="1">
                <a:extLst>
                  <a:ext uri="{63B3BB69-23CF-44E3-9099-C40C66FF867C}">
                    <a14:compatExt spid="_x0000_s5201"/>
                  </a:ext>
                  <a:ext uri="{FF2B5EF4-FFF2-40B4-BE49-F238E27FC236}">
                    <a16:creationId xmlns:a16="http://schemas.microsoft.com/office/drawing/2014/main" id="{116DA837-9E7E-E063-BD52-A76D9CD25CEE}"/>
                  </a:ext>
                </a:extLst>
              </xdr:cNvPr>
              <xdr:cNvSpPr/>
            </xdr:nvSpPr>
            <xdr:spPr bwMode="auto">
              <a:xfrm>
                <a:off x="9086850" y="3676650"/>
                <a:ext cx="36195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81</a:t>
                </a:r>
              </a:p>
            </xdr:txBody>
          </xdr:sp>
          <xdr:sp macro="" textlink="">
            <xdr:nvSpPr>
              <xdr:cNvPr id="5202" name="Check Box 82" hidden="1">
                <a:extLst>
                  <a:ext uri="{63B3BB69-23CF-44E3-9099-C40C66FF867C}">
                    <a14:compatExt spid="_x0000_s5202"/>
                  </a:ext>
                  <a:ext uri="{FF2B5EF4-FFF2-40B4-BE49-F238E27FC236}">
                    <a16:creationId xmlns:a16="http://schemas.microsoft.com/office/drawing/2014/main" id="{7CCFA4C3-4388-D99F-6D4E-82CBDDB2B1B6}"/>
                  </a:ext>
                </a:extLst>
              </xdr:cNvPr>
              <xdr:cNvSpPr/>
            </xdr:nvSpPr>
            <xdr:spPr bwMode="auto">
              <a:xfrm>
                <a:off x="9686925" y="3676650"/>
                <a:ext cx="36195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82</a:t>
                </a:r>
              </a:p>
            </xdr:txBody>
          </xdr:sp>
          <xdr:sp macro="" textlink="">
            <xdr:nvSpPr>
              <xdr:cNvPr id="5203" name="Check Box 83" hidden="1">
                <a:extLst>
                  <a:ext uri="{63B3BB69-23CF-44E3-9099-C40C66FF867C}">
                    <a14:compatExt spid="_x0000_s5203"/>
                  </a:ext>
                  <a:ext uri="{FF2B5EF4-FFF2-40B4-BE49-F238E27FC236}">
                    <a16:creationId xmlns:a16="http://schemas.microsoft.com/office/drawing/2014/main" id="{71392A66-2529-1D36-3495-892E8E2C4349}"/>
                  </a:ext>
                </a:extLst>
              </xdr:cNvPr>
              <xdr:cNvSpPr/>
            </xdr:nvSpPr>
            <xdr:spPr bwMode="auto">
              <a:xfrm>
                <a:off x="10258425" y="3676650"/>
                <a:ext cx="36195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83</a:t>
                </a:r>
              </a:p>
            </xdr:txBody>
          </xdr:sp>
          <xdr:sp macro="" textlink="">
            <xdr:nvSpPr>
              <xdr:cNvPr id="5204" name="Check Box 84" hidden="1">
                <a:extLst>
                  <a:ext uri="{63B3BB69-23CF-44E3-9099-C40C66FF867C}">
                    <a14:compatExt spid="_x0000_s5204"/>
                  </a:ext>
                  <a:ext uri="{FF2B5EF4-FFF2-40B4-BE49-F238E27FC236}">
                    <a16:creationId xmlns:a16="http://schemas.microsoft.com/office/drawing/2014/main" id="{508A687B-3F74-27E9-C84A-E610B84C967D}"/>
                  </a:ext>
                </a:extLst>
              </xdr:cNvPr>
              <xdr:cNvSpPr/>
            </xdr:nvSpPr>
            <xdr:spPr bwMode="auto">
              <a:xfrm>
                <a:off x="10772775" y="3676650"/>
                <a:ext cx="36195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84</a:t>
                </a:r>
              </a:p>
            </xdr:txBody>
          </xdr:sp>
          <xdr:sp macro="" textlink="">
            <xdr:nvSpPr>
              <xdr:cNvPr id="5205" name="Check Box 85" hidden="1">
                <a:extLst>
                  <a:ext uri="{63B3BB69-23CF-44E3-9099-C40C66FF867C}">
                    <a14:compatExt spid="_x0000_s5205"/>
                  </a:ext>
                  <a:ext uri="{FF2B5EF4-FFF2-40B4-BE49-F238E27FC236}">
                    <a16:creationId xmlns:a16="http://schemas.microsoft.com/office/drawing/2014/main" id="{55B48E74-33A5-5079-3ACC-F0DF168C96E3}"/>
                  </a:ext>
                </a:extLst>
              </xdr:cNvPr>
              <xdr:cNvSpPr/>
            </xdr:nvSpPr>
            <xdr:spPr bwMode="auto">
              <a:xfrm>
                <a:off x="11277600" y="3676650"/>
                <a:ext cx="36195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85</a:t>
                </a:r>
              </a:p>
            </xdr:txBody>
          </xdr:sp>
          <xdr:sp macro="" textlink="">
            <xdr:nvSpPr>
              <xdr:cNvPr id="5206" name="Check Box 86" hidden="1">
                <a:extLst>
                  <a:ext uri="{63B3BB69-23CF-44E3-9099-C40C66FF867C}">
                    <a14:compatExt spid="_x0000_s5206"/>
                  </a:ext>
                  <a:ext uri="{FF2B5EF4-FFF2-40B4-BE49-F238E27FC236}">
                    <a16:creationId xmlns:a16="http://schemas.microsoft.com/office/drawing/2014/main" id="{67F40FF8-1922-86E5-747B-D509024559D0}"/>
                  </a:ext>
                </a:extLst>
              </xdr:cNvPr>
              <xdr:cNvSpPr/>
            </xdr:nvSpPr>
            <xdr:spPr bwMode="auto">
              <a:xfrm>
                <a:off x="11839575" y="3676650"/>
                <a:ext cx="36195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86</a:t>
                </a:r>
              </a:p>
            </xdr:txBody>
          </xdr:sp>
          <xdr:sp macro="" textlink="">
            <xdr:nvSpPr>
              <xdr:cNvPr id="5207" name="Check Box 87" hidden="1">
                <a:extLst>
                  <a:ext uri="{63B3BB69-23CF-44E3-9099-C40C66FF867C}">
                    <a14:compatExt spid="_x0000_s5207"/>
                  </a:ext>
                  <a:ext uri="{FF2B5EF4-FFF2-40B4-BE49-F238E27FC236}">
                    <a16:creationId xmlns:a16="http://schemas.microsoft.com/office/drawing/2014/main" id="{6F48AA20-177E-D46F-422F-A7FEE5D9E507}"/>
                  </a:ext>
                </a:extLst>
              </xdr:cNvPr>
              <xdr:cNvSpPr/>
            </xdr:nvSpPr>
            <xdr:spPr bwMode="auto">
              <a:xfrm>
                <a:off x="12363450" y="3676650"/>
                <a:ext cx="36195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87</a:t>
                </a:r>
              </a:p>
            </xdr:txBody>
          </xdr:sp>
          <xdr:sp macro="" textlink="">
            <xdr:nvSpPr>
              <xdr:cNvPr id="5208" name="Check Box 88" hidden="1">
                <a:extLst>
                  <a:ext uri="{63B3BB69-23CF-44E3-9099-C40C66FF867C}">
                    <a14:compatExt spid="_x0000_s5208"/>
                  </a:ext>
                  <a:ext uri="{FF2B5EF4-FFF2-40B4-BE49-F238E27FC236}">
                    <a16:creationId xmlns:a16="http://schemas.microsoft.com/office/drawing/2014/main" id="{8F9ACE7D-5CB1-920E-1DEE-8ADD8A6AAD9C}"/>
                  </a:ext>
                </a:extLst>
              </xdr:cNvPr>
              <xdr:cNvSpPr/>
            </xdr:nvSpPr>
            <xdr:spPr bwMode="auto">
              <a:xfrm>
                <a:off x="12868275" y="3676650"/>
                <a:ext cx="36195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88</a:t>
                </a:r>
              </a:p>
            </xdr:txBody>
          </xdr:sp>
          <xdr:sp macro="" textlink="">
            <xdr:nvSpPr>
              <xdr:cNvPr id="5209" name="Check Box 89" hidden="1">
                <a:extLst>
                  <a:ext uri="{63B3BB69-23CF-44E3-9099-C40C66FF867C}">
                    <a14:compatExt spid="_x0000_s5209"/>
                  </a:ext>
                  <a:ext uri="{FF2B5EF4-FFF2-40B4-BE49-F238E27FC236}">
                    <a16:creationId xmlns:a16="http://schemas.microsoft.com/office/drawing/2014/main" id="{4AD46280-0133-B7F6-5B5D-E18746CE9F69}"/>
                  </a:ext>
                </a:extLst>
              </xdr:cNvPr>
              <xdr:cNvSpPr/>
            </xdr:nvSpPr>
            <xdr:spPr bwMode="auto">
              <a:xfrm>
                <a:off x="13420725" y="3676650"/>
                <a:ext cx="36195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89</a:t>
                </a:r>
              </a:p>
            </xdr:txBody>
          </xdr:sp>
          <xdr:sp macro="" textlink="">
            <xdr:nvSpPr>
              <xdr:cNvPr id="5210" name="Check Box 90" hidden="1">
                <a:extLst>
                  <a:ext uri="{63B3BB69-23CF-44E3-9099-C40C66FF867C}">
                    <a14:compatExt spid="_x0000_s5210"/>
                  </a:ext>
                  <a:ext uri="{FF2B5EF4-FFF2-40B4-BE49-F238E27FC236}">
                    <a16:creationId xmlns:a16="http://schemas.microsoft.com/office/drawing/2014/main" id="{C770F465-5BE7-5F58-96C7-BC5F1155D6A7}"/>
                  </a:ext>
                </a:extLst>
              </xdr:cNvPr>
              <xdr:cNvSpPr/>
            </xdr:nvSpPr>
            <xdr:spPr bwMode="auto">
              <a:xfrm>
                <a:off x="13944600" y="3676650"/>
                <a:ext cx="36195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90</a:t>
                </a:r>
              </a:p>
            </xdr:txBody>
          </xdr:sp>
          <xdr:sp macro="" textlink="">
            <xdr:nvSpPr>
              <xdr:cNvPr id="5211" name="Check Box 91" hidden="1">
                <a:extLst>
                  <a:ext uri="{63B3BB69-23CF-44E3-9099-C40C66FF867C}">
                    <a14:compatExt spid="_x0000_s5211"/>
                  </a:ext>
                  <a:ext uri="{FF2B5EF4-FFF2-40B4-BE49-F238E27FC236}">
                    <a16:creationId xmlns:a16="http://schemas.microsoft.com/office/drawing/2014/main" id="{CE589E44-6E75-9517-DEBE-09043FBF5476}"/>
                  </a:ext>
                </a:extLst>
              </xdr:cNvPr>
              <xdr:cNvSpPr/>
            </xdr:nvSpPr>
            <xdr:spPr bwMode="auto">
              <a:xfrm>
                <a:off x="14439906" y="3676650"/>
                <a:ext cx="361949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91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158937</xdr:colOff>
          <xdr:row>21</xdr:row>
          <xdr:rowOff>131631</xdr:rowOff>
        </xdr:from>
        <xdr:to>
          <xdr:col>16384</xdr:col>
          <xdr:colOff>28907</xdr:colOff>
          <xdr:row>22</xdr:row>
          <xdr:rowOff>100815</xdr:rowOff>
        </xdr:to>
        <xdr:grpSp>
          <xdr:nvGrpSpPr>
            <xdr:cNvPr id="7" name="Grupo 6">
              <a:extLst>
                <a:ext uri="{FF2B5EF4-FFF2-40B4-BE49-F238E27FC236}">
                  <a16:creationId xmlns:a16="http://schemas.microsoft.com/office/drawing/2014/main" id="{00000000-0008-0000-0100-000007000000}"/>
                </a:ext>
              </a:extLst>
            </xdr:cNvPr>
            <xdr:cNvGrpSpPr/>
          </xdr:nvGrpSpPr>
          <xdr:grpSpPr>
            <a:xfrm>
              <a:off x="9240184" y="6675866"/>
              <a:ext cx="6172158" cy="211231"/>
              <a:chOff x="8477257" y="3676650"/>
              <a:chExt cx="6324598" cy="219075"/>
            </a:xfrm>
          </xdr:grpSpPr>
          <xdr:sp macro="" textlink="">
            <xdr:nvSpPr>
              <xdr:cNvPr id="5212" name="Check Box 92" hidden="1">
                <a:extLst>
                  <a:ext uri="{63B3BB69-23CF-44E3-9099-C40C66FF867C}">
                    <a14:compatExt spid="_x0000_s5212"/>
                  </a:ext>
                  <a:ext uri="{FF2B5EF4-FFF2-40B4-BE49-F238E27FC236}">
                    <a16:creationId xmlns:a16="http://schemas.microsoft.com/office/drawing/2014/main" id="{4609322A-98A5-E766-C86E-DEF553D99D6C}"/>
                  </a:ext>
                </a:extLst>
              </xdr:cNvPr>
              <xdr:cNvSpPr/>
            </xdr:nvSpPr>
            <xdr:spPr bwMode="auto">
              <a:xfrm>
                <a:off x="8477257" y="3676650"/>
                <a:ext cx="361949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92</a:t>
                </a:r>
              </a:p>
            </xdr:txBody>
          </xdr:sp>
          <xdr:sp macro="" textlink="">
            <xdr:nvSpPr>
              <xdr:cNvPr id="5213" name="Check Box 93" hidden="1">
                <a:extLst>
                  <a:ext uri="{63B3BB69-23CF-44E3-9099-C40C66FF867C}">
                    <a14:compatExt spid="_x0000_s5213"/>
                  </a:ext>
                  <a:ext uri="{FF2B5EF4-FFF2-40B4-BE49-F238E27FC236}">
                    <a16:creationId xmlns:a16="http://schemas.microsoft.com/office/drawing/2014/main" id="{16ECE1AE-04F8-E6E6-8F0A-B2469D146791}"/>
                  </a:ext>
                </a:extLst>
              </xdr:cNvPr>
              <xdr:cNvSpPr/>
            </xdr:nvSpPr>
            <xdr:spPr bwMode="auto">
              <a:xfrm>
                <a:off x="9086850" y="3676650"/>
                <a:ext cx="36195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93</a:t>
                </a:r>
              </a:p>
            </xdr:txBody>
          </xdr:sp>
          <xdr:sp macro="" textlink="">
            <xdr:nvSpPr>
              <xdr:cNvPr id="5214" name="Check Box 94" hidden="1">
                <a:extLst>
                  <a:ext uri="{63B3BB69-23CF-44E3-9099-C40C66FF867C}">
                    <a14:compatExt spid="_x0000_s5214"/>
                  </a:ext>
                  <a:ext uri="{FF2B5EF4-FFF2-40B4-BE49-F238E27FC236}">
                    <a16:creationId xmlns:a16="http://schemas.microsoft.com/office/drawing/2014/main" id="{176D96DE-AE9D-33CB-9FCE-B62DEA6E84CE}"/>
                  </a:ext>
                </a:extLst>
              </xdr:cNvPr>
              <xdr:cNvSpPr/>
            </xdr:nvSpPr>
            <xdr:spPr bwMode="auto">
              <a:xfrm>
                <a:off x="9686925" y="3676650"/>
                <a:ext cx="36195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94</a:t>
                </a:r>
              </a:p>
            </xdr:txBody>
          </xdr:sp>
          <xdr:sp macro="" textlink="">
            <xdr:nvSpPr>
              <xdr:cNvPr id="5215" name="Check Box 95" hidden="1">
                <a:extLst>
                  <a:ext uri="{63B3BB69-23CF-44E3-9099-C40C66FF867C}">
                    <a14:compatExt spid="_x0000_s5215"/>
                  </a:ext>
                  <a:ext uri="{FF2B5EF4-FFF2-40B4-BE49-F238E27FC236}">
                    <a16:creationId xmlns:a16="http://schemas.microsoft.com/office/drawing/2014/main" id="{0731D2DF-0760-1220-EC2A-12FED1442603}"/>
                  </a:ext>
                </a:extLst>
              </xdr:cNvPr>
              <xdr:cNvSpPr/>
            </xdr:nvSpPr>
            <xdr:spPr bwMode="auto">
              <a:xfrm>
                <a:off x="10258425" y="3676650"/>
                <a:ext cx="36195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95</a:t>
                </a:r>
              </a:p>
            </xdr:txBody>
          </xdr:sp>
          <xdr:sp macro="" textlink="">
            <xdr:nvSpPr>
              <xdr:cNvPr id="5216" name="Check Box 96" hidden="1">
                <a:extLst>
                  <a:ext uri="{63B3BB69-23CF-44E3-9099-C40C66FF867C}">
                    <a14:compatExt spid="_x0000_s5216"/>
                  </a:ext>
                  <a:ext uri="{FF2B5EF4-FFF2-40B4-BE49-F238E27FC236}">
                    <a16:creationId xmlns:a16="http://schemas.microsoft.com/office/drawing/2014/main" id="{51447BF8-553B-0BB8-8DB5-04D37299ECA2}"/>
                  </a:ext>
                </a:extLst>
              </xdr:cNvPr>
              <xdr:cNvSpPr/>
            </xdr:nvSpPr>
            <xdr:spPr bwMode="auto">
              <a:xfrm>
                <a:off x="10772775" y="3676650"/>
                <a:ext cx="36195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96</a:t>
                </a:r>
              </a:p>
            </xdr:txBody>
          </xdr:sp>
          <xdr:sp macro="" textlink="">
            <xdr:nvSpPr>
              <xdr:cNvPr id="5217" name="Check Box 97" hidden="1">
                <a:extLst>
                  <a:ext uri="{63B3BB69-23CF-44E3-9099-C40C66FF867C}">
                    <a14:compatExt spid="_x0000_s5217"/>
                  </a:ext>
                  <a:ext uri="{FF2B5EF4-FFF2-40B4-BE49-F238E27FC236}">
                    <a16:creationId xmlns:a16="http://schemas.microsoft.com/office/drawing/2014/main" id="{5C3BD84E-D3B5-AB46-A8A1-EC7D82D14F60}"/>
                  </a:ext>
                </a:extLst>
              </xdr:cNvPr>
              <xdr:cNvSpPr/>
            </xdr:nvSpPr>
            <xdr:spPr bwMode="auto">
              <a:xfrm>
                <a:off x="11277600" y="3676650"/>
                <a:ext cx="36195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97</a:t>
                </a:r>
              </a:p>
            </xdr:txBody>
          </xdr:sp>
          <xdr:sp macro="" textlink="">
            <xdr:nvSpPr>
              <xdr:cNvPr id="5218" name="Check Box 98" hidden="1">
                <a:extLst>
                  <a:ext uri="{63B3BB69-23CF-44E3-9099-C40C66FF867C}">
                    <a14:compatExt spid="_x0000_s5218"/>
                  </a:ext>
                  <a:ext uri="{FF2B5EF4-FFF2-40B4-BE49-F238E27FC236}">
                    <a16:creationId xmlns:a16="http://schemas.microsoft.com/office/drawing/2014/main" id="{353FEB17-3F18-F7E3-D82A-C98E64C514A9}"/>
                  </a:ext>
                </a:extLst>
              </xdr:cNvPr>
              <xdr:cNvSpPr/>
            </xdr:nvSpPr>
            <xdr:spPr bwMode="auto">
              <a:xfrm>
                <a:off x="11839575" y="3676650"/>
                <a:ext cx="36195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98</a:t>
                </a:r>
              </a:p>
            </xdr:txBody>
          </xdr:sp>
          <xdr:sp macro="" textlink="">
            <xdr:nvSpPr>
              <xdr:cNvPr id="5219" name="Check Box 99" hidden="1">
                <a:extLst>
                  <a:ext uri="{63B3BB69-23CF-44E3-9099-C40C66FF867C}">
                    <a14:compatExt spid="_x0000_s5219"/>
                  </a:ext>
                  <a:ext uri="{FF2B5EF4-FFF2-40B4-BE49-F238E27FC236}">
                    <a16:creationId xmlns:a16="http://schemas.microsoft.com/office/drawing/2014/main" id="{9CC6F092-5542-F33C-B76F-A43B74EB3103}"/>
                  </a:ext>
                </a:extLst>
              </xdr:cNvPr>
              <xdr:cNvSpPr/>
            </xdr:nvSpPr>
            <xdr:spPr bwMode="auto">
              <a:xfrm>
                <a:off x="12363450" y="3676650"/>
                <a:ext cx="36195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99</a:t>
                </a:r>
              </a:p>
            </xdr:txBody>
          </xdr:sp>
          <xdr:sp macro="" textlink="">
            <xdr:nvSpPr>
              <xdr:cNvPr id="5220" name="Check Box 100" hidden="1">
                <a:extLst>
                  <a:ext uri="{63B3BB69-23CF-44E3-9099-C40C66FF867C}">
                    <a14:compatExt spid="_x0000_s5220"/>
                  </a:ext>
                  <a:ext uri="{FF2B5EF4-FFF2-40B4-BE49-F238E27FC236}">
                    <a16:creationId xmlns:a16="http://schemas.microsoft.com/office/drawing/2014/main" id="{C134965C-25B7-D07E-B39B-0E008E46BA7B}"/>
                  </a:ext>
                </a:extLst>
              </xdr:cNvPr>
              <xdr:cNvSpPr/>
            </xdr:nvSpPr>
            <xdr:spPr bwMode="auto">
              <a:xfrm>
                <a:off x="12868275" y="3676650"/>
                <a:ext cx="36195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100</a:t>
                </a:r>
              </a:p>
            </xdr:txBody>
          </xdr:sp>
          <xdr:sp macro="" textlink="">
            <xdr:nvSpPr>
              <xdr:cNvPr id="5221" name="Check Box 101" hidden="1">
                <a:extLst>
                  <a:ext uri="{63B3BB69-23CF-44E3-9099-C40C66FF867C}">
                    <a14:compatExt spid="_x0000_s5221"/>
                  </a:ext>
                  <a:ext uri="{FF2B5EF4-FFF2-40B4-BE49-F238E27FC236}">
                    <a16:creationId xmlns:a16="http://schemas.microsoft.com/office/drawing/2014/main" id="{EB2D42C0-49C7-540F-DAFF-8BE7363A079C}"/>
                  </a:ext>
                </a:extLst>
              </xdr:cNvPr>
              <xdr:cNvSpPr/>
            </xdr:nvSpPr>
            <xdr:spPr bwMode="auto">
              <a:xfrm>
                <a:off x="13420725" y="3676650"/>
                <a:ext cx="36195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101</a:t>
                </a:r>
              </a:p>
            </xdr:txBody>
          </xdr:sp>
          <xdr:sp macro="" textlink="">
            <xdr:nvSpPr>
              <xdr:cNvPr id="5222" name="Check Box 102" hidden="1">
                <a:extLst>
                  <a:ext uri="{63B3BB69-23CF-44E3-9099-C40C66FF867C}">
                    <a14:compatExt spid="_x0000_s5222"/>
                  </a:ext>
                  <a:ext uri="{FF2B5EF4-FFF2-40B4-BE49-F238E27FC236}">
                    <a16:creationId xmlns:a16="http://schemas.microsoft.com/office/drawing/2014/main" id="{23401205-50A2-CE32-1FCA-046EA5B5ADE8}"/>
                  </a:ext>
                </a:extLst>
              </xdr:cNvPr>
              <xdr:cNvSpPr/>
            </xdr:nvSpPr>
            <xdr:spPr bwMode="auto">
              <a:xfrm>
                <a:off x="13944600" y="3676650"/>
                <a:ext cx="36195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102</a:t>
                </a:r>
              </a:p>
            </xdr:txBody>
          </xdr:sp>
          <xdr:sp macro="" textlink="">
            <xdr:nvSpPr>
              <xdr:cNvPr id="5223" name="Check Box 103" hidden="1">
                <a:extLst>
                  <a:ext uri="{63B3BB69-23CF-44E3-9099-C40C66FF867C}">
                    <a14:compatExt spid="_x0000_s5223"/>
                  </a:ext>
                  <a:ext uri="{FF2B5EF4-FFF2-40B4-BE49-F238E27FC236}">
                    <a16:creationId xmlns:a16="http://schemas.microsoft.com/office/drawing/2014/main" id="{E55FBD0C-802E-F2E3-115D-9409C79E756A}"/>
                  </a:ext>
                </a:extLst>
              </xdr:cNvPr>
              <xdr:cNvSpPr/>
            </xdr:nvSpPr>
            <xdr:spPr bwMode="auto">
              <a:xfrm>
                <a:off x="14439906" y="3676650"/>
                <a:ext cx="361949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103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1025191</xdr:colOff>
          <xdr:row>68</xdr:row>
          <xdr:rowOff>101644</xdr:rowOff>
        </xdr:from>
        <xdr:to>
          <xdr:col>3</xdr:col>
          <xdr:colOff>1368755</xdr:colOff>
          <xdr:row>74</xdr:row>
          <xdr:rowOff>66895</xdr:rowOff>
        </xdr:to>
        <xdr:grpSp>
          <xdr:nvGrpSpPr>
            <xdr:cNvPr id="12" name="Grupo 11">
              <a:extLst>
                <a:ext uri="{FF2B5EF4-FFF2-40B4-BE49-F238E27FC236}">
                  <a16:creationId xmlns:a16="http://schemas.microsoft.com/office/drawing/2014/main" id="{00000000-0008-0000-0100-00000C000000}"/>
                </a:ext>
              </a:extLst>
            </xdr:cNvPr>
            <xdr:cNvGrpSpPr/>
          </xdr:nvGrpSpPr>
          <xdr:grpSpPr>
            <a:xfrm>
              <a:off x="5444791" y="18837879"/>
              <a:ext cx="343564" cy="1578898"/>
              <a:chOff x="4799493" y="17312916"/>
              <a:chExt cx="343564" cy="1519147"/>
            </a:xfrm>
          </xdr:grpSpPr>
          <xdr:sp macro="" textlink="">
            <xdr:nvSpPr>
              <xdr:cNvPr id="5232" name="Check Box 112" hidden="1">
                <a:extLst>
                  <a:ext uri="{63B3BB69-23CF-44E3-9099-C40C66FF867C}">
                    <a14:compatExt spid="_x0000_s5232"/>
                  </a:ext>
                  <a:ext uri="{FF2B5EF4-FFF2-40B4-BE49-F238E27FC236}">
                    <a16:creationId xmlns:a16="http://schemas.microsoft.com/office/drawing/2014/main" id="{AC18C8D8-912D-F91A-36ED-656F837EE4E0}"/>
                  </a:ext>
                </a:extLst>
              </xdr:cNvPr>
              <xdr:cNvSpPr/>
            </xdr:nvSpPr>
            <xdr:spPr bwMode="auto">
              <a:xfrm>
                <a:off x="4799493" y="17312916"/>
                <a:ext cx="342900" cy="21819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112</a:t>
                </a:r>
              </a:p>
            </xdr:txBody>
          </xdr:sp>
          <xdr:sp macro="" textlink="">
            <xdr:nvSpPr>
              <xdr:cNvPr id="5233" name="Check Box 113" hidden="1">
                <a:extLst>
                  <a:ext uri="{63B3BB69-23CF-44E3-9099-C40C66FF867C}">
                    <a14:compatExt spid="_x0000_s5233"/>
                  </a:ext>
                  <a:ext uri="{FF2B5EF4-FFF2-40B4-BE49-F238E27FC236}">
                    <a16:creationId xmlns:a16="http://schemas.microsoft.com/office/drawing/2014/main" id="{FF43F5DA-6749-C06B-884C-3F3993D608B8}"/>
                  </a:ext>
                </a:extLst>
              </xdr:cNvPr>
              <xdr:cNvSpPr/>
            </xdr:nvSpPr>
            <xdr:spPr bwMode="auto">
              <a:xfrm>
                <a:off x="4800157" y="17568087"/>
                <a:ext cx="342900" cy="21818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113</a:t>
                </a:r>
              </a:p>
            </xdr:txBody>
          </xdr:sp>
          <xdr:sp macro="" textlink="">
            <xdr:nvSpPr>
              <xdr:cNvPr id="5234" name="Check Box 114" hidden="1">
                <a:extLst>
                  <a:ext uri="{63B3BB69-23CF-44E3-9099-C40C66FF867C}">
                    <a14:compatExt spid="_x0000_s5234"/>
                  </a:ext>
                  <a:ext uri="{FF2B5EF4-FFF2-40B4-BE49-F238E27FC236}">
                    <a16:creationId xmlns:a16="http://schemas.microsoft.com/office/drawing/2014/main" id="{63266F82-95D0-C24E-CC61-2E1273A0509D}"/>
                  </a:ext>
                </a:extLst>
              </xdr:cNvPr>
              <xdr:cNvSpPr/>
            </xdr:nvSpPr>
            <xdr:spPr bwMode="auto">
              <a:xfrm>
                <a:off x="4800157" y="17846528"/>
                <a:ext cx="342900" cy="20866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114</a:t>
                </a:r>
              </a:p>
            </xdr:txBody>
          </xdr:sp>
          <xdr:sp macro="" textlink="">
            <xdr:nvSpPr>
              <xdr:cNvPr id="5235" name="Check Box 115" hidden="1">
                <a:extLst>
                  <a:ext uri="{63B3BB69-23CF-44E3-9099-C40C66FF867C}">
                    <a14:compatExt spid="_x0000_s5235"/>
                  </a:ext>
                  <a:ext uri="{FF2B5EF4-FFF2-40B4-BE49-F238E27FC236}">
                    <a16:creationId xmlns:a16="http://schemas.microsoft.com/office/drawing/2014/main" id="{4759DC8E-78AC-0495-B4D6-8481237C26F9}"/>
                  </a:ext>
                </a:extLst>
              </xdr:cNvPr>
              <xdr:cNvSpPr/>
            </xdr:nvSpPr>
            <xdr:spPr bwMode="auto">
              <a:xfrm>
                <a:off x="4800155" y="18099714"/>
                <a:ext cx="342900" cy="20866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115</a:t>
                </a:r>
              </a:p>
            </xdr:txBody>
          </xdr:sp>
          <xdr:sp macro="" textlink="">
            <xdr:nvSpPr>
              <xdr:cNvPr id="5236" name="Check Box 116" hidden="1">
                <a:extLst>
                  <a:ext uri="{63B3BB69-23CF-44E3-9099-C40C66FF867C}">
                    <a14:compatExt spid="_x0000_s5236"/>
                  </a:ext>
                  <a:ext uri="{FF2B5EF4-FFF2-40B4-BE49-F238E27FC236}">
                    <a16:creationId xmlns:a16="http://schemas.microsoft.com/office/drawing/2014/main" id="{B4C38060-5A0E-3BE4-9DD4-B209A6DBCD37}"/>
                  </a:ext>
                </a:extLst>
              </xdr:cNvPr>
              <xdr:cNvSpPr/>
            </xdr:nvSpPr>
            <xdr:spPr bwMode="auto">
              <a:xfrm>
                <a:off x="4800155" y="18367083"/>
                <a:ext cx="342900" cy="19913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116</a:t>
                </a:r>
              </a:p>
            </xdr:txBody>
          </xdr:sp>
          <xdr:sp macro="" textlink="">
            <xdr:nvSpPr>
              <xdr:cNvPr id="5237" name="Check Box 117" hidden="1">
                <a:extLst>
                  <a:ext uri="{63B3BB69-23CF-44E3-9099-C40C66FF867C}">
                    <a14:compatExt spid="_x0000_s5237"/>
                  </a:ext>
                  <a:ext uri="{FF2B5EF4-FFF2-40B4-BE49-F238E27FC236}">
                    <a16:creationId xmlns:a16="http://schemas.microsoft.com/office/drawing/2014/main" id="{A89F4AA7-BF01-02A7-C145-016A9FCBB5E2}"/>
                  </a:ext>
                </a:extLst>
              </xdr:cNvPr>
              <xdr:cNvSpPr/>
            </xdr:nvSpPr>
            <xdr:spPr bwMode="auto">
              <a:xfrm>
                <a:off x="4800156" y="18632924"/>
                <a:ext cx="342900" cy="19913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117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926267</xdr:colOff>
          <xdr:row>68</xdr:row>
          <xdr:rowOff>100890</xdr:rowOff>
        </xdr:from>
        <xdr:to>
          <xdr:col>4</xdr:col>
          <xdr:colOff>1269831</xdr:colOff>
          <xdr:row>74</xdr:row>
          <xdr:rowOff>64240</xdr:rowOff>
        </xdr:to>
        <xdr:grpSp>
          <xdr:nvGrpSpPr>
            <xdr:cNvPr id="13" name="Grupo 12">
              <a:extLst>
                <a:ext uri="{FF2B5EF4-FFF2-40B4-BE49-F238E27FC236}">
                  <a16:creationId xmlns:a16="http://schemas.microsoft.com/office/drawing/2014/main" id="{00000000-0008-0000-0100-00000D000000}"/>
                </a:ext>
              </a:extLst>
            </xdr:cNvPr>
            <xdr:cNvGrpSpPr/>
          </xdr:nvGrpSpPr>
          <xdr:grpSpPr>
            <a:xfrm>
              <a:off x="7640832" y="18837125"/>
              <a:ext cx="343564" cy="1576997"/>
              <a:chOff x="4799493" y="17312907"/>
              <a:chExt cx="343564" cy="1519161"/>
            </a:xfrm>
          </xdr:grpSpPr>
          <xdr:sp macro="" textlink="">
            <xdr:nvSpPr>
              <xdr:cNvPr id="5238" name="Check Box 118" hidden="1">
                <a:extLst>
                  <a:ext uri="{63B3BB69-23CF-44E3-9099-C40C66FF867C}">
                    <a14:compatExt spid="_x0000_s5238"/>
                  </a:ext>
                  <a:ext uri="{FF2B5EF4-FFF2-40B4-BE49-F238E27FC236}">
                    <a16:creationId xmlns:a16="http://schemas.microsoft.com/office/drawing/2014/main" id="{10DD2898-F808-4ABA-87BD-96A9DF564B71}"/>
                  </a:ext>
                </a:extLst>
              </xdr:cNvPr>
              <xdr:cNvSpPr/>
            </xdr:nvSpPr>
            <xdr:spPr bwMode="auto">
              <a:xfrm>
                <a:off x="4799493" y="17312907"/>
                <a:ext cx="342900" cy="21819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118</a:t>
                </a:r>
              </a:p>
            </xdr:txBody>
          </xdr:sp>
          <xdr:sp macro="" textlink="">
            <xdr:nvSpPr>
              <xdr:cNvPr id="5239" name="Check Box 119" hidden="1">
                <a:extLst>
                  <a:ext uri="{63B3BB69-23CF-44E3-9099-C40C66FF867C}">
                    <a14:compatExt spid="_x0000_s5239"/>
                  </a:ext>
                  <a:ext uri="{FF2B5EF4-FFF2-40B4-BE49-F238E27FC236}">
                    <a16:creationId xmlns:a16="http://schemas.microsoft.com/office/drawing/2014/main" id="{63F3BC4A-5E20-6DB4-A0E3-8C96141E0662}"/>
                  </a:ext>
                </a:extLst>
              </xdr:cNvPr>
              <xdr:cNvSpPr/>
            </xdr:nvSpPr>
            <xdr:spPr bwMode="auto">
              <a:xfrm>
                <a:off x="4800157" y="17568087"/>
                <a:ext cx="342900" cy="21818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119</a:t>
                </a:r>
              </a:p>
            </xdr:txBody>
          </xdr:sp>
          <xdr:sp macro="" textlink="">
            <xdr:nvSpPr>
              <xdr:cNvPr id="5240" name="Check Box 120" hidden="1">
                <a:extLst>
                  <a:ext uri="{63B3BB69-23CF-44E3-9099-C40C66FF867C}">
                    <a14:compatExt spid="_x0000_s5240"/>
                  </a:ext>
                  <a:ext uri="{FF2B5EF4-FFF2-40B4-BE49-F238E27FC236}">
                    <a16:creationId xmlns:a16="http://schemas.microsoft.com/office/drawing/2014/main" id="{C25E6C5A-7D05-23A6-4387-5F2039870691}"/>
                  </a:ext>
                </a:extLst>
              </xdr:cNvPr>
              <xdr:cNvSpPr/>
            </xdr:nvSpPr>
            <xdr:spPr bwMode="auto">
              <a:xfrm>
                <a:off x="4800157" y="17846528"/>
                <a:ext cx="342900" cy="20866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120</a:t>
                </a:r>
              </a:p>
            </xdr:txBody>
          </xdr:sp>
          <xdr:sp macro="" textlink="">
            <xdr:nvSpPr>
              <xdr:cNvPr id="5241" name="Check Box 121" hidden="1">
                <a:extLst>
                  <a:ext uri="{63B3BB69-23CF-44E3-9099-C40C66FF867C}">
                    <a14:compatExt spid="_x0000_s5241"/>
                  </a:ext>
                  <a:ext uri="{FF2B5EF4-FFF2-40B4-BE49-F238E27FC236}">
                    <a16:creationId xmlns:a16="http://schemas.microsoft.com/office/drawing/2014/main" id="{869B9079-22BA-5682-FA7C-CF433CA77D0B}"/>
                  </a:ext>
                </a:extLst>
              </xdr:cNvPr>
              <xdr:cNvSpPr/>
            </xdr:nvSpPr>
            <xdr:spPr bwMode="auto">
              <a:xfrm>
                <a:off x="4800155" y="18099714"/>
                <a:ext cx="342900" cy="20866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121</a:t>
                </a:r>
              </a:p>
            </xdr:txBody>
          </xdr:sp>
          <xdr:sp macro="" textlink="">
            <xdr:nvSpPr>
              <xdr:cNvPr id="5242" name="Check Box 122" hidden="1">
                <a:extLst>
                  <a:ext uri="{63B3BB69-23CF-44E3-9099-C40C66FF867C}">
                    <a14:compatExt spid="_x0000_s5242"/>
                  </a:ext>
                  <a:ext uri="{FF2B5EF4-FFF2-40B4-BE49-F238E27FC236}">
                    <a16:creationId xmlns:a16="http://schemas.microsoft.com/office/drawing/2014/main" id="{00311308-F76D-057B-C8BF-DEA49AA480D0}"/>
                  </a:ext>
                </a:extLst>
              </xdr:cNvPr>
              <xdr:cNvSpPr/>
            </xdr:nvSpPr>
            <xdr:spPr bwMode="auto">
              <a:xfrm>
                <a:off x="4800155" y="18367083"/>
                <a:ext cx="342900" cy="19913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122</a:t>
                </a:r>
              </a:p>
            </xdr:txBody>
          </xdr:sp>
          <xdr:sp macro="" textlink="">
            <xdr:nvSpPr>
              <xdr:cNvPr id="5243" name="Check Box 123" hidden="1">
                <a:extLst>
                  <a:ext uri="{63B3BB69-23CF-44E3-9099-C40C66FF867C}">
                    <a14:compatExt spid="_x0000_s5243"/>
                  </a:ext>
                  <a:ext uri="{FF2B5EF4-FFF2-40B4-BE49-F238E27FC236}">
                    <a16:creationId xmlns:a16="http://schemas.microsoft.com/office/drawing/2014/main" id="{6070685E-7C38-C136-5D07-8DCE1AB3A8ED}"/>
                  </a:ext>
                </a:extLst>
              </xdr:cNvPr>
              <xdr:cNvSpPr/>
            </xdr:nvSpPr>
            <xdr:spPr bwMode="auto">
              <a:xfrm>
                <a:off x="4800156" y="18632929"/>
                <a:ext cx="342900" cy="19913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123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568584</xdr:colOff>
          <xdr:row>76</xdr:row>
          <xdr:rowOff>169164</xdr:rowOff>
        </xdr:from>
        <xdr:to>
          <xdr:col>8</xdr:col>
          <xdr:colOff>66957</xdr:colOff>
          <xdr:row>77</xdr:row>
          <xdr:rowOff>69861</xdr:rowOff>
        </xdr:to>
        <xdr:grpSp>
          <xdr:nvGrpSpPr>
            <xdr:cNvPr id="14" name="Grupo 13">
              <a:extLst>
                <a:ext uri="{FF2B5EF4-FFF2-40B4-BE49-F238E27FC236}">
                  <a16:creationId xmlns:a16="http://schemas.microsoft.com/office/drawing/2014/main" id="{00000000-0008-0000-0100-00000E000000}"/>
                </a:ext>
              </a:extLst>
            </xdr:cNvPr>
            <xdr:cNvGrpSpPr/>
          </xdr:nvGrpSpPr>
          <xdr:grpSpPr>
            <a:xfrm>
              <a:off x="3957243" y="20877635"/>
              <a:ext cx="6419126" cy="223426"/>
              <a:chOff x="3603995" y="19302077"/>
              <a:chExt cx="4352929" cy="219742"/>
            </a:xfrm>
          </xdr:grpSpPr>
          <xdr:sp macro="" textlink="">
            <xdr:nvSpPr>
              <xdr:cNvPr id="5244" name="Check Box 124" hidden="1">
                <a:extLst>
                  <a:ext uri="{63B3BB69-23CF-44E3-9099-C40C66FF867C}">
                    <a14:compatExt spid="_x0000_s5244"/>
                  </a:ext>
                  <a:ext uri="{FF2B5EF4-FFF2-40B4-BE49-F238E27FC236}">
                    <a16:creationId xmlns:a16="http://schemas.microsoft.com/office/drawing/2014/main" id="{1EF2B31E-D855-3E99-434E-B20B883D3E05}"/>
                  </a:ext>
                </a:extLst>
              </xdr:cNvPr>
              <xdr:cNvSpPr/>
            </xdr:nvSpPr>
            <xdr:spPr bwMode="auto">
              <a:xfrm>
                <a:off x="3603995" y="19302077"/>
                <a:ext cx="342901" cy="21641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124</a:t>
                </a:r>
              </a:p>
            </xdr:txBody>
          </xdr:sp>
          <xdr:sp macro="" textlink="">
            <xdr:nvSpPr>
              <xdr:cNvPr id="5245" name="Check Box 125" hidden="1">
                <a:extLst>
                  <a:ext uri="{63B3BB69-23CF-44E3-9099-C40C66FF867C}">
                    <a14:compatExt spid="_x0000_s5245"/>
                  </a:ext>
                  <a:ext uri="{FF2B5EF4-FFF2-40B4-BE49-F238E27FC236}">
                    <a16:creationId xmlns:a16="http://schemas.microsoft.com/office/drawing/2014/main" id="{12705FF2-49B9-45F6-A186-FCAC0169D27D}"/>
                  </a:ext>
                </a:extLst>
              </xdr:cNvPr>
              <xdr:cNvSpPr/>
            </xdr:nvSpPr>
            <xdr:spPr bwMode="auto">
              <a:xfrm>
                <a:off x="6137423" y="19314926"/>
                <a:ext cx="341792" cy="20689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125</a:t>
                </a:r>
              </a:p>
            </xdr:txBody>
          </xdr:sp>
          <xdr:sp macro="" textlink="">
            <xdr:nvSpPr>
              <xdr:cNvPr id="5246" name="Check Box 126" hidden="1">
                <a:extLst>
                  <a:ext uri="{63B3BB69-23CF-44E3-9099-C40C66FF867C}">
                    <a14:compatExt spid="_x0000_s5246"/>
                  </a:ext>
                  <a:ext uri="{FF2B5EF4-FFF2-40B4-BE49-F238E27FC236}">
                    <a16:creationId xmlns:a16="http://schemas.microsoft.com/office/drawing/2014/main" id="{7BF2633A-9667-1A27-068D-705EE0430679}"/>
                  </a:ext>
                </a:extLst>
              </xdr:cNvPr>
              <xdr:cNvSpPr/>
            </xdr:nvSpPr>
            <xdr:spPr bwMode="auto">
              <a:xfrm>
                <a:off x="7623549" y="19316478"/>
                <a:ext cx="333375" cy="19736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126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556757</xdr:colOff>
          <xdr:row>80</xdr:row>
          <xdr:rowOff>174338</xdr:rowOff>
        </xdr:from>
        <xdr:to>
          <xdr:col>8</xdr:col>
          <xdr:colOff>55133</xdr:colOff>
          <xdr:row>81</xdr:row>
          <xdr:rowOff>133571</xdr:rowOff>
        </xdr:to>
        <xdr:grpSp>
          <xdr:nvGrpSpPr>
            <xdr:cNvPr id="15" name="Grupo 14">
              <a:extLst>
                <a:ext uri="{FF2B5EF4-FFF2-40B4-BE49-F238E27FC236}">
                  <a16:creationId xmlns:a16="http://schemas.microsoft.com/office/drawing/2014/main" id="{00000000-0008-0000-0100-00000F000000}"/>
                </a:ext>
              </a:extLst>
            </xdr:cNvPr>
            <xdr:cNvGrpSpPr/>
          </xdr:nvGrpSpPr>
          <xdr:grpSpPr>
            <a:xfrm>
              <a:off x="3945416" y="21743420"/>
              <a:ext cx="6419129" cy="228175"/>
              <a:chOff x="3603985" y="19313826"/>
              <a:chExt cx="4352923" cy="216417"/>
            </a:xfrm>
          </xdr:grpSpPr>
          <xdr:sp macro="" textlink="">
            <xdr:nvSpPr>
              <xdr:cNvPr id="5248" name="Check Box 128" hidden="1">
                <a:extLst>
                  <a:ext uri="{63B3BB69-23CF-44E3-9099-C40C66FF867C}">
                    <a14:compatExt spid="_x0000_s5248"/>
                  </a:ext>
                  <a:ext uri="{FF2B5EF4-FFF2-40B4-BE49-F238E27FC236}">
                    <a16:creationId xmlns:a16="http://schemas.microsoft.com/office/drawing/2014/main" id="{155CF508-87FF-74BE-CB39-7F1AD7028EDF}"/>
                  </a:ext>
                </a:extLst>
              </xdr:cNvPr>
              <xdr:cNvSpPr/>
            </xdr:nvSpPr>
            <xdr:spPr bwMode="auto">
              <a:xfrm>
                <a:off x="3603985" y="19313826"/>
                <a:ext cx="342900" cy="21641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128</a:t>
                </a:r>
              </a:p>
            </xdr:txBody>
          </xdr:sp>
          <xdr:sp macro="" textlink="">
            <xdr:nvSpPr>
              <xdr:cNvPr id="5249" name="Check Box 129" hidden="1">
                <a:extLst>
                  <a:ext uri="{63B3BB69-23CF-44E3-9099-C40C66FF867C}">
                    <a14:compatExt spid="_x0000_s5249"/>
                  </a:ext>
                  <a:ext uri="{FF2B5EF4-FFF2-40B4-BE49-F238E27FC236}">
                    <a16:creationId xmlns:a16="http://schemas.microsoft.com/office/drawing/2014/main" id="{A6640EEA-3630-79BE-AA94-924A2A9DC895}"/>
                  </a:ext>
                </a:extLst>
              </xdr:cNvPr>
              <xdr:cNvSpPr/>
            </xdr:nvSpPr>
            <xdr:spPr bwMode="auto">
              <a:xfrm>
                <a:off x="6148499" y="19314928"/>
                <a:ext cx="341792" cy="20689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129</a:t>
                </a:r>
              </a:p>
            </xdr:txBody>
          </xdr:sp>
          <xdr:sp macro="" textlink="">
            <xdr:nvSpPr>
              <xdr:cNvPr id="5250" name="Check Box 130" hidden="1">
                <a:extLst>
                  <a:ext uri="{63B3BB69-23CF-44E3-9099-C40C66FF867C}">
                    <a14:compatExt spid="_x0000_s5250"/>
                  </a:ext>
                  <a:ext uri="{FF2B5EF4-FFF2-40B4-BE49-F238E27FC236}">
                    <a16:creationId xmlns:a16="http://schemas.microsoft.com/office/drawing/2014/main" id="{8025AA60-D57F-8F7F-A780-008B2E5AA4CD}"/>
                  </a:ext>
                </a:extLst>
              </xdr:cNvPr>
              <xdr:cNvSpPr/>
            </xdr:nvSpPr>
            <xdr:spPr bwMode="auto">
              <a:xfrm>
                <a:off x="7623533" y="19316478"/>
                <a:ext cx="333375" cy="19736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Casilla 130</a:t>
                </a:r>
              </a:p>
            </xdr:txBody>
          </xdr:sp>
        </xdr:grp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463902</xdr:colOff>
      <xdr:row>2</xdr:row>
      <xdr:rowOff>174812</xdr:rowOff>
    </xdr:from>
    <xdr:to>
      <xdr:col>3</xdr:col>
      <xdr:colOff>2595079</xdr:colOff>
      <xdr:row>3</xdr:row>
      <xdr:rowOff>872693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618" t="6443" r="31239" b="73513"/>
        <a:stretch/>
      </xdr:blipFill>
      <xdr:spPr>
        <a:xfrm>
          <a:off x="1479902" y="372368"/>
          <a:ext cx="2136892" cy="857571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bout:blank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gos - Definición"/>
      <sheetName val="Categorias Configuración"/>
      <sheetName val="Categorias"/>
      <sheetName val="Niveles"/>
      <sheetName val="Criticidades"/>
      <sheetName val="Origen"/>
      <sheetName val="Valoración Tablas"/>
      <sheetName val="Factor 1"/>
      <sheetName val="Factor 2"/>
      <sheetName val="Factor 3"/>
      <sheetName val="Factor 4"/>
      <sheetName val="Variables"/>
      <sheetName val="ShR_Informacion1"/>
      <sheetName val="blan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os_Origen" displayName="Datos_Origen" ref="B5:AS84" totalsRowShown="0" headerRowDxfId="58" dataDxfId="56" totalsRowDxfId="55" headerRowBorderDxfId="57">
  <autoFilter ref="B5:AS84" xr:uid="{00000000-000C-0000-FFFF-FFFF00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  <filterColumn colId="41" hiddenButton="1"/>
    <filterColumn colId="42" hiddenButton="1"/>
    <filterColumn colId="43" hiddenButton="1"/>
  </autoFilter>
  <tableColumns count="44">
    <tableColumn id="1" xr3:uid="{00000000-0010-0000-0000-000001000000}" name="#" dataDxfId="54" totalsRowDxfId="53">
      <calculatedColumnFormula>+ROW()-5</calculatedColumnFormula>
    </tableColumn>
    <tableColumn id="27" xr3:uid="{CC23281E-4637-4B35-90C9-2E368F3466A2}" name="ID" dataDxfId="52" totalsRowDxfId="51"/>
    <tableColumn id="7" xr3:uid="{00000000-0010-0000-0000-000007000000}" name="Nombre del Cargo" dataDxfId="50" totalsRowDxfId="49"/>
    <tableColumn id="3" xr3:uid="{CFDC1388-7404-4AA3-8B0E-473BFF791EE2}" name="Número de personas que ocupan el cargo" totalsRowDxfId="48"/>
    <tableColumn id="32" xr3:uid="{1626DD3C-F3CC-4A76-8365-FB9C4C03325E}" name="¿Tiene impacto directo en ingresos/egresos?_x000a_(SI / NO)" dataDxfId="47"/>
    <tableColumn id="34" xr3:uid="{F1A02C21-8303-4757-89FE-BAA39D5C3F2B}" name="¿Responsables de Ingresos o Egresos?" dataDxfId="46"/>
    <tableColumn id="33" xr3:uid="{40F9A0B4-5CF3-440B-B197-A12824FD6733}" name="Monto anual por el que tienen impacto directo" dataDxfId="45" dataCellStyle="Moneda"/>
    <tableColumn id="6" xr3:uid="{198A9E33-34F7-42FC-987F-3BE6FEB6C814}" name="Tipo de contrato" totalsRowDxfId="44"/>
    <tableColumn id="38" xr3:uid="{1505B54E-9296-40B2-8D0D-2B9677B22A48}" name="Modalidad de trabajo (presencial, hibrido, remoto)" totalsRowDxfId="43"/>
    <tableColumn id="11" xr3:uid="{02C25BC5-327F-414B-BEC9-40B67BDC3DA5}" name="Cargo del jefe inmediato" totalsRowDxfId="42"/>
    <tableColumn id="4" xr3:uid="{933D32A4-43DB-4174-8FEB-5A4FB41BF5F5}" name="Área" totalsRowDxfId="41"/>
    <tableColumn id="5" xr3:uid="{7F68C474-CB29-4356-B802-F35484CD48CB}" name="Descripción del cargo" dataDxfId="40" totalsRowDxfId="39"/>
    <tableColumn id="17" xr3:uid="{36FC9D2A-915E-49BB-9247-4A916B1060EB}" name="Pacto / Convención" totalsRowDxfId="38"/>
    <tableColumn id="16" xr3:uid="{00000000-0010-0000-0000-000010000000}" name="Tipo de Salario" totalsRowDxfId="37"/>
    <tableColumn id="8" xr3:uid="{A37B27AE-8538-4081-81DC-4C2FBECD71FE}" name="Horas al mes" totalsRowDxfId="36"/>
    <tableColumn id="28" xr3:uid="{F1DCC8E5-024A-4068-AF69-71B6EFC618F5}" name="Porcentaje de ARL" dataDxfId="35" totalsRowDxfId="34"/>
    <tableColumn id="18" xr3:uid="{00000000-0010-0000-0000-000012000000}" name="Básico" totalsRowDxfId="33"/>
    <tableColumn id="19" xr3:uid="{00000000-0010-0000-0000-000013000000}" name="Valor por cumplimiento al 100%" totalsRowDxfId="32"/>
    <tableColumn id="20" xr3:uid="{00000000-0010-0000-0000-000014000000}" name="Real pagado (PROMEDIO MENSUAL)" totalsRowDxfId="31"/>
    <tableColumn id="21" xr3:uid="{00000000-0010-0000-0000-000015000000}" name="Concepto 2" totalsRowDxfId="30"/>
    <tableColumn id="22" xr3:uid="{00000000-0010-0000-0000-000016000000}" name="Concepto 3" totalsRowDxfId="29"/>
    <tableColumn id="23" xr3:uid="{00000000-0010-0000-0000-000017000000}" name="Concepto 5" totalsRowDxfId="28"/>
    <tableColumn id="24" xr3:uid="{00000000-0010-0000-0000-000018000000}" name="Concepto 6" totalsRowDxfId="27"/>
    <tableColumn id="25" xr3:uid="{00000000-0010-0000-0000-000019000000}" name="Concepto 7" totalsRowDxfId="26"/>
    <tableColumn id="26" xr3:uid="{00000000-0010-0000-0000-00001A000000}" name="Concepto 8" totalsRowDxfId="25"/>
    <tableColumn id="53" xr3:uid="{F81A3177-9733-48BE-9635-27E836601F1C}" name="Valor por cumplimiento al 100%." totalsRowDxfId="24" dataCellStyle="Millares"/>
    <tableColumn id="52" xr3:uid="{21C401A2-274C-4564-930C-E77F71AB8C1B}" name="REAL PAGADO ULTIMO AÑO (historico)" totalsRowDxfId="23" dataCellStyle="Millares"/>
    <tableColumn id="51" xr3:uid="{FC777152-DD19-4538-9EA0-B633C52DE20E}" name="Bono Trimestral" totalsRowDxfId="22" dataCellStyle="Millares"/>
    <tableColumn id="50" xr3:uid="{7381D50F-E42F-46B3-BB18-4A909D2E8FAD}" name="Bono por antigüedad " totalsRowDxfId="21" dataCellStyle="Millares"/>
    <tableColumn id="49" xr3:uid="{AE784DE1-AD04-4B9F-B033-170B7D4A57DF}" name="Columna16" totalsRowDxfId="20" dataCellStyle="Millares"/>
    <tableColumn id="2" xr3:uid="{00000000-0010-0000-0000-000002000000}" name="Concepto 1" totalsRowDxfId="19"/>
    <tableColumn id="10" xr3:uid="{00000000-0010-0000-0000-00000A000000}" name="Concepto2" totalsRowDxfId="18"/>
    <tableColumn id="47" xr3:uid="{00000000-0010-0000-0000-00002F000000}" name="Concepto3" totalsRowDxfId="17"/>
    <tableColumn id="12" xr3:uid="{00000000-0010-0000-0000-00000C000000}" name="Concepto1 " totalsRowDxfId="16"/>
    <tableColumn id="13" xr3:uid="{00000000-0010-0000-0000-00000D000000}" name="Concepto2 " totalsRowDxfId="15"/>
    <tableColumn id="9" xr3:uid="{DDA7D260-A746-4AD7-8A1F-FA577B89E2BB}" name="Concepto3 " totalsRowDxfId="14"/>
    <tableColumn id="14" xr3:uid="{00000000-0010-0000-0000-00000E000000}" name="Concepto4 " totalsRowDxfId="13"/>
    <tableColumn id="15" xr3:uid="{00000000-0010-0000-0000-00000F000000}" name="Prima Extralegal de Navidad" totalsRowDxfId="12"/>
    <tableColumn id="29" xr3:uid="{00000000-0010-0000-0000-00001D000000}" name="Prima Extralegal de Vacaciones" totalsRowDxfId="11"/>
    <tableColumn id="30" xr3:uid="{00000000-0010-0000-0000-00001E000000}" name="Columna10" totalsRowDxfId="10"/>
    <tableColumn id="31" xr3:uid="{00000000-0010-0000-0000-00001F000000}" name="Columna11" totalsRowDxfId="9"/>
    <tableColumn id="44" xr3:uid="{5196DF6B-7F28-43F1-A6E4-64EDEC92336F}" name="Prima Extralegal de Navidad2" totalsRowDxfId="8"/>
    <tableColumn id="43" xr3:uid="{928D6655-1049-4CBD-BF8E-E7C07068CE37}" name="Prima Extralegal de Vacaciones2" totalsRowDxfId="7"/>
    <tableColumn id="42" xr3:uid="{701C3386-7F31-4132-9099-C34E073AA5BF}" name="Columna124" totalsRowDxfId="6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332538-3158-4B6C-9391-20EC8452F10B}" name="Gerencia" displayName="Gerencia" ref="D4:D10" totalsRowShown="0" headerRowDxfId="5">
  <autoFilter ref="D4:D10" xr:uid="{D1332538-3158-4B6C-9391-20EC8452F10B}"/>
  <tableColumns count="1">
    <tableColumn id="1" xr3:uid="{2901AA0D-149B-4BD6-8677-54FB777DDCB3}" name="Gerenci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8C5E90C-2EBC-4307-8746-F15B7D26AC0F}" name="Administrativo" displayName="Administrativo" ref="F4:F8" totalsRowShown="0" headerRowDxfId="4">
  <autoFilter ref="F4:F8" xr:uid="{B8C5E90C-2EBC-4307-8746-F15B7D26AC0F}"/>
  <tableColumns count="1">
    <tableColumn id="1" xr3:uid="{89812D7D-7958-40F5-AA96-4E799893C0BF}" name="Administrativ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D393115-E0D5-44EF-B104-07AB59DBCE71}" name="Comercial" displayName="Comercial" ref="H4:H8" totalsRowShown="0" headerRowDxfId="3">
  <autoFilter ref="H4:H8" xr:uid="{FD393115-E0D5-44EF-B104-07AB59DBCE71}"/>
  <tableColumns count="1">
    <tableColumn id="1" xr3:uid="{20941B3D-4016-43B3-9A8F-477E1327F10A}" name="Comercia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4A7A5A1-DCBB-4374-8354-24C092D846D3}" name="Soport" displayName="Soport" ref="J4:J6" totalsRowShown="0" headerRowDxfId="2">
  <autoFilter ref="J4:J6" xr:uid="{84A7A5A1-DCBB-4374-8354-24C092D846D3}"/>
  <tableColumns count="1">
    <tableColumn id="1" xr3:uid="{90B5F179-56C0-4317-900D-98C44DAFC9C3}" name="Sopor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8D98AB8-0839-4CCE-BEEC-2C7B03E7A2E5}" name="Técnicos" displayName="Técnicos" ref="L4:L6" totalsRowShown="0" headerRowDxfId="1">
  <autoFilter ref="L4:L6" xr:uid="{18D98AB8-0839-4CCE-BEEC-2C7B03E7A2E5}"/>
  <tableColumns count="1">
    <tableColumn id="1" xr3:uid="{D339C701-8EC2-4B6D-99F1-B653E7C2375F}" name="Técnic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CE2698F-3EB3-4DB6-94CE-9F020A0C6166}" name="Operativos" displayName="Operativos" ref="N4:N8" totalsRowShown="0" headerRowDxfId="0">
  <autoFilter ref="N4:N8" xr:uid="{8CE2698F-3EB3-4DB6-94CE-9F020A0C6166}"/>
  <tableColumns count="1">
    <tableColumn id="1" xr3:uid="{0FBF29F1-0315-4492-B5A5-6F9D0E452FE7}" name="Operativ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3.xml"/><Relationship Id="rId2" Type="http://schemas.openxmlformats.org/officeDocument/2006/relationships/drawing" Target="../drawings/drawing1.xml"/><Relationship Id="rId1" Type="http://schemas.openxmlformats.org/officeDocument/2006/relationships/hyperlink" Target="mailto:aalcaraz@extrusiones.com.co" TargetMode="External"/><Relationship Id="rId6" Type="http://schemas.openxmlformats.org/officeDocument/2006/relationships/ctrlProp" Target="../ctrlProps/ctrlProp2.xml"/><Relationship Id="rId5" Type="http://schemas.openxmlformats.org/officeDocument/2006/relationships/ctrlProp" Target="../ctrlProps/ctrlProp1.xml"/><Relationship Id="rId10" Type="http://schemas.openxmlformats.org/officeDocument/2006/relationships/comments" Target="../comments1.xml"/><Relationship Id="rId4" Type="http://schemas.openxmlformats.org/officeDocument/2006/relationships/image" Target="../media/image1.png"/><Relationship Id="rId9" Type="http://schemas.openxmlformats.org/officeDocument/2006/relationships/ctrlProp" Target="../ctrlProps/ctrlProp5.xm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7.xml"/><Relationship Id="rId21" Type="http://schemas.openxmlformats.org/officeDocument/2006/relationships/ctrlProp" Target="../ctrlProps/ctrlProp22.xml"/><Relationship Id="rId42" Type="http://schemas.openxmlformats.org/officeDocument/2006/relationships/ctrlProp" Target="../ctrlProps/ctrlProp43.xml"/><Relationship Id="rId47" Type="http://schemas.openxmlformats.org/officeDocument/2006/relationships/ctrlProp" Target="../ctrlProps/ctrlProp48.xml"/><Relationship Id="rId63" Type="http://schemas.openxmlformats.org/officeDocument/2006/relationships/ctrlProp" Target="../ctrlProps/ctrlProp64.xml"/><Relationship Id="rId68" Type="http://schemas.openxmlformats.org/officeDocument/2006/relationships/ctrlProp" Target="../ctrlProps/ctrlProp69.xml"/><Relationship Id="rId84" Type="http://schemas.openxmlformats.org/officeDocument/2006/relationships/ctrlProp" Target="../ctrlProps/ctrlProp85.xml"/><Relationship Id="rId89" Type="http://schemas.openxmlformats.org/officeDocument/2006/relationships/ctrlProp" Target="../ctrlProps/ctrlProp90.xml"/><Relationship Id="rId16" Type="http://schemas.openxmlformats.org/officeDocument/2006/relationships/ctrlProp" Target="../ctrlProps/ctrlProp17.xml"/><Relationship Id="rId11" Type="http://schemas.openxmlformats.org/officeDocument/2006/relationships/ctrlProp" Target="../ctrlProps/ctrlProp12.xml"/><Relationship Id="rId32" Type="http://schemas.openxmlformats.org/officeDocument/2006/relationships/ctrlProp" Target="../ctrlProps/ctrlProp33.xml"/><Relationship Id="rId37" Type="http://schemas.openxmlformats.org/officeDocument/2006/relationships/ctrlProp" Target="../ctrlProps/ctrlProp38.xml"/><Relationship Id="rId53" Type="http://schemas.openxmlformats.org/officeDocument/2006/relationships/ctrlProp" Target="../ctrlProps/ctrlProp54.xml"/><Relationship Id="rId58" Type="http://schemas.openxmlformats.org/officeDocument/2006/relationships/ctrlProp" Target="../ctrlProps/ctrlProp59.xml"/><Relationship Id="rId74" Type="http://schemas.openxmlformats.org/officeDocument/2006/relationships/ctrlProp" Target="../ctrlProps/ctrlProp75.xml"/><Relationship Id="rId79" Type="http://schemas.openxmlformats.org/officeDocument/2006/relationships/ctrlProp" Target="../ctrlProps/ctrlProp80.xml"/><Relationship Id="rId102" Type="http://schemas.openxmlformats.org/officeDocument/2006/relationships/ctrlProp" Target="../ctrlProps/ctrlProp103.xml"/><Relationship Id="rId5" Type="http://schemas.openxmlformats.org/officeDocument/2006/relationships/ctrlProp" Target="../ctrlProps/ctrlProp6.xml"/><Relationship Id="rId90" Type="http://schemas.openxmlformats.org/officeDocument/2006/relationships/ctrlProp" Target="../ctrlProps/ctrlProp91.xml"/><Relationship Id="rId95" Type="http://schemas.openxmlformats.org/officeDocument/2006/relationships/ctrlProp" Target="../ctrlProps/ctrlProp96.xml"/><Relationship Id="rId22" Type="http://schemas.openxmlformats.org/officeDocument/2006/relationships/ctrlProp" Target="../ctrlProps/ctrlProp23.xml"/><Relationship Id="rId27" Type="http://schemas.openxmlformats.org/officeDocument/2006/relationships/ctrlProp" Target="../ctrlProps/ctrlProp28.xml"/><Relationship Id="rId43" Type="http://schemas.openxmlformats.org/officeDocument/2006/relationships/ctrlProp" Target="../ctrlProps/ctrlProp44.xml"/><Relationship Id="rId48" Type="http://schemas.openxmlformats.org/officeDocument/2006/relationships/ctrlProp" Target="../ctrlProps/ctrlProp49.xml"/><Relationship Id="rId64" Type="http://schemas.openxmlformats.org/officeDocument/2006/relationships/ctrlProp" Target="../ctrlProps/ctrlProp65.xml"/><Relationship Id="rId69" Type="http://schemas.openxmlformats.org/officeDocument/2006/relationships/ctrlProp" Target="../ctrlProps/ctrlProp70.xml"/><Relationship Id="rId80" Type="http://schemas.openxmlformats.org/officeDocument/2006/relationships/ctrlProp" Target="../ctrlProps/ctrlProp81.xml"/><Relationship Id="rId85" Type="http://schemas.openxmlformats.org/officeDocument/2006/relationships/ctrlProp" Target="../ctrlProps/ctrlProp86.xml"/><Relationship Id="rId12" Type="http://schemas.openxmlformats.org/officeDocument/2006/relationships/ctrlProp" Target="../ctrlProps/ctrlProp13.xml"/><Relationship Id="rId17" Type="http://schemas.openxmlformats.org/officeDocument/2006/relationships/ctrlProp" Target="../ctrlProps/ctrlProp18.xml"/><Relationship Id="rId25" Type="http://schemas.openxmlformats.org/officeDocument/2006/relationships/ctrlProp" Target="../ctrlProps/ctrlProp26.xml"/><Relationship Id="rId33" Type="http://schemas.openxmlformats.org/officeDocument/2006/relationships/ctrlProp" Target="../ctrlProps/ctrlProp34.xml"/><Relationship Id="rId38" Type="http://schemas.openxmlformats.org/officeDocument/2006/relationships/ctrlProp" Target="../ctrlProps/ctrlProp39.xml"/><Relationship Id="rId46" Type="http://schemas.openxmlformats.org/officeDocument/2006/relationships/ctrlProp" Target="../ctrlProps/ctrlProp47.xml"/><Relationship Id="rId59" Type="http://schemas.openxmlformats.org/officeDocument/2006/relationships/ctrlProp" Target="../ctrlProps/ctrlProp60.xml"/><Relationship Id="rId67" Type="http://schemas.openxmlformats.org/officeDocument/2006/relationships/ctrlProp" Target="../ctrlProps/ctrlProp68.xml"/><Relationship Id="rId103" Type="http://schemas.openxmlformats.org/officeDocument/2006/relationships/ctrlProp" Target="../ctrlProps/ctrlProp104.xml"/><Relationship Id="rId20" Type="http://schemas.openxmlformats.org/officeDocument/2006/relationships/ctrlProp" Target="../ctrlProps/ctrlProp21.xml"/><Relationship Id="rId41" Type="http://schemas.openxmlformats.org/officeDocument/2006/relationships/ctrlProp" Target="../ctrlProps/ctrlProp42.xml"/><Relationship Id="rId54" Type="http://schemas.openxmlformats.org/officeDocument/2006/relationships/ctrlProp" Target="../ctrlProps/ctrlProp55.xml"/><Relationship Id="rId62" Type="http://schemas.openxmlformats.org/officeDocument/2006/relationships/ctrlProp" Target="../ctrlProps/ctrlProp63.xml"/><Relationship Id="rId70" Type="http://schemas.openxmlformats.org/officeDocument/2006/relationships/ctrlProp" Target="../ctrlProps/ctrlProp71.xml"/><Relationship Id="rId75" Type="http://schemas.openxmlformats.org/officeDocument/2006/relationships/ctrlProp" Target="../ctrlProps/ctrlProp76.xml"/><Relationship Id="rId83" Type="http://schemas.openxmlformats.org/officeDocument/2006/relationships/ctrlProp" Target="../ctrlProps/ctrlProp84.xml"/><Relationship Id="rId88" Type="http://schemas.openxmlformats.org/officeDocument/2006/relationships/ctrlProp" Target="../ctrlProps/ctrlProp89.xml"/><Relationship Id="rId91" Type="http://schemas.openxmlformats.org/officeDocument/2006/relationships/ctrlProp" Target="../ctrlProps/ctrlProp92.xml"/><Relationship Id="rId96" Type="http://schemas.openxmlformats.org/officeDocument/2006/relationships/ctrlProp" Target="../ctrlProps/ctrlProp9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7.xml"/><Relationship Id="rId15" Type="http://schemas.openxmlformats.org/officeDocument/2006/relationships/ctrlProp" Target="../ctrlProps/ctrlProp16.xml"/><Relationship Id="rId23" Type="http://schemas.openxmlformats.org/officeDocument/2006/relationships/ctrlProp" Target="../ctrlProps/ctrlProp24.xml"/><Relationship Id="rId28" Type="http://schemas.openxmlformats.org/officeDocument/2006/relationships/ctrlProp" Target="../ctrlProps/ctrlProp29.xml"/><Relationship Id="rId36" Type="http://schemas.openxmlformats.org/officeDocument/2006/relationships/ctrlProp" Target="../ctrlProps/ctrlProp37.xml"/><Relationship Id="rId49" Type="http://schemas.openxmlformats.org/officeDocument/2006/relationships/ctrlProp" Target="../ctrlProps/ctrlProp50.xml"/><Relationship Id="rId57" Type="http://schemas.openxmlformats.org/officeDocument/2006/relationships/ctrlProp" Target="../ctrlProps/ctrlProp58.xml"/><Relationship Id="rId10" Type="http://schemas.openxmlformats.org/officeDocument/2006/relationships/ctrlProp" Target="../ctrlProps/ctrlProp11.xml"/><Relationship Id="rId31" Type="http://schemas.openxmlformats.org/officeDocument/2006/relationships/ctrlProp" Target="../ctrlProps/ctrlProp32.xml"/><Relationship Id="rId44" Type="http://schemas.openxmlformats.org/officeDocument/2006/relationships/ctrlProp" Target="../ctrlProps/ctrlProp45.xml"/><Relationship Id="rId52" Type="http://schemas.openxmlformats.org/officeDocument/2006/relationships/ctrlProp" Target="../ctrlProps/ctrlProp53.xml"/><Relationship Id="rId60" Type="http://schemas.openxmlformats.org/officeDocument/2006/relationships/ctrlProp" Target="../ctrlProps/ctrlProp61.xml"/><Relationship Id="rId65" Type="http://schemas.openxmlformats.org/officeDocument/2006/relationships/ctrlProp" Target="../ctrlProps/ctrlProp66.xml"/><Relationship Id="rId73" Type="http://schemas.openxmlformats.org/officeDocument/2006/relationships/ctrlProp" Target="../ctrlProps/ctrlProp74.xml"/><Relationship Id="rId78" Type="http://schemas.openxmlformats.org/officeDocument/2006/relationships/ctrlProp" Target="../ctrlProps/ctrlProp79.xml"/><Relationship Id="rId81" Type="http://schemas.openxmlformats.org/officeDocument/2006/relationships/ctrlProp" Target="../ctrlProps/ctrlProp82.xml"/><Relationship Id="rId86" Type="http://schemas.openxmlformats.org/officeDocument/2006/relationships/ctrlProp" Target="../ctrlProps/ctrlProp87.xml"/><Relationship Id="rId94" Type="http://schemas.openxmlformats.org/officeDocument/2006/relationships/ctrlProp" Target="../ctrlProps/ctrlProp95.xml"/><Relationship Id="rId99" Type="http://schemas.openxmlformats.org/officeDocument/2006/relationships/ctrlProp" Target="../ctrlProps/ctrlProp100.xml"/><Relationship Id="rId101" Type="http://schemas.openxmlformats.org/officeDocument/2006/relationships/ctrlProp" Target="../ctrlProps/ctrlProp102.xml"/><Relationship Id="rId4" Type="http://schemas.openxmlformats.org/officeDocument/2006/relationships/image" Target="../media/image3.png"/><Relationship Id="rId9" Type="http://schemas.openxmlformats.org/officeDocument/2006/relationships/ctrlProp" Target="../ctrlProps/ctrlProp10.xml"/><Relationship Id="rId13" Type="http://schemas.openxmlformats.org/officeDocument/2006/relationships/ctrlProp" Target="../ctrlProps/ctrlProp14.xml"/><Relationship Id="rId18" Type="http://schemas.openxmlformats.org/officeDocument/2006/relationships/ctrlProp" Target="../ctrlProps/ctrlProp19.xml"/><Relationship Id="rId39" Type="http://schemas.openxmlformats.org/officeDocument/2006/relationships/ctrlProp" Target="../ctrlProps/ctrlProp40.xml"/><Relationship Id="rId34" Type="http://schemas.openxmlformats.org/officeDocument/2006/relationships/ctrlProp" Target="../ctrlProps/ctrlProp35.xml"/><Relationship Id="rId50" Type="http://schemas.openxmlformats.org/officeDocument/2006/relationships/ctrlProp" Target="../ctrlProps/ctrlProp51.xml"/><Relationship Id="rId55" Type="http://schemas.openxmlformats.org/officeDocument/2006/relationships/ctrlProp" Target="../ctrlProps/ctrlProp56.xml"/><Relationship Id="rId76" Type="http://schemas.openxmlformats.org/officeDocument/2006/relationships/ctrlProp" Target="../ctrlProps/ctrlProp77.xml"/><Relationship Id="rId97" Type="http://schemas.openxmlformats.org/officeDocument/2006/relationships/ctrlProp" Target="../ctrlProps/ctrlProp98.xml"/><Relationship Id="rId104" Type="http://schemas.openxmlformats.org/officeDocument/2006/relationships/ctrlProp" Target="../ctrlProps/ctrlProp105.xml"/><Relationship Id="rId7" Type="http://schemas.openxmlformats.org/officeDocument/2006/relationships/ctrlProp" Target="../ctrlProps/ctrlProp8.xml"/><Relationship Id="rId71" Type="http://schemas.openxmlformats.org/officeDocument/2006/relationships/ctrlProp" Target="../ctrlProps/ctrlProp72.xml"/><Relationship Id="rId92" Type="http://schemas.openxmlformats.org/officeDocument/2006/relationships/ctrlProp" Target="../ctrlProps/ctrlProp93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30.xml"/><Relationship Id="rId24" Type="http://schemas.openxmlformats.org/officeDocument/2006/relationships/ctrlProp" Target="../ctrlProps/ctrlProp25.xml"/><Relationship Id="rId40" Type="http://schemas.openxmlformats.org/officeDocument/2006/relationships/ctrlProp" Target="../ctrlProps/ctrlProp41.xml"/><Relationship Id="rId45" Type="http://schemas.openxmlformats.org/officeDocument/2006/relationships/ctrlProp" Target="../ctrlProps/ctrlProp46.xml"/><Relationship Id="rId66" Type="http://schemas.openxmlformats.org/officeDocument/2006/relationships/ctrlProp" Target="../ctrlProps/ctrlProp67.xml"/><Relationship Id="rId87" Type="http://schemas.openxmlformats.org/officeDocument/2006/relationships/ctrlProp" Target="../ctrlProps/ctrlProp88.xml"/><Relationship Id="rId61" Type="http://schemas.openxmlformats.org/officeDocument/2006/relationships/ctrlProp" Target="../ctrlProps/ctrlProp62.xml"/><Relationship Id="rId82" Type="http://schemas.openxmlformats.org/officeDocument/2006/relationships/ctrlProp" Target="../ctrlProps/ctrlProp83.xml"/><Relationship Id="rId19" Type="http://schemas.openxmlformats.org/officeDocument/2006/relationships/ctrlProp" Target="../ctrlProps/ctrlProp20.xml"/><Relationship Id="rId14" Type="http://schemas.openxmlformats.org/officeDocument/2006/relationships/ctrlProp" Target="../ctrlProps/ctrlProp15.xml"/><Relationship Id="rId30" Type="http://schemas.openxmlformats.org/officeDocument/2006/relationships/ctrlProp" Target="../ctrlProps/ctrlProp31.xml"/><Relationship Id="rId35" Type="http://schemas.openxmlformats.org/officeDocument/2006/relationships/ctrlProp" Target="../ctrlProps/ctrlProp36.xml"/><Relationship Id="rId56" Type="http://schemas.openxmlformats.org/officeDocument/2006/relationships/ctrlProp" Target="../ctrlProps/ctrlProp57.xml"/><Relationship Id="rId77" Type="http://schemas.openxmlformats.org/officeDocument/2006/relationships/ctrlProp" Target="../ctrlProps/ctrlProp78.xml"/><Relationship Id="rId100" Type="http://schemas.openxmlformats.org/officeDocument/2006/relationships/ctrlProp" Target="../ctrlProps/ctrlProp101.xml"/><Relationship Id="rId8" Type="http://schemas.openxmlformats.org/officeDocument/2006/relationships/ctrlProp" Target="../ctrlProps/ctrlProp9.xml"/><Relationship Id="rId51" Type="http://schemas.openxmlformats.org/officeDocument/2006/relationships/ctrlProp" Target="../ctrlProps/ctrlProp52.xml"/><Relationship Id="rId72" Type="http://schemas.openxmlformats.org/officeDocument/2006/relationships/ctrlProp" Target="../ctrlProps/ctrlProp73.xml"/><Relationship Id="rId93" Type="http://schemas.openxmlformats.org/officeDocument/2006/relationships/ctrlProp" Target="../ctrlProps/ctrlProp94.xml"/><Relationship Id="rId98" Type="http://schemas.openxmlformats.org/officeDocument/2006/relationships/ctrlProp" Target="../ctrlProps/ctrlProp99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6" Type="http://schemas.openxmlformats.org/officeDocument/2006/relationships/comments" Target="../comments2.xml"/><Relationship Id="rId5" Type="http://schemas.openxmlformats.org/officeDocument/2006/relationships/table" Target="../tables/table1.xml"/><Relationship Id="rId4" Type="http://schemas.openxmlformats.org/officeDocument/2006/relationships/image" Target="../media/image4.png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D5DEE-5A24-4A43-97C3-04DF704855CA}">
  <sheetPr codeName="Hoja2"/>
  <dimension ref="A1:O71"/>
  <sheetViews>
    <sheetView showGridLines="0" zoomScale="80" zoomScaleNormal="80" workbookViewId="0">
      <selection activeCell="G15" sqref="G15:I15"/>
    </sheetView>
  </sheetViews>
  <sheetFormatPr baseColWidth="10" defaultColWidth="0" defaultRowHeight="14.4" zeroHeight="1"/>
  <cols>
    <col min="1" max="1" width="1.5546875" customWidth="1"/>
    <col min="2" max="2" width="25" style="50" customWidth="1"/>
    <col min="3" max="3" width="31" style="50" customWidth="1"/>
    <col min="4" max="4" width="21.44140625" style="50" customWidth="1"/>
    <col min="5" max="5" width="15.88671875" style="50" customWidth="1"/>
    <col min="6" max="6" width="20" style="50" customWidth="1"/>
    <col min="7" max="7" width="26.5546875" style="50" customWidth="1"/>
    <col min="8" max="8" width="21.5546875" style="50" customWidth="1"/>
    <col min="9" max="9" width="20.44140625" style="50" customWidth="1"/>
    <col min="10" max="10" width="2.5546875" style="50" customWidth="1"/>
    <col min="11" max="11" width="2.88671875" style="53" hidden="1" customWidth="1"/>
    <col min="12" max="12" width="11.5546875" hidden="1" customWidth="1"/>
    <col min="13" max="15" width="0" hidden="1" customWidth="1"/>
    <col min="16" max="16384" width="11.5546875" hidden="1"/>
  </cols>
  <sheetData>
    <row r="1" spans="1:15" ht="8.25" customHeight="1">
      <c r="B1" s="51"/>
      <c r="C1" s="51"/>
      <c r="D1" s="51"/>
      <c r="E1" s="51"/>
      <c r="F1" s="51"/>
      <c r="G1" s="51"/>
      <c r="H1" s="51"/>
      <c r="I1" s="51"/>
      <c r="J1" s="51"/>
      <c r="K1"/>
    </row>
    <row r="2" spans="1:15">
      <c r="B2" s="132" t="s">
        <v>0</v>
      </c>
      <c r="C2" s="132"/>
      <c r="D2" s="132"/>
      <c r="E2" s="132"/>
      <c r="F2" s="132"/>
      <c r="G2" s="132"/>
      <c r="H2" s="132"/>
      <c r="I2" s="132"/>
      <c r="J2" s="51"/>
    </row>
    <row r="3" spans="1:15">
      <c r="B3" s="78"/>
      <c r="C3" s="78"/>
      <c r="D3" s="78"/>
      <c r="E3" s="78"/>
      <c r="F3" s="78"/>
      <c r="G3" s="78"/>
      <c r="H3" s="78"/>
      <c r="I3" s="78"/>
      <c r="J3" s="51"/>
    </row>
    <row r="4" spans="1:15">
      <c r="B4" s="78"/>
      <c r="C4" s="78"/>
      <c r="D4" s="78"/>
      <c r="E4" s="79"/>
      <c r="F4" s="79"/>
      <c r="G4" s="79"/>
      <c r="H4" s="78"/>
      <c r="I4" s="78"/>
      <c r="J4" s="51"/>
      <c r="O4" t="s">
        <v>1</v>
      </c>
    </row>
    <row r="5" spans="1:15">
      <c r="B5" s="134" t="s">
        <v>2</v>
      </c>
      <c r="C5" s="135"/>
      <c r="D5" s="136"/>
      <c r="E5" s="136"/>
      <c r="F5" s="136"/>
      <c r="G5" s="57" t="s">
        <v>3</v>
      </c>
      <c r="H5" s="80"/>
      <c r="I5" s="80"/>
      <c r="J5" s="51"/>
    </row>
    <row r="6" spans="1:15">
      <c r="B6" s="132" t="s">
        <v>4</v>
      </c>
      <c r="C6" s="132"/>
      <c r="D6" s="137"/>
      <c r="E6" s="137"/>
      <c r="F6" s="137"/>
      <c r="G6" s="57"/>
      <c r="H6" s="80"/>
      <c r="I6" s="80"/>
      <c r="J6" s="51"/>
    </row>
    <row r="7" spans="1:15">
      <c r="A7" s="53"/>
      <c r="B7" s="67"/>
      <c r="C7" s="67"/>
      <c r="D7" s="67"/>
      <c r="E7" s="67"/>
      <c r="F7" s="67"/>
      <c r="G7" s="67"/>
      <c r="H7" s="67"/>
      <c r="I7" s="67"/>
      <c r="J7" s="52"/>
    </row>
    <row r="8" spans="1:15">
      <c r="A8" s="53"/>
      <c r="B8" s="132" t="s">
        <v>5</v>
      </c>
      <c r="C8" s="132"/>
      <c r="D8" s="133" t="s">
        <v>6</v>
      </c>
      <c r="E8" s="133"/>
      <c r="F8" s="133"/>
      <c r="G8" s="133"/>
      <c r="H8" s="133"/>
      <c r="I8" s="133"/>
    </row>
    <row r="9" spans="1:15">
      <c r="A9" s="53"/>
      <c r="B9" s="132" t="s">
        <v>7</v>
      </c>
      <c r="C9" s="132"/>
      <c r="D9" s="133" t="s">
        <v>6</v>
      </c>
      <c r="E9" s="133"/>
      <c r="F9" s="77" t="s">
        <v>8</v>
      </c>
      <c r="G9" s="133" t="s">
        <v>9</v>
      </c>
      <c r="H9" s="133"/>
      <c r="I9" s="133"/>
    </row>
    <row r="10" spans="1:15">
      <c r="A10" s="53"/>
      <c r="B10" s="132" t="s">
        <v>10</v>
      </c>
      <c r="C10" s="132"/>
      <c r="D10" s="133" t="s">
        <v>11</v>
      </c>
      <c r="E10" s="133"/>
      <c r="F10" s="77" t="s">
        <v>12</v>
      </c>
      <c r="G10" s="133">
        <v>3222307</v>
      </c>
      <c r="H10" s="133"/>
      <c r="I10" s="133"/>
    </row>
    <row r="11" spans="1:15">
      <c r="A11" s="53"/>
      <c r="B11" s="132" t="s">
        <v>13</v>
      </c>
      <c r="C11" s="132"/>
      <c r="D11" s="133" t="s">
        <v>14</v>
      </c>
      <c r="E11" s="133"/>
      <c r="F11" s="77" t="s">
        <v>15</v>
      </c>
      <c r="G11" s="133" t="s">
        <v>16</v>
      </c>
      <c r="H11" s="133"/>
      <c r="I11" s="133"/>
    </row>
    <row r="12" spans="1:15">
      <c r="A12" s="53"/>
      <c r="B12" s="132" t="s">
        <v>17</v>
      </c>
      <c r="C12" s="132"/>
      <c r="D12" s="133" t="s">
        <v>18</v>
      </c>
      <c r="E12" s="133"/>
      <c r="F12" s="77" t="s">
        <v>19</v>
      </c>
      <c r="G12" s="133" t="s">
        <v>20</v>
      </c>
      <c r="H12" s="133"/>
      <c r="I12" s="133"/>
    </row>
    <row r="13" spans="1:15">
      <c r="A13" s="53"/>
      <c r="B13" s="132" t="s">
        <v>21</v>
      </c>
      <c r="C13" s="132"/>
      <c r="D13" s="133">
        <v>3156593331</v>
      </c>
      <c r="E13" s="133"/>
      <c r="F13" s="77" t="s">
        <v>22</v>
      </c>
      <c r="G13" s="138" t="s">
        <v>23</v>
      </c>
      <c r="H13" s="133"/>
      <c r="I13" s="133"/>
    </row>
    <row r="14" spans="1:15">
      <c r="A14" s="53"/>
      <c r="B14" s="57"/>
      <c r="C14" s="57"/>
      <c r="D14" s="57"/>
      <c r="E14" s="57"/>
      <c r="F14" s="57"/>
      <c r="G14" s="57"/>
      <c r="H14" s="57"/>
      <c r="I14" s="57"/>
    </row>
    <row r="15" spans="1:15" ht="33" customHeight="1">
      <c r="A15" s="53"/>
      <c r="B15" s="82" t="s">
        <v>24</v>
      </c>
      <c r="C15" s="133" t="s">
        <v>25</v>
      </c>
      <c r="D15" s="133"/>
      <c r="E15" s="133"/>
      <c r="F15" s="77" t="s">
        <v>26</v>
      </c>
      <c r="G15" s="133" t="s">
        <v>27</v>
      </c>
      <c r="H15" s="133"/>
      <c r="I15" s="133"/>
    </row>
    <row r="16" spans="1:15">
      <c r="A16" s="53"/>
      <c r="B16" s="132" t="s">
        <v>28</v>
      </c>
      <c r="C16" s="132"/>
      <c r="D16" s="132"/>
      <c r="E16" s="132"/>
      <c r="F16" s="133"/>
      <c r="G16" s="133"/>
      <c r="H16" s="133"/>
      <c r="I16" s="133"/>
    </row>
    <row r="17" spans="1:9">
      <c r="A17" s="53"/>
      <c r="B17" s="132" t="s">
        <v>29</v>
      </c>
      <c r="C17" s="132"/>
      <c r="D17" s="132"/>
      <c r="E17" s="132"/>
      <c r="F17" s="133" t="s">
        <v>30</v>
      </c>
      <c r="G17" s="133"/>
      <c r="H17" s="133"/>
      <c r="I17" s="133"/>
    </row>
    <row r="18" spans="1:9">
      <c r="A18" s="53"/>
      <c r="B18" s="149" t="s">
        <v>31</v>
      </c>
      <c r="C18" s="149"/>
      <c r="D18" s="149"/>
      <c r="E18" s="149"/>
      <c r="F18" s="141" t="s">
        <v>32</v>
      </c>
      <c r="G18" s="142"/>
      <c r="H18" s="142"/>
      <c r="I18" s="143"/>
    </row>
    <row r="19" spans="1:9">
      <c r="A19" s="53"/>
      <c r="B19" s="83"/>
      <c r="C19" s="83"/>
      <c r="D19" s="83"/>
      <c r="E19" s="83"/>
      <c r="F19" s="57"/>
      <c r="G19" s="57"/>
      <c r="H19" s="57"/>
      <c r="I19" s="57"/>
    </row>
    <row r="20" spans="1:9" ht="24" customHeight="1">
      <c r="A20" s="53"/>
      <c r="B20" s="139" t="s">
        <v>33</v>
      </c>
      <c r="C20" s="140"/>
      <c r="D20" s="140"/>
      <c r="E20" s="150">
        <v>250</v>
      </c>
      <c r="F20" s="150"/>
      <c r="G20" s="144" t="s">
        <v>34</v>
      </c>
      <c r="H20" s="144"/>
      <c r="I20" s="85">
        <v>205</v>
      </c>
    </row>
    <row r="21" spans="1:9" ht="24" customHeight="1">
      <c r="A21" s="53"/>
      <c r="B21" s="139" t="s">
        <v>35</v>
      </c>
      <c r="C21" s="140"/>
      <c r="D21" s="140"/>
      <c r="E21" s="150" t="s">
        <v>36</v>
      </c>
      <c r="F21" s="150"/>
      <c r="G21" s="144" t="s">
        <v>37</v>
      </c>
      <c r="H21" s="144"/>
      <c r="I21" s="85">
        <v>0</v>
      </c>
    </row>
    <row r="22" spans="1:9" ht="24" customHeight="1">
      <c r="A22" s="53"/>
      <c r="B22" s="139" t="s">
        <v>38</v>
      </c>
      <c r="C22" s="140"/>
      <c r="D22" s="140"/>
      <c r="E22" s="150" t="s">
        <v>39</v>
      </c>
      <c r="F22" s="150"/>
      <c r="G22" s="144" t="s">
        <v>40</v>
      </c>
      <c r="H22" s="144"/>
      <c r="I22" s="85">
        <v>45</v>
      </c>
    </row>
    <row r="23" spans="1:9">
      <c r="A23" s="53"/>
      <c r="B23" s="83"/>
      <c r="C23" s="83"/>
      <c r="D23" s="83"/>
      <c r="E23" s="83"/>
      <c r="F23" s="57"/>
      <c r="G23" s="57"/>
      <c r="H23" s="57"/>
      <c r="I23" s="57"/>
    </row>
    <row r="24" spans="1:9">
      <c r="A24" s="53"/>
      <c r="B24" s="57"/>
      <c r="C24" s="57"/>
      <c r="D24" s="57"/>
      <c r="E24" s="57"/>
      <c r="F24" s="57"/>
      <c r="G24" s="57"/>
      <c r="H24" s="57"/>
      <c r="I24" s="57"/>
    </row>
    <row r="25" spans="1:9">
      <c r="A25" s="53"/>
      <c r="B25" s="132" t="s">
        <v>41</v>
      </c>
      <c r="C25" s="132"/>
      <c r="D25" s="132"/>
      <c r="E25" s="132"/>
      <c r="F25" s="132"/>
      <c r="G25" s="132"/>
      <c r="H25" s="132"/>
      <c r="I25" s="132"/>
    </row>
    <row r="26" spans="1:9">
      <c r="A26" s="53"/>
      <c r="B26" s="132" t="s">
        <v>42</v>
      </c>
      <c r="C26" s="132"/>
      <c r="D26" s="132"/>
      <c r="E26" s="132"/>
      <c r="F26" s="86"/>
      <c r="G26" s="77" t="s">
        <v>43</v>
      </c>
      <c r="H26" s="77" t="s">
        <v>44</v>
      </c>
      <c r="I26" s="77" t="s">
        <v>45</v>
      </c>
    </row>
    <row r="27" spans="1:9">
      <c r="A27" s="53"/>
      <c r="B27" s="145" t="s">
        <v>46</v>
      </c>
      <c r="C27" s="145"/>
      <c r="D27" s="133"/>
      <c r="E27" s="133"/>
      <c r="F27" s="87" t="s">
        <v>47</v>
      </c>
      <c r="G27" s="81"/>
      <c r="H27" s="81"/>
      <c r="I27" s="81"/>
    </row>
    <row r="28" spans="1:9">
      <c r="A28" s="53"/>
      <c r="B28" s="145" t="s">
        <v>48</v>
      </c>
      <c r="C28" s="145"/>
      <c r="D28" s="133"/>
      <c r="E28" s="133"/>
      <c r="F28" s="87" t="s">
        <v>47</v>
      </c>
      <c r="G28" s="81"/>
      <c r="H28" s="81"/>
      <c r="I28" s="81"/>
    </row>
    <row r="29" spans="1:9">
      <c r="A29" s="53"/>
      <c r="B29" s="145" t="s">
        <v>49</v>
      </c>
      <c r="C29" s="145"/>
      <c r="D29" s="133"/>
      <c r="E29" s="133"/>
      <c r="F29" s="87" t="s">
        <v>47</v>
      </c>
      <c r="G29" s="81"/>
      <c r="H29" s="81"/>
      <c r="I29" s="81"/>
    </row>
    <row r="30" spans="1:9">
      <c r="A30" s="53"/>
      <c r="B30" s="57"/>
      <c r="C30" s="57"/>
      <c r="D30" s="57"/>
      <c r="E30" s="57"/>
      <c r="F30" s="57"/>
      <c r="G30" s="57"/>
      <c r="H30" s="57"/>
      <c r="I30" s="57"/>
    </row>
    <row r="31" spans="1:9">
      <c r="A31" s="53"/>
      <c r="B31" s="57"/>
      <c r="C31" s="57"/>
      <c r="D31" s="57"/>
      <c r="E31" s="57"/>
      <c r="F31" s="57"/>
      <c r="G31" s="57"/>
      <c r="H31" s="57"/>
      <c r="I31" s="57"/>
    </row>
    <row r="32" spans="1:9" ht="28.8">
      <c r="A32" s="53"/>
      <c r="B32" s="84" t="s">
        <v>50</v>
      </c>
      <c r="C32" s="82" t="s">
        <v>51</v>
      </c>
      <c r="D32" s="82" t="s">
        <v>52</v>
      </c>
      <c r="E32" s="82" t="s">
        <v>53</v>
      </c>
      <c r="F32" s="84" t="s">
        <v>54</v>
      </c>
      <c r="G32" s="82" t="s">
        <v>51</v>
      </c>
      <c r="H32" s="82" t="s">
        <v>52</v>
      </c>
      <c r="I32" s="82" t="s">
        <v>53</v>
      </c>
    </row>
    <row r="33" spans="1:10" ht="28.8">
      <c r="A33" s="53"/>
      <c r="B33" s="88" t="s">
        <v>55</v>
      </c>
      <c r="C33" s="89">
        <v>16</v>
      </c>
      <c r="D33" s="89">
        <v>30</v>
      </c>
      <c r="E33" s="90">
        <f>IFERROR(SUM(C33:D33),0)</f>
        <v>46</v>
      </c>
      <c r="F33" s="88" t="s">
        <v>56</v>
      </c>
      <c r="G33" s="89">
        <v>5</v>
      </c>
      <c r="H33" s="89">
        <v>66</v>
      </c>
      <c r="I33" s="90">
        <f>IFERROR(SUM(G33:H33),0)</f>
        <v>71</v>
      </c>
    </row>
    <row r="34" spans="1:10" ht="43.2">
      <c r="A34" s="53"/>
      <c r="B34" s="88" t="s">
        <v>57</v>
      </c>
      <c r="C34" s="89">
        <v>3</v>
      </c>
      <c r="D34" s="89">
        <v>14</v>
      </c>
      <c r="E34" s="90">
        <f>IFERROR(SUM(C34:D34),0)</f>
        <v>17</v>
      </c>
      <c r="F34" s="88" t="s">
        <v>58</v>
      </c>
      <c r="G34" s="89">
        <v>15</v>
      </c>
      <c r="H34" s="89">
        <v>15</v>
      </c>
      <c r="I34" s="90">
        <f>IFERROR(SUM(G34:H34),0)</f>
        <v>30</v>
      </c>
    </row>
    <row r="35" spans="1:10" ht="43.2">
      <c r="A35" s="53"/>
      <c r="B35" s="88" t="s">
        <v>59</v>
      </c>
      <c r="C35" s="89">
        <v>6</v>
      </c>
      <c r="D35" s="89">
        <v>3</v>
      </c>
      <c r="E35" s="90">
        <f>IFERROR(SUM(C35:D35),0)</f>
        <v>9</v>
      </c>
      <c r="F35" s="88" t="s">
        <v>60</v>
      </c>
      <c r="G35" s="89">
        <v>220</v>
      </c>
      <c r="H35" s="89">
        <v>541</v>
      </c>
      <c r="I35" s="90">
        <f>IFERROR(SUM(G35:H35),0)</f>
        <v>761</v>
      </c>
    </row>
    <row r="36" spans="1:10" s="53" customFormat="1">
      <c r="B36" s="91"/>
      <c r="C36" s="92"/>
      <c r="D36" s="92"/>
      <c r="E36" s="73"/>
      <c r="F36" s="91"/>
      <c r="G36" s="92"/>
      <c r="H36" s="92"/>
      <c r="I36" s="73"/>
      <c r="J36" s="54"/>
    </row>
    <row r="37" spans="1:10" ht="72">
      <c r="A37" s="53"/>
      <c r="B37" s="84" t="s">
        <v>61</v>
      </c>
      <c r="C37" s="84" t="s">
        <v>62</v>
      </c>
      <c r="D37" s="92"/>
      <c r="E37" s="73"/>
      <c r="F37" s="91"/>
      <c r="G37" s="92"/>
      <c r="H37" s="92"/>
      <c r="I37" s="73"/>
    </row>
    <row r="38" spans="1:10" ht="18" customHeight="1">
      <c r="A38" s="53"/>
      <c r="B38" s="88" t="s">
        <v>63</v>
      </c>
      <c r="C38" s="93"/>
      <c r="D38" s="92"/>
      <c r="E38" s="73"/>
      <c r="F38" s="91"/>
      <c r="G38" s="92"/>
      <c r="H38" s="92"/>
      <c r="I38" s="73"/>
    </row>
    <row r="39" spans="1:10" ht="18" customHeight="1">
      <c r="A39" s="53"/>
      <c r="B39" s="88" t="s">
        <v>64</v>
      </c>
      <c r="C39" s="93"/>
      <c r="D39" s="57"/>
      <c r="E39" s="73"/>
      <c r="F39" s="91"/>
      <c r="G39" s="92"/>
      <c r="H39" s="92"/>
      <c r="I39" s="73"/>
    </row>
    <row r="40" spans="1:10" ht="18" customHeight="1">
      <c r="A40" s="53"/>
      <c r="B40" s="88" t="s">
        <v>65</v>
      </c>
      <c r="C40" s="93"/>
      <c r="D40" s="57"/>
      <c r="E40" s="92"/>
      <c r="F40" s="91"/>
      <c r="G40" s="92"/>
      <c r="H40" s="92"/>
      <c r="I40" s="73"/>
    </row>
    <row r="41" spans="1:10" ht="28.5" customHeight="1">
      <c r="A41" s="53"/>
      <c r="B41" s="88" t="s">
        <v>66</v>
      </c>
      <c r="C41" s="93"/>
      <c r="D41" s="92"/>
      <c r="E41" s="92"/>
      <c r="F41" s="91"/>
      <c r="G41" s="92"/>
      <c r="H41" s="92"/>
      <c r="I41" s="73"/>
    </row>
    <row r="42" spans="1:10" ht="18" customHeight="1">
      <c r="A42" s="53"/>
      <c r="B42" s="88" t="s">
        <v>67</v>
      </c>
      <c r="C42" s="93"/>
      <c r="D42" s="92"/>
      <c r="E42" s="73"/>
      <c r="F42" s="91"/>
      <c r="G42" s="92"/>
      <c r="H42" s="92"/>
      <c r="I42" s="73"/>
    </row>
    <row r="43" spans="1:10" ht="18" customHeight="1">
      <c r="A43" s="53"/>
      <c r="B43" s="88" t="s">
        <v>68</v>
      </c>
      <c r="C43" s="93"/>
      <c r="D43" s="92"/>
      <c r="E43" s="73"/>
      <c r="F43" s="91"/>
      <c r="G43" s="92"/>
      <c r="H43" s="92"/>
      <c r="I43" s="73"/>
    </row>
    <row r="44" spans="1:10">
      <c r="A44" s="53"/>
      <c r="B44" s="91"/>
      <c r="C44" s="92"/>
      <c r="D44" s="92"/>
      <c r="E44" s="73"/>
      <c r="F44" s="91"/>
      <c r="G44" s="92"/>
      <c r="H44" s="92"/>
      <c r="I44" s="73"/>
    </row>
    <row r="45" spans="1:10">
      <c r="A45" s="53"/>
      <c r="B45" s="146" t="s">
        <v>69</v>
      </c>
      <c r="C45" s="146"/>
      <c r="D45" s="146"/>
      <c r="E45" s="77" t="s">
        <v>70</v>
      </c>
      <c r="F45" s="57"/>
      <c r="G45" s="57"/>
      <c r="H45" s="57"/>
      <c r="I45" s="58"/>
    </row>
    <row r="46" spans="1:10">
      <c r="A46" s="53"/>
      <c r="B46" s="147" t="s">
        <v>71</v>
      </c>
      <c r="C46" s="147"/>
      <c r="D46" s="111">
        <v>60.432000000000002</v>
      </c>
      <c r="E46" s="87">
        <f ca="1">YEAR(TODAY())-1</f>
        <v>2025</v>
      </c>
      <c r="F46" s="57"/>
      <c r="G46" s="57"/>
      <c r="H46" s="57"/>
      <c r="I46" s="58"/>
    </row>
    <row r="47" spans="1:10">
      <c r="A47" s="53"/>
      <c r="B47" s="147" t="s">
        <v>72</v>
      </c>
      <c r="C47" s="147"/>
      <c r="D47" s="111">
        <v>65.56</v>
      </c>
      <c r="E47" s="87">
        <f ca="1">E46+1</f>
        <v>2026</v>
      </c>
      <c r="F47" s="57"/>
      <c r="G47" s="57"/>
      <c r="H47" s="57"/>
      <c r="I47" s="57"/>
    </row>
    <row r="48" spans="1:10">
      <c r="A48" s="53"/>
      <c r="B48" s="57"/>
      <c r="C48" s="57"/>
      <c r="D48" s="57"/>
      <c r="E48" s="57"/>
      <c r="F48" s="57"/>
      <c r="G48" s="57"/>
      <c r="H48" s="57"/>
      <c r="I48" s="57"/>
    </row>
    <row r="49" spans="1:10">
      <c r="A49" s="53"/>
      <c r="B49" s="148" t="s">
        <v>73</v>
      </c>
      <c r="C49" s="148"/>
      <c r="D49" s="148"/>
      <c r="E49" s="148"/>
      <c r="F49" s="57"/>
      <c r="G49" s="57"/>
      <c r="H49" s="57"/>
      <c r="I49" s="57"/>
    </row>
    <row r="50" spans="1:10">
      <c r="A50" s="53"/>
      <c r="B50" s="146" t="s">
        <v>74</v>
      </c>
      <c r="C50" s="146"/>
      <c r="D50" s="146"/>
      <c r="E50" s="77" t="s">
        <v>70</v>
      </c>
      <c r="F50" s="57"/>
      <c r="G50" s="57"/>
      <c r="H50" s="57"/>
      <c r="I50" s="57"/>
    </row>
    <row r="51" spans="1:10">
      <c r="A51" s="53"/>
      <c r="B51" s="145" t="s">
        <v>75</v>
      </c>
      <c r="C51" s="145"/>
      <c r="D51" s="94">
        <v>0</v>
      </c>
      <c r="E51" s="87">
        <f ca="1">YEAR(TODAY())-1</f>
        <v>2025</v>
      </c>
      <c r="F51" s="57"/>
      <c r="G51" s="57"/>
      <c r="H51" s="57"/>
      <c r="I51" s="57"/>
    </row>
    <row r="52" spans="1:10">
      <c r="A52" s="53"/>
      <c r="B52" s="145" t="s">
        <v>76</v>
      </c>
      <c r="C52" s="145"/>
      <c r="D52" s="95">
        <v>0</v>
      </c>
      <c r="E52" s="87">
        <f ca="1">E51+1</f>
        <v>2026</v>
      </c>
      <c r="F52" s="57"/>
      <c r="G52" s="57"/>
      <c r="H52" s="57"/>
      <c r="I52" s="57"/>
    </row>
    <row r="53" spans="1:10">
      <c r="A53" s="53"/>
      <c r="B53" s="57"/>
      <c r="C53" s="57"/>
      <c r="D53" s="57"/>
      <c r="E53" s="57"/>
      <c r="F53" s="57"/>
      <c r="G53" s="57"/>
      <c r="H53" s="57"/>
      <c r="I53" s="57"/>
    </row>
    <row r="54" spans="1:10">
      <c r="A54" s="53"/>
      <c r="B54" s="146" t="s">
        <v>77</v>
      </c>
      <c r="C54" s="146"/>
      <c r="D54" s="146"/>
      <c r="E54" s="77" t="s">
        <v>70</v>
      </c>
      <c r="F54" s="57"/>
      <c r="G54" s="57"/>
      <c r="H54" s="57"/>
      <c r="I54" s="57"/>
    </row>
    <row r="55" spans="1:10">
      <c r="A55" s="53"/>
      <c r="B55" s="145" t="s">
        <v>78</v>
      </c>
      <c r="C55" s="145"/>
      <c r="D55" s="94"/>
      <c r="E55" s="87">
        <f ca="1">YEAR(TODAY())-1</f>
        <v>2025</v>
      </c>
      <c r="F55" s="57"/>
      <c r="G55" s="57"/>
      <c r="H55" s="57"/>
      <c r="I55" s="57"/>
    </row>
    <row r="56" spans="1:10">
      <c r="A56" s="53"/>
      <c r="B56" s="145" t="s">
        <v>79</v>
      </c>
      <c r="C56" s="145"/>
      <c r="D56" s="95"/>
      <c r="E56" s="87">
        <f ca="1">E55+1</f>
        <v>2026</v>
      </c>
      <c r="F56" s="57"/>
      <c r="G56" s="57"/>
      <c r="H56" s="57"/>
      <c r="I56" s="57"/>
    </row>
    <row r="57" spans="1:10" s="53" customFormat="1">
      <c r="B57" s="67"/>
      <c r="C57" s="67"/>
      <c r="D57" s="96"/>
      <c r="E57" s="67"/>
      <c r="F57" s="67"/>
      <c r="G57" s="67"/>
      <c r="H57" s="67"/>
      <c r="I57" s="67"/>
      <c r="J57" s="52"/>
    </row>
    <row r="58" spans="1:10">
      <c r="A58" s="53"/>
      <c r="B58" s="57"/>
      <c r="C58" s="57"/>
      <c r="D58" s="57"/>
      <c r="E58" s="57"/>
      <c r="F58" s="57"/>
      <c r="G58" s="57"/>
      <c r="H58" s="57"/>
      <c r="I58" s="57"/>
    </row>
    <row r="59" spans="1:10">
      <c r="A59" s="53"/>
      <c r="B59" s="146" t="s">
        <v>80</v>
      </c>
      <c r="C59" s="146"/>
      <c r="D59" s="146"/>
      <c r="E59" s="77" t="s">
        <v>70</v>
      </c>
      <c r="F59" s="57"/>
      <c r="G59" s="57"/>
      <c r="H59" s="57"/>
      <c r="I59" s="57"/>
    </row>
    <row r="60" spans="1:10">
      <c r="A60" s="53"/>
      <c r="B60" s="145" t="s">
        <v>81</v>
      </c>
      <c r="C60" s="145"/>
      <c r="D60" s="111">
        <v>62.39</v>
      </c>
      <c r="E60" s="87">
        <f ca="1">YEAR(TODAY())-1</f>
        <v>2025</v>
      </c>
      <c r="F60" s="57"/>
      <c r="G60" s="57"/>
      <c r="H60" s="57"/>
      <c r="I60" s="57"/>
    </row>
    <row r="61" spans="1:10">
      <c r="A61" s="53"/>
      <c r="B61" s="145" t="s">
        <v>82</v>
      </c>
      <c r="C61" s="145"/>
      <c r="D61" s="112">
        <v>67.426000000000002</v>
      </c>
      <c r="E61" s="87">
        <f ca="1">E60+1</f>
        <v>2026</v>
      </c>
      <c r="F61" s="57"/>
      <c r="G61" s="57"/>
      <c r="H61" s="57"/>
      <c r="I61" s="57"/>
    </row>
    <row r="62" spans="1:10">
      <c r="A62" s="53"/>
      <c r="B62" s="57"/>
      <c r="C62" s="57"/>
      <c r="D62" s="57"/>
      <c r="E62" s="57"/>
      <c r="F62" s="57"/>
      <c r="G62" s="57"/>
      <c r="H62" s="57"/>
      <c r="I62" s="57"/>
    </row>
    <row r="63" spans="1:10">
      <c r="A63" s="53"/>
      <c r="B63" s="146" t="s">
        <v>83</v>
      </c>
      <c r="C63" s="146"/>
      <c r="D63" s="146"/>
      <c r="E63" s="77" t="s">
        <v>70</v>
      </c>
      <c r="F63" s="57"/>
      <c r="G63" s="57"/>
      <c r="H63" s="57"/>
      <c r="I63" s="57"/>
    </row>
    <row r="64" spans="1:10">
      <c r="A64" s="53"/>
      <c r="B64" s="145" t="s">
        <v>84</v>
      </c>
      <c r="C64" s="145"/>
      <c r="D64" s="94">
        <v>6064</v>
      </c>
      <c r="E64" s="87">
        <f ca="1">YEAR(TODAY())-1</f>
        <v>2025</v>
      </c>
      <c r="F64" s="57"/>
      <c r="G64" s="57"/>
      <c r="H64" s="57"/>
      <c r="I64" s="57"/>
    </row>
    <row r="65" spans="1:9">
      <c r="A65" s="53"/>
      <c r="B65" s="145" t="s">
        <v>85</v>
      </c>
      <c r="C65" s="145"/>
      <c r="D65" s="112">
        <v>4.6050000000000004</v>
      </c>
      <c r="E65" s="87">
        <f ca="1">E64+1</f>
        <v>2026</v>
      </c>
      <c r="F65" s="57"/>
      <c r="G65" s="57"/>
      <c r="H65" s="57"/>
      <c r="I65" s="57"/>
    </row>
    <row r="66" spans="1:9">
      <c r="A66" s="53"/>
      <c r="B66" s="57"/>
      <c r="C66" s="57"/>
      <c r="D66" s="57"/>
      <c r="E66" s="57"/>
      <c r="F66" s="57"/>
      <c r="G66" s="57"/>
      <c r="H66" s="57"/>
      <c r="I66" s="57"/>
    </row>
    <row r="67" spans="1:9">
      <c r="A67" s="53"/>
    </row>
    <row r="68" spans="1:9" hidden="1">
      <c r="A68" s="53"/>
    </row>
    <row r="69" spans="1:9" hidden="1">
      <c r="A69" s="53"/>
    </row>
    <row r="70" spans="1:9" hidden="1">
      <c r="A70" s="53"/>
    </row>
    <row r="71" spans="1:9" hidden="1">
      <c r="A71" s="53"/>
    </row>
  </sheetData>
  <mergeCells count="63">
    <mergeCell ref="B61:C61"/>
    <mergeCell ref="B63:D63"/>
    <mergeCell ref="B64:C64"/>
    <mergeCell ref="B65:C65"/>
    <mergeCell ref="B18:E18"/>
    <mergeCell ref="B59:D59"/>
    <mergeCell ref="B60:C60"/>
    <mergeCell ref="D29:E29"/>
    <mergeCell ref="B26:E26"/>
    <mergeCell ref="B21:D21"/>
    <mergeCell ref="B22:D22"/>
    <mergeCell ref="E20:F20"/>
    <mergeCell ref="E21:F21"/>
    <mergeCell ref="E22:F22"/>
    <mergeCell ref="B27:C27"/>
    <mergeCell ref="D27:E27"/>
    <mergeCell ref="B28:C28"/>
    <mergeCell ref="D28:E28"/>
    <mergeCell ref="B29:C29"/>
    <mergeCell ref="B52:C52"/>
    <mergeCell ref="B54:D54"/>
    <mergeCell ref="B55:C55"/>
    <mergeCell ref="B56:C56"/>
    <mergeCell ref="B45:D45"/>
    <mergeCell ref="B46:C46"/>
    <mergeCell ref="B47:C47"/>
    <mergeCell ref="B49:E49"/>
    <mergeCell ref="B50:D50"/>
    <mergeCell ref="B51:C51"/>
    <mergeCell ref="B16:E16"/>
    <mergeCell ref="F16:I16"/>
    <mergeCell ref="B17:E17"/>
    <mergeCell ref="F17:I17"/>
    <mergeCell ref="B25:I25"/>
    <mergeCell ref="B20:D20"/>
    <mergeCell ref="F18:I18"/>
    <mergeCell ref="G22:H22"/>
    <mergeCell ref="G20:H20"/>
    <mergeCell ref="G21:H21"/>
    <mergeCell ref="B13:C13"/>
    <mergeCell ref="D13:E13"/>
    <mergeCell ref="G13:I13"/>
    <mergeCell ref="C15:E15"/>
    <mergeCell ref="G15:I15"/>
    <mergeCell ref="B11:C11"/>
    <mergeCell ref="D11:E11"/>
    <mergeCell ref="G11:I11"/>
    <mergeCell ref="B12:C12"/>
    <mergeCell ref="D12:E12"/>
    <mergeCell ref="G12:I12"/>
    <mergeCell ref="B9:C9"/>
    <mergeCell ref="D9:E9"/>
    <mergeCell ref="G9:I9"/>
    <mergeCell ref="B10:C10"/>
    <mergeCell ref="D10:E10"/>
    <mergeCell ref="G10:I10"/>
    <mergeCell ref="B8:C8"/>
    <mergeCell ref="D8:I8"/>
    <mergeCell ref="B2:I2"/>
    <mergeCell ref="B5:C5"/>
    <mergeCell ref="D5:F5"/>
    <mergeCell ref="B6:C6"/>
    <mergeCell ref="D6:F6"/>
  </mergeCells>
  <dataValidations count="7">
    <dataValidation type="list" allowBlank="1" showInputMessage="1" showErrorMessage="1" sqref="D27:E29" xr:uid="{B317A341-859A-4973-8924-767381786E31}">
      <formula1>$O$4</formula1>
    </dataValidation>
    <dataValidation type="textLength" operator="equal" allowBlank="1" showInputMessage="1" showErrorMessage="1" errorTitle="No modificar - Uso Exclusivo de SHR " error="Por favor no modifique la información o formula contenida en esta celda" promptTitle="No modificar - Uso Exclusivo de SHR " prompt="Por favor no modifique la información o formula contenida en esta celda" sqref="I33:I44 E44 E33:E36" xr:uid="{3DA04AF1-69D4-4543-884B-DD41CB132B02}">
      <formula1>$G$33+$H$33</formula1>
    </dataValidation>
    <dataValidation type="textLength" operator="equal" allowBlank="1" showInputMessage="1" showErrorMessage="1" errorTitle="No modificar - Uso Exclusivo de SHR " error="Por favor no modifique la información o formula contenida en esta celda" promptTitle="No modificar - Uso Exclusivo de SHR " prompt="Por favor no modifique la información o formula contenida en esta celda" sqref="E56:E57" xr:uid="{A3DBC623-8262-4B4B-A03A-6DFB765B2860}">
      <formula1>$E$55+1</formula1>
    </dataValidation>
    <dataValidation type="textLength" operator="equal" allowBlank="1" showInputMessage="1" showErrorMessage="1" errorTitle="No modificar - Uso Exclusivo de SHR " error="Por favor no modifique la información o formula contenida en esta celda" promptTitle="No modificar - Uso Exclusivo de SHR " prompt="Por favor no modifique la información o formula contenida en esta celda" sqref="E52 E47 E61 E65" xr:uid="{55867507-E88F-40A3-BAF5-05573F18B611}">
      <formula1>$E$51+1</formula1>
    </dataValidation>
    <dataValidation type="list" allowBlank="1" showInputMessage="1" showErrorMessage="1" sqref="G27:I29" xr:uid="{B48D365F-BAC3-46DC-BA96-AAFDE8962AC0}">
      <formula1>$O$4:$O$5</formula1>
    </dataValidation>
    <dataValidation type="list" allowBlank="1" showInputMessage="1" showErrorMessage="1" sqref="F16:I16" xr:uid="{6236D604-FBD4-4097-85AA-B0C0F9C3FA31}">
      <formula1>$N$4:$N$6</formula1>
    </dataValidation>
    <dataValidation type="textLength" operator="equal" allowBlank="1" showErrorMessage="1" errorTitle="No modificar - Uso Exclusivo de SHR " error="Por favor no modifique la información o formula contenida en esta celda" promptTitle="No modificar - Uso Exclusivo de SHR " prompt="Por favor no modifique la información o formula contenida en esta celda" sqref="E37:E43" xr:uid="{C522D2D0-F8D1-43FD-ADDA-E2DF5ADDD43B}">
      <formula1>$G$33+$H$33</formula1>
    </dataValidation>
  </dataValidations>
  <hyperlinks>
    <hyperlink ref="G13" r:id="rId1" xr:uid="{8F7A8556-20EE-4521-90F6-33A566F603EA}"/>
  </hyperlinks>
  <pageMargins left="0.7" right="0.7" top="0.75" bottom="0.75" header="0.3" footer="0.3"/>
  <drawing r:id="rId2"/>
  <legacyDrawing r:id="rId3"/>
  <picture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01" r:id="rId5" name="Check Box 5">
              <controlPr defaultSize="0" autoFill="0" autoLine="0" autoPict="0">
                <anchor moveWithCells="1">
                  <from>
                    <xdr:col>2</xdr:col>
                    <xdr:colOff>944880</xdr:colOff>
                    <xdr:row>36</xdr:row>
                    <xdr:rowOff>868680</xdr:rowOff>
                  </from>
                  <to>
                    <xdr:col>2</xdr:col>
                    <xdr:colOff>1325880</xdr:colOff>
                    <xdr:row>38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6" name="Check Box 6">
              <controlPr defaultSize="0" autoFill="0" autoLine="0" autoPict="0">
                <anchor moveWithCells="1">
                  <from>
                    <xdr:col>2</xdr:col>
                    <xdr:colOff>944880</xdr:colOff>
                    <xdr:row>37</xdr:row>
                    <xdr:rowOff>144780</xdr:rowOff>
                  </from>
                  <to>
                    <xdr:col>2</xdr:col>
                    <xdr:colOff>1325880</xdr:colOff>
                    <xdr:row>39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7" name="Check Box 10">
              <controlPr defaultSize="0" autoFill="0" autoLine="0" autoPict="0">
                <anchor moveWithCells="1">
                  <from>
                    <xdr:col>2</xdr:col>
                    <xdr:colOff>944880</xdr:colOff>
                    <xdr:row>38</xdr:row>
                    <xdr:rowOff>144780</xdr:rowOff>
                  </from>
                  <to>
                    <xdr:col>2</xdr:col>
                    <xdr:colOff>1325880</xdr:colOff>
                    <xdr:row>40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8" name="Check Box 11">
              <controlPr defaultSize="0" autoFill="0" autoLine="0" autoPict="0">
                <anchor moveWithCells="1">
                  <from>
                    <xdr:col>2</xdr:col>
                    <xdr:colOff>944880</xdr:colOff>
                    <xdr:row>39</xdr:row>
                    <xdr:rowOff>190500</xdr:rowOff>
                  </from>
                  <to>
                    <xdr:col>2</xdr:col>
                    <xdr:colOff>1325880</xdr:colOff>
                    <xdr:row>41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9" name="Check Box 12">
              <controlPr defaultSize="0" autoFill="0" autoLine="0" autoPict="0">
                <anchor moveWithCells="1">
                  <from>
                    <xdr:col>2</xdr:col>
                    <xdr:colOff>944880</xdr:colOff>
                    <xdr:row>40</xdr:row>
                    <xdr:rowOff>266700</xdr:rowOff>
                  </from>
                  <to>
                    <xdr:col>2</xdr:col>
                    <xdr:colOff>1325880</xdr:colOff>
                    <xdr:row>42</xdr:row>
                    <xdr:rowOff>83820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26657-E9D1-4619-9280-B66886829552}">
  <sheetPr codeName="Hoja1"/>
  <dimension ref="A1:R102"/>
  <sheetViews>
    <sheetView showGridLines="0" zoomScale="85" zoomScaleNormal="85" workbookViewId="0">
      <selection activeCell="J42" sqref="J42"/>
    </sheetView>
  </sheetViews>
  <sheetFormatPr baseColWidth="10" defaultColWidth="0" defaultRowHeight="14.4" zeroHeight="1"/>
  <cols>
    <col min="1" max="1" width="1.5546875" style="40" customWidth="1"/>
    <col min="2" max="2" width="47.88671875" style="40" customWidth="1"/>
    <col min="3" max="3" width="15" style="41" customWidth="1"/>
    <col min="4" max="4" width="33.44140625" style="40" customWidth="1"/>
    <col min="5" max="5" width="24.44140625" style="40" customWidth="1"/>
    <col min="6" max="6" width="10" style="40" customWidth="1"/>
    <col min="7" max="7" width="9.44140625" style="40" customWidth="1"/>
    <col min="8" max="9" width="8.44140625" style="40" customWidth="1"/>
    <col min="10" max="10" width="7.109375" style="40" customWidth="1"/>
    <col min="11" max="11" width="8.5546875" style="40" customWidth="1"/>
    <col min="12" max="13" width="7.88671875" style="40" customWidth="1"/>
    <col min="14" max="14" width="8.109375" style="40" customWidth="1"/>
    <col min="15" max="16" width="7.5546875" style="40" customWidth="1"/>
    <col min="17" max="17" width="7.44140625" style="40" customWidth="1"/>
    <col min="18" max="18" width="3.5546875" style="40" customWidth="1"/>
    <col min="19" max="16384" width="10.88671875" style="16" hidden="1"/>
  </cols>
  <sheetData>
    <row r="1" spans="2:18" s="16" customFormat="1">
      <c r="C1" s="1"/>
    </row>
    <row r="2" spans="2:18" s="16" customFormat="1">
      <c r="C2" s="1"/>
    </row>
    <row r="3" spans="2:18" s="16" customFormat="1">
      <c r="B3" s="178" t="s">
        <v>86</v>
      </c>
      <c r="C3" s="180" t="s">
        <v>87</v>
      </c>
      <c r="D3" s="151" t="s">
        <v>88</v>
      </c>
    </row>
    <row r="4" spans="2:18" s="16" customFormat="1">
      <c r="B4" s="179"/>
      <c r="C4" s="181"/>
      <c r="D4" s="152"/>
    </row>
    <row r="5" spans="2:18" s="16" customFormat="1" ht="49.5" customHeight="1">
      <c r="B5" s="59" t="s">
        <v>89</v>
      </c>
      <c r="C5" s="60" t="s">
        <v>90</v>
      </c>
      <c r="D5" s="157"/>
      <c r="E5" s="157"/>
      <c r="F5" s="157"/>
    </row>
    <row r="6" spans="2:18" s="16" customFormat="1" ht="28.8">
      <c r="B6" s="61" t="s">
        <v>91</v>
      </c>
      <c r="C6" s="158">
        <v>2024</v>
      </c>
      <c r="D6" s="158"/>
      <c r="E6" s="158"/>
      <c r="F6" s="158"/>
      <c r="R6" s="40"/>
    </row>
    <row r="7" spans="2:18" s="16" customFormat="1" ht="28.8">
      <c r="B7" s="59" t="s">
        <v>92</v>
      </c>
      <c r="C7" s="158" t="s">
        <v>93</v>
      </c>
      <c r="D7" s="158"/>
      <c r="E7" s="158"/>
      <c r="F7" s="158"/>
      <c r="R7" s="40"/>
    </row>
    <row r="8" spans="2:18" s="16" customFormat="1" ht="28.8">
      <c r="B8" s="59" t="s">
        <v>94</v>
      </c>
      <c r="C8" s="60" t="s">
        <v>90</v>
      </c>
      <c r="D8" s="157" t="s">
        <v>95</v>
      </c>
      <c r="E8" s="157"/>
      <c r="F8" s="157"/>
      <c r="R8" s="40"/>
    </row>
    <row r="9" spans="2:18" s="16" customFormat="1" ht="28.8">
      <c r="B9" s="61" t="s">
        <v>96</v>
      </c>
      <c r="C9" s="158" t="s">
        <v>97</v>
      </c>
      <c r="D9" s="158"/>
      <c r="E9" s="158"/>
      <c r="F9" s="158"/>
    </row>
    <row r="10" spans="2:18" s="16" customFormat="1" ht="28.8">
      <c r="B10" s="59" t="s">
        <v>98</v>
      </c>
      <c r="C10" s="60" t="s">
        <v>90</v>
      </c>
      <c r="D10" s="157"/>
      <c r="E10" s="157"/>
      <c r="F10" s="157"/>
    </row>
    <row r="11" spans="2:18" s="16" customFormat="1" ht="28.8">
      <c r="B11" s="61" t="s">
        <v>99</v>
      </c>
      <c r="C11" s="158" t="s">
        <v>100</v>
      </c>
      <c r="D11" s="158"/>
      <c r="E11" s="158"/>
      <c r="F11" s="158"/>
    </row>
    <row r="12" spans="2:18" s="16" customFormat="1" ht="28.8">
      <c r="B12" s="59" t="s">
        <v>101</v>
      </c>
      <c r="C12" s="60" t="s">
        <v>102</v>
      </c>
      <c r="D12" s="157"/>
      <c r="E12" s="157"/>
      <c r="F12" s="157"/>
    </row>
    <row r="13" spans="2:18" s="16" customFormat="1" ht="28.8">
      <c r="B13" s="61" t="s">
        <v>103</v>
      </c>
      <c r="C13" s="158" t="s">
        <v>104</v>
      </c>
      <c r="D13" s="158"/>
      <c r="E13" s="158"/>
      <c r="F13" s="158"/>
    </row>
    <row r="14" spans="2:18" s="16" customFormat="1">
      <c r="B14" s="14"/>
      <c r="C14" s="22"/>
    </row>
    <row r="15" spans="2:18" s="16" customFormat="1">
      <c r="B15" s="23"/>
      <c r="C15" s="22"/>
    </row>
    <row r="16" spans="2:18" s="16" customFormat="1" ht="37.5" customHeight="1">
      <c r="B16" s="153" t="s">
        <v>105</v>
      </c>
      <c r="C16" s="156"/>
      <c r="E16" s="25"/>
      <c r="F16" s="159" t="s">
        <v>106</v>
      </c>
      <c r="G16" s="159"/>
      <c r="H16" s="159"/>
      <c r="I16" s="159"/>
      <c r="J16" s="159"/>
      <c r="K16" s="159"/>
      <c r="L16" s="159"/>
      <c r="M16" s="159"/>
      <c r="N16" s="159"/>
      <c r="O16" s="159"/>
      <c r="P16" s="159"/>
      <c r="Q16" s="159"/>
    </row>
    <row r="17" spans="2:18" s="16" customFormat="1" ht="36" customHeight="1">
      <c r="B17" s="30" t="s">
        <v>107</v>
      </c>
      <c r="C17" s="30" t="s">
        <v>62</v>
      </c>
      <c r="D17" s="32" t="s">
        <v>108</v>
      </c>
      <c r="E17" s="32" t="s">
        <v>109</v>
      </c>
      <c r="F17" s="31" t="s">
        <v>110</v>
      </c>
      <c r="G17" s="31" t="s">
        <v>111</v>
      </c>
      <c r="H17" s="31" t="s">
        <v>112</v>
      </c>
      <c r="I17" s="31" t="s">
        <v>113</v>
      </c>
      <c r="J17" s="31" t="s">
        <v>114</v>
      </c>
      <c r="K17" s="31" t="s">
        <v>115</v>
      </c>
      <c r="L17" s="31" t="s">
        <v>116</v>
      </c>
      <c r="M17" s="31" t="s">
        <v>117</v>
      </c>
      <c r="N17" s="31" t="s">
        <v>118</v>
      </c>
      <c r="O17" s="31" t="s">
        <v>119</v>
      </c>
      <c r="P17" s="31" t="s">
        <v>120</v>
      </c>
      <c r="Q17" s="31" t="s">
        <v>121</v>
      </c>
    </row>
    <row r="18" spans="2:18" s="16" customFormat="1" ht="19.5" customHeight="1">
      <c r="B18" s="28" t="s">
        <v>122</v>
      </c>
      <c r="C18" s="29"/>
      <c r="D18" s="26"/>
      <c r="E18" s="26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</row>
    <row r="19" spans="2:18" s="16" customFormat="1" ht="19.5" customHeight="1">
      <c r="B19" s="28" t="s">
        <v>123</v>
      </c>
      <c r="C19" s="29"/>
      <c r="D19" s="26">
        <v>30</v>
      </c>
      <c r="E19" s="26" t="s">
        <v>124</v>
      </c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 t="s">
        <v>125</v>
      </c>
    </row>
    <row r="20" spans="2:18" s="16" customFormat="1" ht="19.5" customHeight="1">
      <c r="B20" s="28" t="s">
        <v>126</v>
      </c>
      <c r="C20" s="29"/>
      <c r="D20" s="26"/>
      <c r="E20" s="26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</row>
    <row r="21" spans="2:18" s="16" customFormat="1" ht="19.5" customHeight="1">
      <c r="B21" s="29" t="s">
        <v>127</v>
      </c>
      <c r="C21" s="29"/>
      <c r="D21" s="26"/>
      <c r="E21" s="26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</row>
    <row r="22" spans="2:18" s="16" customFormat="1" ht="19.5" customHeight="1">
      <c r="B22" s="29" t="s">
        <v>128</v>
      </c>
      <c r="C22" s="29"/>
      <c r="D22" s="26"/>
      <c r="E22" s="26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</row>
    <row r="23" spans="2:18" s="16" customFormat="1">
      <c r="B23" s="23" t="s">
        <v>129</v>
      </c>
      <c r="C23" s="1"/>
      <c r="D23" s="24"/>
    </row>
    <row r="24" spans="2:18" s="16" customFormat="1" hidden="1">
      <c r="B24" s="155" t="s">
        <v>130</v>
      </c>
      <c r="C24" s="162"/>
      <c r="D24" s="162"/>
      <c r="E24" s="162"/>
      <c r="F24" s="162"/>
      <c r="G24" s="162"/>
      <c r="H24" s="162"/>
    </row>
    <row r="25" spans="2:18" s="16" customFormat="1" hidden="1">
      <c r="B25" s="155"/>
      <c r="C25" s="162"/>
      <c r="D25" s="162"/>
      <c r="E25" s="162"/>
      <c r="F25" s="162"/>
      <c r="G25" s="162"/>
      <c r="H25" s="162"/>
    </row>
    <row r="26" spans="2:18" s="16" customFormat="1" hidden="1">
      <c r="B26" s="155"/>
      <c r="C26" s="162"/>
      <c r="D26" s="162"/>
      <c r="E26" s="162"/>
      <c r="F26" s="162"/>
      <c r="G26" s="162"/>
      <c r="H26" s="162"/>
    </row>
    <row r="27" spans="2:18" s="16" customFormat="1" hidden="1">
      <c r="B27" s="155"/>
      <c r="C27" s="162"/>
      <c r="D27" s="162"/>
      <c r="E27" s="162"/>
      <c r="F27" s="162"/>
      <c r="G27" s="162"/>
      <c r="H27" s="162"/>
    </row>
    <row r="28" spans="2:18" s="16" customFormat="1" hidden="1">
      <c r="B28" s="155"/>
      <c r="C28" s="162"/>
      <c r="D28" s="162"/>
      <c r="E28" s="162"/>
      <c r="F28" s="162"/>
      <c r="G28" s="162"/>
      <c r="H28" s="162"/>
    </row>
    <row r="29" spans="2:18" s="16" customFormat="1">
      <c r="B29" s="23" t="s">
        <v>131</v>
      </c>
      <c r="C29" s="1"/>
      <c r="D29" s="24"/>
    </row>
    <row r="30" spans="2:18" s="16" customFormat="1" ht="26.4" customHeight="1">
      <c r="C30" s="1"/>
    </row>
    <row r="31" spans="2:18" s="16" customFormat="1" ht="48" customHeight="1">
      <c r="B31" s="154" t="s">
        <v>132</v>
      </c>
      <c r="C31" s="154"/>
      <c r="D31" s="33" t="s">
        <v>133</v>
      </c>
      <c r="E31" s="32" t="s">
        <v>134</v>
      </c>
    </row>
    <row r="32" spans="2:18" s="16" customFormat="1" ht="26.4" customHeight="1">
      <c r="B32" s="38" t="s">
        <v>135</v>
      </c>
      <c r="C32" s="39"/>
      <c r="D32" s="62"/>
      <c r="E32" s="63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</row>
    <row r="33" spans="1:5" ht="26.4" customHeight="1">
      <c r="A33" s="16"/>
      <c r="B33" s="38" t="s">
        <v>136</v>
      </c>
      <c r="C33" s="39"/>
      <c r="D33" s="62"/>
      <c r="E33" s="63"/>
    </row>
    <row r="34" spans="1:5" ht="30" customHeight="1">
      <c r="A34" s="16"/>
      <c r="B34" s="38" t="s">
        <v>137</v>
      </c>
      <c r="C34" s="39"/>
      <c r="D34" s="64"/>
      <c r="E34" s="63"/>
    </row>
    <row r="35" spans="1:5" ht="26.4" customHeight="1">
      <c r="A35" s="16"/>
      <c r="B35" s="38" t="s">
        <v>138</v>
      </c>
      <c r="C35" s="39"/>
      <c r="D35" s="62"/>
      <c r="E35" s="63"/>
    </row>
    <row r="36" spans="1:5" ht="29.25" customHeight="1">
      <c r="A36" s="16"/>
      <c r="B36" s="38" t="s">
        <v>139</v>
      </c>
      <c r="C36" s="39"/>
      <c r="D36" s="64"/>
      <c r="E36" s="63"/>
    </row>
    <row r="37" spans="1:5" ht="26.4" customHeight="1">
      <c r="A37" s="16"/>
      <c r="B37" s="38" t="s">
        <v>140</v>
      </c>
      <c r="C37" s="39"/>
      <c r="D37" s="62"/>
      <c r="E37" s="63"/>
    </row>
    <row r="38" spans="1:5" ht="26.4" customHeight="1">
      <c r="A38" s="16"/>
      <c r="B38" s="38" t="s">
        <v>129</v>
      </c>
      <c r="C38" s="39"/>
      <c r="D38" s="62"/>
      <c r="E38" s="63"/>
    </row>
    <row r="39" spans="1:5" ht="26.4" customHeight="1">
      <c r="A39" s="16"/>
      <c r="B39" s="38" t="s">
        <v>131</v>
      </c>
      <c r="C39" s="39"/>
      <c r="D39" s="62"/>
      <c r="E39" s="63"/>
    </row>
    <row r="40" spans="1:5" ht="32.25" customHeight="1">
      <c r="A40" s="16"/>
      <c r="B40" s="38" t="s">
        <v>141</v>
      </c>
      <c r="C40" s="39"/>
      <c r="D40" s="62"/>
      <c r="E40" s="63"/>
    </row>
    <row r="41" spans="1:5" ht="26.4" customHeight="1">
      <c r="A41" s="16"/>
      <c r="B41" s="38" t="s">
        <v>142</v>
      </c>
      <c r="C41" s="39"/>
      <c r="D41" s="62"/>
      <c r="E41" s="63"/>
    </row>
    <row r="42" spans="1:5" s="40" customFormat="1">
      <c r="A42" s="16"/>
      <c r="B42" s="14"/>
      <c r="C42" s="41"/>
    </row>
    <row r="43" spans="1:5" s="40" customFormat="1" ht="29.1" customHeight="1">
      <c r="B43" s="153" t="s">
        <v>143</v>
      </c>
      <c r="C43" s="160" t="s">
        <v>144</v>
      </c>
      <c r="D43" s="160"/>
      <c r="E43" s="160"/>
    </row>
    <row r="44" spans="1:5" s="40" customFormat="1">
      <c r="B44" s="153"/>
      <c r="C44" s="160"/>
      <c r="D44" s="160"/>
      <c r="E44" s="160"/>
    </row>
    <row r="45" spans="1:5" s="40" customFormat="1">
      <c r="B45" s="153"/>
      <c r="C45" s="160"/>
      <c r="D45" s="160"/>
      <c r="E45" s="160"/>
    </row>
    <row r="46" spans="1:5" s="40" customFormat="1">
      <c r="B46" s="153"/>
      <c r="C46" s="160"/>
      <c r="D46" s="160"/>
      <c r="E46" s="160"/>
    </row>
    <row r="47" spans="1:5" s="40" customFormat="1">
      <c r="B47" s="153"/>
      <c r="C47" s="160"/>
      <c r="D47" s="160"/>
      <c r="E47" s="160"/>
    </row>
    <row r="48" spans="1:5" s="40" customFormat="1">
      <c r="C48" s="41"/>
    </row>
    <row r="49" spans="1:18" s="40" customFormat="1" ht="52.5" customHeight="1">
      <c r="B49" s="27" t="s">
        <v>145</v>
      </c>
    </row>
    <row r="50" spans="1:18" s="40" customFormat="1" ht="26.4" customHeight="1">
      <c r="B50" s="38" t="s">
        <v>146</v>
      </c>
      <c r="C50" s="39"/>
    </row>
    <row r="51" spans="1:18" s="40" customFormat="1" ht="26.4" customHeight="1">
      <c r="B51" s="38" t="s">
        <v>147</v>
      </c>
      <c r="C51" s="39"/>
    </row>
    <row r="52" spans="1:18" s="40" customFormat="1" ht="26.4" customHeight="1">
      <c r="B52" s="38" t="s">
        <v>148</v>
      </c>
      <c r="C52" s="39"/>
    </row>
    <row r="53" spans="1:18" s="40" customFormat="1" ht="26.4" customHeight="1">
      <c r="B53" s="38" t="s">
        <v>149</v>
      </c>
      <c r="C53" s="39"/>
    </row>
    <row r="54" spans="1:18" s="40" customFormat="1" ht="26.4" customHeight="1">
      <c r="B54" s="38" t="s">
        <v>150</v>
      </c>
      <c r="C54" s="39"/>
    </row>
    <row r="55" spans="1:18" s="40" customFormat="1" ht="26.4" customHeight="1">
      <c r="B55" s="38" t="s">
        <v>151</v>
      </c>
      <c r="C55" s="39"/>
    </row>
    <row r="56" spans="1:18" s="40" customFormat="1" ht="26.4" customHeight="1">
      <c r="B56" s="38" t="s">
        <v>152</v>
      </c>
      <c r="C56" s="39"/>
    </row>
    <row r="57" spans="1:18">
      <c r="B57" s="16"/>
      <c r="R57" s="16"/>
    </row>
    <row r="58" spans="1:18" ht="29.1" customHeight="1">
      <c r="A58" s="16"/>
      <c r="B58" s="153" t="s">
        <v>153</v>
      </c>
      <c r="C58" s="161" t="s">
        <v>144</v>
      </c>
      <c r="D58" s="161"/>
      <c r="E58" s="161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</row>
    <row r="59" spans="1:18">
      <c r="A59" s="16"/>
      <c r="B59" s="153"/>
      <c r="C59" s="161"/>
      <c r="D59" s="161"/>
      <c r="E59" s="161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</row>
    <row r="60" spans="1:18">
      <c r="A60" s="16"/>
      <c r="B60" s="153"/>
      <c r="C60" s="161"/>
      <c r="D60" s="161"/>
      <c r="E60" s="161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</row>
    <row r="61" spans="1:18">
      <c r="A61" s="16"/>
      <c r="B61" s="153"/>
      <c r="C61" s="161"/>
      <c r="D61" s="161"/>
      <c r="E61" s="161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</row>
    <row r="62" spans="1:18">
      <c r="A62" s="16"/>
      <c r="B62" s="153"/>
      <c r="C62" s="161"/>
      <c r="D62" s="161"/>
      <c r="E62" s="161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</row>
    <row r="63" spans="1:18"/>
    <row r="64" spans="1:18"/>
    <row r="65" spans="2:17">
      <c r="B65" s="167" t="s">
        <v>154</v>
      </c>
      <c r="C65" s="167"/>
      <c r="D65" s="167"/>
      <c r="E65" s="167"/>
      <c r="F65" s="167"/>
      <c r="G65" s="167"/>
      <c r="H65" s="167"/>
      <c r="I65" s="167"/>
      <c r="J65" s="167"/>
      <c r="K65" s="167"/>
      <c r="L65" s="167"/>
      <c r="M65" s="167"/>
      <c r="N65" s="167"/>
      <c r="O65" s="76"/>
      <c r="P65" s="76"/>
      <c r="Q65" s="76"/>
    </row>
    <row r="66" spans="2:17">
      <c r="B66" s="55"/>
      <c r="C66" s="56"/>
      <c r="D66" s="55"/>
      <c r="E66" s="55"/>
      <c r="F66" s="55"/>
      <c r="G66" s="55"/>
      <c r="H66" s="55"/>
      <c r="I66" s="55"/>
      <c r="J66" s="55"/>
    </row>
    <row r="67" spans="2:17" ht="15" customHeight="1">
      <c r="B67" s="167" t="s">
        <v>155</v>
      </c>
      <c r="C67" s="166" t="s">
        <v>156</v>
      </c>
      <c r="D67" s="166" t="s">
        <v>157</v>
      </c>
      <c r="E67" s="166"/>
      <c r="F67" s="166"/>
      <c r="G67" s="166" t="s">
        <v>158</v>
      </c>
      <c r="H67" s="166"/>
      <c r="I67" s="166"/>
      <c r="J67" s="166"/>
      <c r="K67" s="166" t="s">
        <v>159</v>
      </c>
      <c r="L67" s="166"/>
      <c r="M67" s="166"/>
      <c r="N67" s="166"/>
    </row>
    <row r="68" spans="2:17" ht="45" customHeight="1">
      <c r="B68" s="167"/>
      <c r="C68" s="166"/>
      <c r="D68" s="74" t="s">
        <v>160</v>
      </c>
      <c r="E68" s="74" t="s">
        <v>161</v>
      </c>
      <c r="F68" s="74" t="s">
        <v>162</v>
      </c>
      <c r="G68" s="166" t="s">
        <v>163</v>
      </c>
      <c r="H68" s="166"/>
      <c r="I68" s="166" t="s">
        <v>164</v>
      </c>
      <c r="J68" s="166"/>
      <c r="K68" s="166" t="s">
        <v>163</v>
      </c>
      <c r="L68" s="166"/>
      <c r="M68" s="166" t="s">
        <v>164</v>
      </c>
      <c r="N68" s="166"/>
    </row>
    <row r="69" spans="2:17" ht="21" customHeight="1">
      <c r="B69" s="72" t="s">
        <v>165</v>
      </c>
      <c r="C69" s="65" t="s">
        <v>166</v>
      </c>
      <c r="E69" s="65"/>
      <c r="F69" s="66"/>
      <c r="G69" s="165"/>
      <c r="H69" s="165"/>
      <c r="I69" s="157"/>
      <c r="J69" s="157"/>
      <c r="K69" s="165"/>
      <c r="L69" s="165"/>
      <c r="M69" s="165"/>
      <c r="N69" s="165"/>
    </row>
    <row r="70" spans="2:17" ht="21" customHeight="1">
      <c r="B70" s="72" t="s">
        <v>167</v>
      </c>
      <c r="C70" s="65" t="s">
        <v>166</v>
      </c>
      <c r="D70" s="65"/>
      <c r="E70" s="65"/>
      <c r="F70" s="66"/>
      <c r="G70" s="165"/>
      <c r="H70" s="165"/>
      <c r="I70" s="157"/>
      <c r="J70" s="157"/>
      <c r="K70" s="165"/>
      <c r="L70" s="165"/>
      <c r="M70" s="165"/>
      <c r="N70" s="165"/>
    </row>
    <row r="71" spans="2:17" ht="21" customHeight="1">
      <c r="B71" s="72" t="s">
        <v>168</v>
      </c>
      <c r="C71" s="65" t="s">
        <v>166</v>
      </c>
      <c r="D71" s="65"/>
      <c r="E71" s="65"/>
      <c r="F71" s="66"/>
      <c r="G71" s="165"/>
      <c r="H71" s="165"/>
      <c r="I71" s="157"/>
      <c r="J71" s="157"/>
      <c r="K71" s="165"/>
      <c r="L71" s="165"/>
      <c r="M71" s="165"/>
      <c r="N71" s="165"/>
    </row>
    <row r="72" spans="2:17" ht="21" customHeight="1">
      <c r="B72" s="72" t="s">
        <v>169</v>
      </c>
      <c r="C72" s="65" t="s">
        <v>166</v>
      </c>
      <c r="D72" s="65"/>
      <c r="E72" s="65"/>
      <c r="F72" s="66"/>
      <c r="G72" s="165"/>
      <c r="H72" s="165"/>
      <c r="I72" s="157"/>
      <c r="J72" s="157"/>
      <c r="K72" s="165"/>
      <c r="L72" s="165"/>
      <c r="M72" s="165"/>
      <c r="N72" s="165"/>
    </row>
    <row r="73" spans="2:17" ht="21" customHeight="1">
      <c r="B73" s="72" t="s">
        <v>170</v>
      </c>
      <c r="C73" s="65" t="s">
        <v>166</v>
      </c>
      <c r="D73" s="65"/>
      <c r="E73" s="65"/>
      <c r="F73" s="66"/>
      <c r="G73" s="165"/>
      <c r="H73" s="165"/>
      <c r="I73" s="157"/>
      <c r="J73" s="157"/>
      <c r="K73" s="165"/>
      <c r="L73" s="165"/>
      <c r="M73" s="165"/>
      <c r="N73" s="165"/>
    </row>
    <row r="74" spans="2:17" ht="21" customHeight="1">
      <c r="B74" s="72" t="s">
        <v>171</v>
      </c>
      <c r="C74" s="65" t="s">
        <v>166</v>
      </c>
      <c r="D74" s="65"/>
      <c r="E74" s="65"/>
      <c r="F74" s="66"/>
      <c r="G74" s="165"/>
      <c r="H74" s="165"/>
      <c r="I74" s="157"/>
      <c r="J74" s="157"/>
      <c r="K74" s="165"/>
      <c r="L74" s="165"/>
      <c r="M74" s="165"/>
      <c r="N74" s="165"/>
    </row>
    <row r="75" spans="2:17">
      <c r="B75" s="73"/>
      <c r="C75" s="67"/>
      <c r="D75" s="67"/>
      <c r="E75" s="67"/>
      <c r="F75" s="67"/>
      <c r="G75" s="67"/>
      <c r="H75" s="67"/>
      <c r="I75" s="68"/>
      <c r="J75" s="67"/>
    </row>
    <row r="76" spans="2:17">
      <c r="B76" s="163" t="s">
        <v>172</v>
      </c>
      <c r="C76" s="164"/>
      <c r="D76" s="164"/>
      <c r="E76" s="164"/>
      <c r="F76" s="164"/>
      <c r="G76" s="164"/>
      <c r="H76" s="164"/>
      <c r="I76" s="164"/>
      <c r="J76" s="164"/>
      <c r="K76" s="164"/>
      <c r="L76" s="164"/>
      <c r="M76" s="164"/>
      <c r="N76" s="164"/>
    </row>
    <row r="77" spans="2:17" ht="25.5" customHeight="1">
      <c r="B77" s="69" t="s">
        <v>173</v>
      </c>
      <c r="C77" s="65"/>
      <c r="D77" s="69" t="s">
        <v>174</v>
      </c>
      <c r="E77" s="65"/>
      <c r="F77" s="69" t="s">
        <v>175</v>
      </c>
      <c r="G77" s="65"/>
      <c r="H77" s="171" t="s">
        <v>176</v>
      </c>
      <c r="I77" s="172"/>
      <c r="J77" s="173"/>
      <c r="K77" s="174"/>
      <c r="L77" s="174"/>
      <c r="M77" s="174"/>
      <c r="N77" s="175"/>
    </row>
    <row r="78" spans="2:17">
      <c r="B78" s="67"/>
      <c r="C78" s="67"/>
      <c r="D78" s="67"/>
      <c r="E78" s="67"/>
      <c r="F78" s="67"/>
      <c r="G78" s="67"/>
      <c r="H78" s="67"/>
      <c r="I78" s="67"/>
      <c r="J78" s="67"/>
    </row>
    <row r="79" spans="2:17">
      <c r="B79" s="167" t="s">
        <v>177</v>
      </c>
      <c r="C79" s="167"/>
      <c r="D79" s="167"/>
      <c r="E79" s="167"/>
      <c r="F79" s="167"/>
      <c r="G79" s="167"/>
      <c r="H79" s="167"/>
      <c r="I79" s="167"/>
      <c r="J79" s="167"/>
      <c r="K79" s="167"/>
      <c r="L79" s="167"/>
      <c r="M79" s="167"/>
      <c r="N79" s="167"/>
    </row>
    <row r="80" spans="2:17">
      <c r="B80" s="167" t="s">
        <v>178</v>
      </c>
      <c r="C80" s="167"/>
      <c r="D80" s="167"/>
      <c r="E80" s="167"/>
      <c r="F80" s="167"/>
      <c r="G80" s="167"/>
      <c r="H80" s="167"/>
      <c r="I80" s="167"/>
      <c r="J80" s="167"/>
      <c r="K80" s="167"/>
      <c r="L80" s="167"/>
      <c r="M80" s="167"/>
      <c r="N80" s="167"/>
    </row>
    <row r="81" spans="2:14" ht="21" customHeight="1">
      <c r="B81" s="69" t="s">
        <v>160</v>
      </c>
      <c r="C81" s="65"/>
      <c r="D81" s="69" t="s">
        <v>161</v>
      </c>
      <c r="E81" s="65"/>
      <c r="F81" s="69" t="s">
        <v>179</v>
      </c>
      <c r="G81" s="65"/>
      <c r="H81" s="171" t="s">
        <v>176</v>
      </c>
      <c r="I81" s="172"/>
      <c r="J81" s="173" t="s">
        <v>180</v>
      </c>
      <c r="K81" s="174"/>
      <c r="L81" s="174"/>
      <c r="M81" s="174"/>
      <c r="N81" s="175"/>
    </row>
    <row r="82" spans="2:14">
      <c r="B82" s="67"/>
      <c r="C82" s="67"/>
      <c r="D82" s="67"/>
      <c r="E82" s="67"/>
      <c r="F82" s="67"/>
      <c r="G82" s="67"/>
      <c r="H82" s="67"/>
      <c r="I82" s="67"/>
      <c r="J82" s="67"/>
    </row>
    <row r="83" spans="2:14" ht="15" customHeight="1">
      <c r="B83" s="168" t="s">
        <v>181</v>
      </c>
      <c r="C83" s="169"/>
      <c r="D83" s="169"/>
      <c r="E83" s="169"/>
      <c r="F83" s="169"/>
      <c r="G83" s="169"/>
      <c r="H83" s="169"/>
      <c r="I83" s="169"/>
      <c r="J83" s="169"/>
      <c r="K83" s="169"/>
      <c r="L83" s="169"/>
      <c r="M83" s="169"/>
      <c r="N83" s="169"/>
    </row>
    <row r="84" spans="2:14">
      <c r="B84" s="170"/>
      <c r="C84" s="170"/>
      <c r="D84" s="170"/>
      <c r="E84" s="170"/>
      <c r="F84" s="170"/>
      <c r="G84" s="170"/>
      <c r="H84" s="170"/>
      <c r="I84" s="170"/>
      <c r="J84" s="170"/>
      <c r="K84" s="170"/>
      <c r="L84" s="170"/>
      <c r="M84" s="170"/>
      <c r="N84" s="170"/>
    </row>
    <row r="85" spans="2:14">
      <c r="B85" s="70"/>
      <c r="C85" s="70"/>
      <c r="D85" s="70"/>
      <c r="E85" s="70"/>
      <c r="F85" s="70"/>
      <c r="G85" s="70"/>
      <c r="H85" s="71"/>
      <c r="I85" s="70"/>
      <c r="J85" s="70"/>
    </row>
    <row r="86" spans="2:14">
      <c r="B86" s="167" t="s">
        <v>182</v>
      </c>
      <c r="C86" s="167"/>
      <c r="D86" s="167"/>
      <c r="E86" s="75"/>
      <c r="F86" s="58"/>
      <c r="G86" s="58"/>
      <c r="H86" s="58"/>
      <c r="I86" s="58"/>
      <c r="J86" s="58"/>
    </row>
    <row r="87" spans="2:14">
      <c r="B87" s="58"/>
      <c r="C87" s="58"/>
      <c r="D87" s="58"/>
      <c r="E87" s="58"/>
      <c r="F87" s="58"/>
      <c r="G87" s="58"/>
      <c r="H87" s="58"/>
      <c r="I87" s="58"/>
      <c r="J87" s="58"/>
    </row>
    <row r="88" spans="2:14">
      <c r="B88" s="58"/>
      <c r="C88" s="58"/>
      <c r="D88" s="58"/>
      <c r="E88" s="58"/>
      <c r="F88" s="58"/>
      <c r="G88" s="58"/>
      <c r="H88" s="58"/>
      <c r="I88" s="58"/>
      <c r="J88" s="58"/>
    </row>
    <row r="89" spans="2:14" s="40" customFormat="1" ht="34.5" customHeight="1">
      <c r="B89" s="166" t="s">
        <v>183</v>
      </c>
      <c r="C89" s="166"/>
      <c r="D89" s="166"/>
      <c r="E89" s="166"/>
      <c r="F89" s="166"/>
      <c r="G89" s="177"/>
      <c r="H89" s="58"/>
      <c r="I89" s="58"/>
      <c r="J89" s="58"/>
    </row>
    <row r="90" spans="2:14" s="40" customFormat="1">
      <c r="B90" s="167" t="s">
        <v>184</v>
      </c>
      <c r="C90" s="167"/>
      <c r="D90" s="167"/>
      <c r="E90" s="167"/>
      <c r="F90" s="167"/>
      <c r="G90" s="167" t="s">
        <v>185</v>
      </c>
      <c r="H90" s="167"/>
      <c r="I90" s="58"/>
      <c r="J90" s="58"/>
    </row>
    <row r="91" spans="2:14" s="40" customFormat="1">
      <c r="B91" s="176" t="s">
        <v>186</v>
      </c>
      <c r="C91" s="176"/>
      <c r="D91" s="176"/>
      <c r="E91" s="176"/>
      <c r="F91" s="176"/>
      <c r="G91" s="170">
        <v>5</v>
      </c>
      <c r="H91" s="170"/>
      <c r="I91" s="58"/>
      <c r="J91" s="58"/>
    </row>
    <row r="92" spans="2:14" s="40" customFormat="1">
      <c r="B92" s="176" t="s">
        <v>187</v>
      </c>
      <c r="C92" s="176"/>
      <c r="D92" s="176"/>
      <c r="E92" s="176"/>
      <c r="F92" s="176"/>
      <c r="G92" s="170">
        <v>5</v>
      </c>
      <c r="H92" s="170"/>
      <c r="I92" s="58"/>
      <c r="J92" s="58"/>
    </row>
    <row r="93" spans="2:14" s="40" customFormat="1">
      <c r="B93" s="176" t="s">
        <v>188</v>
      </c>
      <c r="C93" s="176"/>
      <c r="D93" s="176"/>
      <c r="E93" s="176"/>
      <c r="F93" s="176"/>
      <c r="G93" s="170">
        <v>4</v>
      </c>
      <c r="H93" s="170"/>
      <c r="I93" s="58"/>
      <c r="J93" s="58"/>
    </row>
    <row r="94" spans="2:14" s="40" customFormat="1">
      <c r="B94" s="176" t="s">
        <v>189</v>
      </c>
      <c r="C94" s="176"/>
      <c r="D94" s="176"/>
      <c r="E94" s="176"/>
      <c r="F94" s="176"/>
      <c r="G94" s="170">
        <v>4</v>
      </c>
      <c r="H94" s="170"/>
      <c r="I94" s="58"/>
      <c r="J94" s="58"/>
    </row>
    <row r="95" spans="2:14" s="40" customFormat="1">
      <c r="B95" s="176" t="s">
        <v>190</v>
      </c>
      <c r="C95" s="176"/>
      <c r="D95" s="176"/>
      <c r="E95" s="176"/>
      <c r="F95" s="176"/>
      <c r="G95" s="170">
        <v>4</v>
      </c>
      <c r="H95" s="170"/>
      <c r="I95" s="58"/>
      <c r="J95" s="58"/>
    </row>
    <row r="96" spans="2:14" s="40" customFormat="1">
      <c r="B96" s="176" t="s">
        <v>191</v>
      </c>
      <c r="C96" s="176"/>
      <c r="D96" s="176"/>
      <c r="E96" s="176"/>
      <c r="F96" s="176"/>
      <c r="G96" s="170">
        <v>5</v>
      </c>
      <c r="H96" s="170"/>
      <c r="I96" s="58"/>
      <c r="J96" s="58"/>
    </row>
    <row r="97" spans="2:10" s="40" customFormat="1">
      <c r="B97" s="176" t="s">
        <v>192</v>
      </c>
      <c r="C97" s="176"/>
      <c r="D97" s="176"/>
      <c r="E97" s="176"/>
      <c r="F97" s="176"/>
      <c r="G97" s="170">
        <v>4</v>
      </c>
      <c r="H97" s="170"/>
      <c r="I97" s="58"/>
      <c r="J97" s="58"/>
    </row>
    <row r="98" spans="2:10" s="40" customFormat="1">
      <c r="B98" s="176" t="s">
        <v>193</v>
      </c>
      <c r="C98" s="176"/>
      <c r="D98" s="176"/>
      <c r="E98" s="176"/>
      <c r="F98" s="176"/>
      <c r="G98" s="170">
        <v>4</v>
      </c>
      <c r="H98" s="170"/>
      <c r="I98" s="58"/>
      <c r="J98" s="58"/>
    </row>
    <row r="99" spans="2:10" s="40" customFormat="1">
      <c r="B99" s="176" t="s">
        <v>194</v>
      </c>
      <c r="C99" s="176"/>
      <c r="D99" s="176"/>
      <c r="E99" s="176"/>
      <c r="F99" s="176"/>
      <c r="G99" s="170">
        <v>4</v>
      </c>
      <c r="H99" s="170"/>
      <c r="I99" s="58"/>
      <c r="J99" s="58"/>
    </row>
    <row r="100" spans="2:10" s="40" customFormat="1">
      <c r="B100" s="176" t="s">
        <v>195</v>
      </c>
      <c r="C100" s="176"/>
      <c r="D100" s="176"/>
      <c r="E100" s="176"/>
      <c r="F100" s="176"/>
      <c r="G100" s="170">
        <v>4</v>
      </c>
      <c r="H100" s="170"/>
      <c r="I100" s="58"/>
      <c r="J100" s="58"/>
    </row>
    <row r="101" spans="2:10" s="40" customFormat="1">
      <c r="B101" s="55"/>
      <c r="C101" s="56"/>
      <c r="D101" s="55"/>
      <c r="E101" s="55"/>
      <c r="F101" s="55"/>
      <c r="G101" s="55"/>
      <c r="H101" s="55"/>
      <c r="I101" s="55"/>
      <c r="J101" s="55"/>
    </row>
    <row r="102" spans="2:10">
      <c r="B102" s="55"/>
      <c r="C102" s="56"/>
      <c r="D102" s="55"/>
      <c r="E102" s="55"/>
      <c r="F102" s="55"/>
      <c r="G102" s="55"/>
      <c r="H102" s="55"/>
      <c r="I102" s="55"/>
      <c r="J102" s="55"/>
    </row>
  </sheetData>
  <mergeCells count="88">
    <mergeCell ref="B3:B4"/>
    <mergeCell ref="C3:C4"/>
    <mergeCell ref="G99:H99"/>
    <mergeCell ref="G100:H100"/>
    <mergeCell ref="B65:N65"/>
    <mergeCell ref="G94:H94"/>
    <mergeCell ref="G95:H95"/>
    <mergeCell ref="G96:H96"/>
    <mergeCell ref="G97:H97"/>
    <mergeCell ref="G98:H98"/>
    <mergeCell ref="K72:L72"/>
    <mergeCell ref="K73:L73"/>
    <mergeCell ref="K74:L74"/>
    <mergeCell ref="M68:N68"/>
    <mergeCell ref="M69:N69"/>
    <mergeCell ref="M70:N70"/>
    <mergeCell ref="M71:N71"/>
    <mergeCell ref="M72:N72"/>
    <mergeCell ref="B99:F99"/>
    <mergeCell ref="B100:F100"/>
    <mergeCell ref="G68:H68"/>
    <mergeCell ref="G72:H72"/>
    <mergeCell ref="G73:H73"/>
    <mergeCell ref="G74:H74"/>
    <mergeCell ref="I72:J72"/>
    <mergeCell ref="I73:J73"/>
    <mergeCell ref="B94:F94"/>
    <mergeCell ref="B95:F95"/>
    <mergeCell ref="B96:F96"/>
    <mergeCell ref="B97:F97"/>
    <mergeCell ref="B98:F98"/>
    <mergeCell ref="B89:G89"/>
    <mergeCell ref="I68:J68"/>
    <mergeCell ref="G69:H69"/>
    <mergeCell ref="G70:H70"/>
    <mergeCell ref="G71:H71"/>
    <mergeCell ref="I70:J70"/>
    <mergeCell ref="I69:J69"/>
    <mergeCell ref="I71:J71"/>
    <mergeCell ref="B90:F90"/>
    <mergeCell ref="B91:F91"/>
    <mergeCell ref="B92:F92"/>
    <mergeCell ref="B93:F93"/>
    <mergeCell ref="G90:H90"/>
    <mergeCell ref="G91:H91"/>
    <mergeCell ref="G92:H92"/>
    <mergeCell ref="G93:H93"/>
    <mergeCell ref="B86:D86"/>
    <mergeCell ref="B83:N83"/>
    <mergeCell ref="B84:N84"/>
    <mergeCell ref="H81:I81"/>
    <mergeCell ref="H77:I77"/>
    <mergeCell ref="J77:N77"/>
    <mergeCell ref="J81:N81"/>
    <mergeCell ref="B80:N80"/>
    <mergeCell ref="B79:N79"/>
    <mergeCell ref="C43:E47"/>
    <mergeCell ref="C58:E62"/>
    <mergeCell ref="C24:H28"/>
    <mergeCell ref="B76:N76"/>
    <mergeCell ref="M74:N74"/>
    <mergeCell ref="I74:J74"/>
    <mergeCell ref="K68:L68"/>
    <mergeCell ref="K69:L69"/>
    <mergeCell ref="K70:L70"/>
    <mergeCell ref="K71:L71"/>
    <mergeCell ref="B67:B68"/>
    <mergeCell ref="C67:C68"/>
    <mergeCell ref="D67:F67"/>
    <mergeCell ref="K67:N67"/>
    <mergeCell ref="M73:N73"/>
    <mergeCell ref="G67:J67"/>
    <mergeCell ref="D3:D4"/>
    <mergeCell ref="B43:B47"/>
    <mergeCell ref="B58:B62"/>
    <mergeCell ref="B31:C31"/>
    <mergeCell ref="B24:B28"/>
    <mergeCell ref="B16:C16"/>
    <mergeCell ref="D5:F5"/>
    <mergeCell ref="C7:F7"/>
    <mergeCell ref="C6:F6"/>
    <mergeCell ref="D8:F8"/>
    <mergeCell ref="C9:F9"/>
    <mergeCell ref="D10:F10"/>
    <mergeCell ref="C11:F11"/>
    <mergeCell ref="D12:F12"/>
    <mergeCell ref="C13:F13"/>
    <mergeCell ref="F16:Q16"/>
  </mergeCells>
  <phoneticPr fontId="8" type="noConversion"/>
  <dataValidations count="3">
    <dataValidation type="list" allowBlank="1" showInputMessage="1" showErrorMessage="1" errorTitle="Califique de 1 a 5" error="Solo puede ingresar los datos (1 - 2 - 3 - 4 o 5)" sqref="G91:G100" xr:uid="{CAB778E1-C724-48F2-B0A3-E9A8ED363D81}">
      <formula1>"1,2,3,4,5"</formula1>
    </dataValidation>
    <dataValidation type="decimal" allowBlank="1" showInputMessage="1" showErrorMessage="1" errorTitle="Decimal o Porcentaje" error="Esta Celda solo acepta valores en formato de Porcentaje o Decimal" promptTitle="Decimal o Porcentaje" prompt="Esta Celda solo acepta valores en formato de Porcentaje o Decimal" sqref="E86" xr:uid="{8C1AD307-EB2F-468A-8B5B-44180A11EE78}">
      <formula1>0</formula1>
      <formula2>10</formula2>
    </dataValidation>
    <dataValidation type="list" allowBlank="1" showInputMessage="1" showErrorMessage="1" sqref="C77 E77 G77 C81 E81 G81" xr:uid="{CB42950C-5B83-4508-A4A2-C0193852AD05}">
      <formula1>$N$2</formula1>
    </dataValidation>
  </dataValidations>
  <pageMargins left="0.7" right="0.7" top="0.75" bottom="0.75" header="0.3" footer="0.3"/>
  <pageSetup paperSize="9" orientation="portrait" r:id="rId1"/>
  <drawing r:id="rId2"/>
  <legacyDrawing r:id="rId3"/>
  <picture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40" r:id="rId5" name="Check Box 20">
              <controlPr defaultSize="0" autoFill="0" autoLine="0" autoPict="0">
                <anchor moveWithCells="1">
                  <from>
                    <xdr:col>2</xdr:col>
                    <xdr:colOff>510540</xdr:colOff>
                    <xdr:row>17</xdr:row>
                    <xdr:rowOff>137160</xdr:rowOff>
                  </from>
                  <to>
                    <xdr:col>2</xdr:col>
                    <xdr:colOff>815340</xdr:colOff>
                    <xdr:row>18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1" r:id="rId6" name="Check Box 21">
              <controlPr defaultSize="0" autoFill="0" autoLine="0" autoPict="0">
                <anchor moveWithCells="1">
                  <from>
                    <xdr:col>2</xdr:col>
                    <xdr:colOff>510540</xdr:colOff>
                    <xdr:row>18</xdr:row>
                    <xdr:rowOff>137160</xdr:rowOff>
                  </from>
                  <to>
                    <xdr:col>2</xdr:col>
                    <xdr:colOff>815340</xdr:colOff>
                    <xdr:row>19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2" r:id="rId7" name="Check Box 22">
              <controlPr defaultSize="0" autoFill="0" autoLine="0" autoPict="0">
                <anchor moveWithCells="1">
                  <from>
                    <xdr:col>2</xdr:col>
                    <xdr:colOff>510540</xdr:colOff>
                    <xdr:row>19</xdr:row>
                    <xdr:rowOff>129540</xdr:rowOff>
                  </from>
                  <to>
                    <xdr:col>2</xdr:col>
                    <xdr:colOff>815340</xdr:colOff>
                    <xdr:row>20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4" r:id="rId8" name="Check Box 24">
              <controlPr defaultSize="0" autoFill="0" autoLine="0" autoPict="0">
                <anchor moveWithCells="1">
                  <from>
                    <xdr:col>2</xdr:col>
                    <xdr:colOff>510540</xdr:colOff>
                    <xdr:row>21</xdr:row>
                    <xdr:rowOff>121920</xdr:rowOff>
                  </from>
                  <to>
                    <xdr:col>2</xdr:col>
                    <xdr:colOff>815340</xdr:colOff>
                    <xdr:row>22</xdr:row>
                    <xdr:rowOff>91440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5" r:id="rId9" name="Check Box 25">
              <controlPr defaultSize="0" autoFill="0" autoLine="0" autoPict="0">
                <anchor moveWithCells="1">
                  <from>
                    <xdr:col>2</xdr:col>
                    <xdr:colOff>525780</xdr:colOff>
                    <xdr:row>31</xdr:row>
                    <xdr:rowOff>198120</xdr:rowOff>
                  </from>
                  <to>
                    <xdr:col>2</xdr:col>
                    <xdr:colOff>830580</xdr:colOff>
                    <xdr:row>32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6" r:id="rId10" name="Check Box 26">
              <controlPr defaultSize="0" autoFill="0" autoLine="0" autoPict="0">
                <anchor moveWithCells="1">
                  <from>
                    <xdr:col>2</xdr:col>
                    <xdr:colOff>525780</xdr:colOff>
                    <xdr:row>32</xdr:row>
                    <xdr:rowOff>182880</xdr:rowOff>
                  </from>
                  <to>
                    <xdr:col>2</xdr:col>
                    <xdr:colOff>830580</xdr:colOff>
                    <xdr:row>33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7" r:id="rId11" name="Check Box 27">
              <controlPr defaultSize="0" autoFill="0" autoLine="0" autoPict="0">
                <anchor moveWithCells="1">
                  <from>
                    <xdr:col>2</xdr:col>
                    <xdr:colOff>525780</xdr:colOff>
                    <xdr:row>33</xdr:row>
                    <xdr:rowOff>220980</xdr:rowOff>
                  </from>
                  <to>
                    <xdr:col>2</xdr:col>
                    <xdr:colOff>830580</xdr:colOff>
                    <xdr:row>34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8" r:id="rId12" name="Check Box 28">
              <controlPr defaultSize="0" autoFill="0" autoLine="0" autoPict="0">
                <anchor moveWithCells="1">
                  <from>
                    <xdr:col>2</xdr:col>
                    <xdr:colOff>525780</xdr:colOff>
                    <xdr:row>34</xdr:row>
                    <xdr:rowOff>175260</xdr:rowOff>
                  </from>
                  <to>
                    <xdr:col>2</xdr:col>
                    <xdr:colOff>830580</xdr:colOff>
                    <xdr:row>35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9" r:id="rId13" name="Check Box 29">
              <controlPr defaultSize="0" autoFill="0" autoLine="0" autoPict="0">
                <anchor moveWithCells="1">
                  <from>
                    <xdr:col>2</xdr:col>
                    <xdr:colOff>525780</xdr:colOff>
                    <xdr:row>35</xdr:row>
                    <xdr:rowOff>182880</xdr:rowOff>
                  </from>
                  <to>
                    <xdr:col>2</xdr:col>
                    <xdr:colOff>830580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0" r:id="rId14" name="Check Box 30">
              <controlPr defaultSize="0" autoFill="0" autoLine="0" autoPict="0">
                <anchor moveWithCells="1">
                  <from>
                    <xdr:col>2</xdr:col>
                    <xdr:colOff>525780</xdr:colOff>
                    <xdr:row>36</xdr:row>
                    <xdr:rowOff>152400</xdr:rowOff>
                  </from>
                  <to>
                    <xdr:col>2</xdr:col>
                    <xdr:colOff>830580</xdr:colOff>
                    <xdr:row>37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1" r:id="rId15" name="Check Box 31">
              <controlPr defaultSize="0" autoFill="0" autoLine="0" autoPict="0">
                <anchor moveWithCells="1">
                  <from>
                    <xdr:col>2</xdr:col>
                    <xdr:colOff>525780</xdr:colOff>
                    <xdr:row>37</xdr:row>
                    <xdr:rowOff>137160</xdr:rowOff>
                  </from>
                  <to>
                    <xdr:col>2</xdr:col>
                    <xdr:colOff>830580</xdr:colOff>
                    <xdr:row>38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2" r:id="rId16" name="Check Box 32">
              <controlPr defaultSize="0" autoFill="0" autoLine="0" autoPict="0">
                <anchor moveWithCells="1">
                  <from>
                    <xdr:col>2</xdr:col>
                    <xdr:colOff>525780</xdr:colOff>
                    <xdr:row>38</xdr:row>
                    <xdr:rowOff>152400</xdr:rowOff>
                  </from>
                  <to>
                    <xdr:col>2</xdr:col>
                    <xdr:colOff>830580</xdr:colOff>
                    <xdr:row>39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3" r:id="rId17" name="Check Box 33">
              <controlPr defaultSize="0" autoFill="0" autoLine="0" autoPict="0">
                <anchor moveWithCells="1">
                  <from>
                    <xdr:col>2</xdr:col>
                    <xdr:colOff>525780</xdr:colOff>
                    <xdr:row>39</xdr:row>
                    <xdr:rowOff>182880</xdr:rowOff>
                  </from>
                  <to>
                    <xdr:col>2</xdr:col>
                    <xdr:colOff>830580</xdr:colOff>
                    <xdr:row>39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4" r:id="rId18" name="Check Box 34">
              <controlPr defaultSize="0" autoFill="0" autoLine="0" autoPict="0">
                <anchor moveWithCells="1">
                  <from>
                    <xdr:col>2</xdr:col>
                    <xdr:colOff>525780</xdr:colOff>
                    <xdr:row>40</xdr:row>
                    <xdr:rowOff>114300</xdr:rowOff>
                  </from>
                  <to>
                    <xdr:col>2</xdr:col>
                    <xdr:colOff>830580</xdr:colOff>
                    <xdr:row>40</xdr:row>
                    <xdr:rowOff>320040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5" r:id="rId19" name="OTROPAGO">
              <controlPr defaultSize="0" autoFill="0" autoLine="0" autoPict="0" macro="[0]!OTROPAGO_Haga_clic_en">
                <anchor moveWithCells="1">
                  <from>
                    <xdr:col>2</xdr:col>
                    <xdr:colOff>510540</xdr:colOff>
                    <xdr:row>20</xdr:row>
                    <xdr:rowOff>121920</xdr:rowOff>
                  </from>
                  <to>
                    <xdr:col>2</xdr:col>
                    <xdr:colOff>815340</xdr:colOff>
                    <xdr:row>21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6" r:id="rId20" name="Check Box 36">
              <controlPr defaultSize="0" autoFill="0" autoLine="0" autoPict="0">
                <anchor moveWithCells="1">
                  <from>
                    <xdr:col>2</xdr:col>
                    <xdr:colOff>533400</xdr:colOff>
                    <xdr:row>49</xdr:row>
                    <xdr:rowOff>129540</xdr:rowOff>
                  </from>
                  <to>
                    <xdr:col>2</xdr:col>
                    <xdr:colOff>838200</xdr:colOff>
                    <xdr:row>50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7" r:id="rId21" name="Check Box 37">
              <controlPr defaultSize="0" autoFill="0" autoLine="0" autoPict="0">
                <anchor moveWithCells="1">
                  <from>
                    <xdr:col>2</xdr:col>
                    <xdr:colOff>533400</xdr:colOff>
                    <xdr:row>50</xdr:row>
                    <xdr:rowOff>137160</xdr:rowOff>
                  </from>
                  <to>
                    <xdr:col>2</xdr:col>
                    <xdr:colOff>838200</xdr:colOff>
                    <xdr:row>51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8" r:id="rId22" name="Check Box 38">
              <controlPr defaultSize="0" autoFill="0" autoLine="0" autoPict="0">
                <anchor moveWithCells="1">
                  <from>
                    <xdr:col>2</xdr:col>
                    <xdr:colOff>533400</xdr:colOff>
                    <xdr:row>51</xdr:row>
                    <xdr:rowOff>106680</xdr:rowOff>
                  </from>
                  <to>
                    <xdr:col>2</xdr:col>
                    <xdr:colOff>838200</xdr:colOff>
                    <xdr:row>51</xdr:row>
                    <xdr:rowOff>320040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9" r:id="rId23" name="Check Box 39">
              <controlPr defaultSize="0" autoFill="0" autoLine="0" autoPict="0">
                <anchor moveWithCells="1">
                  <from>
                    <xdr:col>2</xdr:col>
                    <xdr:colOff>533400</xdr:colOff>
                    <xdr:row>52</xdr:row>
                    <xdr:rowOff>121920</xdr:rowOff>
                  </from>
                  <to>
                    <xdr:col>2</xdr:col>
                    <xdr:colOff>838200</xdr:colOff>
                    <xdr:row>53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0" r:id="rId24" name="Check Box 40">
              <controlPr defaultSize="0" autoFill="0" autoLine="0" autoPict="0">
                <anchor moveWithCells="1">
                  <from>
                    <xdr:col>2</xdr:col>
                    <xdr:colOff>533400</xdr:colOff>
                    <xdr:row>53</xdr:row>
                    <xdr:rowOff>114300</xdr:rowOff>
                  </from>
                  <to>
                    <xdr:col>2</xdr:col>
                    <xdr:colOff>838200</xdr:colOff>
                    <xdr:row>53</xdr:row>
                    <xdr:rowOff>327660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1" r:id="rId25" name="Check Box 41">
              <controlPr defaultSize="0" autoFill="0" autoLine="0" autoPict="0">
                <anchor moveWithCells="1">
                  <from>
                    <xdr:col>2</xdr:col>
                    <xdr:colOff>533400</xdr:colOff>
                    <xdr:row>54</xdr:row>
                    <xdr:rowOff>106680</xdr:rowOff>
                  </from>
                  <to>
                    <xdr:col>2</xdr:col>
                    <xdr:colOff>838200</xdr:colOff>
                    <xdr:row>54</xdr:row>
                    <xdr:rowOff>320040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2" r:id="rId26" name="Check Box 42">
              <controlPr defaultSize="0" autoFill="0" autoLine="0" autoPict="0">
                <anchor moveWithCells="1">
                  <from>
                    <xdr:col>2</xdr:col>
                    <xdr:colOff>533400</xdr:colOff>
                    <xdr:row>55</xdr:row>
                    <xdr:rowOff>114300</xdr:rowOff>
                  </from>
                  <to>
                    <xdr:col>2</xdr:col>
                    <xdr:colOff>838200</xdr:colOff>
                    <xdr:row>55</xdr:row>
                    <xdr:rowOff>327660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4" r:id="rId27" name="Check Box 44">
              <controlPr defaultSize="0" autoFill="0" autoLine="0" autoPict="0">
                <anchor moveWithCells="1">
                  <from>
                    <xdr:col>6</xdr:col>
                    <xdr:colOff>160020</xdr:colOff>
                    <xdr:row>17</xdr:row>
                    <xdr:rowOff>160020</xdr:rowOff>
                  </from>
                  <to>
                    <xdr:col>6</xdr:col>
                    <xdr:colOff>510540</xdr:colOff>
                    <xdr:row>18</xdr:row>
                    <xdr:rowOff>121920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5" r:id="rId28" name="Check Box 45">
              <controlPr defaultSize="0" autoFill="0" autoLine="0" autoPict="0">
                <anchor moveWithCells="1">
                  <from>
                    <xdr:col>7</xdr:col>
                    <xdr:colOff>106680</xdr:colOff>
                    <xdr:row>17</xdr:row>
                    <xdr:rowOff>160020</xdr:rowOff>
                  </from>
                  <to>
                    <xdr:col>7</xdr:col>
                    <xdr:colOff>464820</xdr:colOff>
                    <xdr:row>18</xdr:row>
                    <xdr:rowOff>121920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6" r:id="rId29" name="Check Box 46">
              <controlPr defaultSize="0" autoFill="0" autoLine="0" autoPict="0">
                <anchor moveWithCells="1">
                  <from>
                    <xdr:col>8</xdr:col>
                    <xdr:colOff>114300</xdr:colOff>
                    <xdr:row>17</xdr:row>
                    <xdr:rowOff>160020</xdr:rowOff>
                  </from>
                  <to>
                    <xdr:col>8</xdr:col>
                    <xdr:colOff>464820</xdr:colOff>
                    <xdr:row>18</xdr:row>
                    <xdr:rowOff>121920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7" r:id="rId30" name="Check Box 47">
              <controlPr defaultSize="0" autoFill="0" autoLine="0" autoPict="0">
                <anchor moveWithCells="1">
                  <from>
                    <xdr:col>9</xdr:col>
                    <xdr:colOff>83820</xdr:colOff>
                    <xdr:row>17</xdr:row>
                    <xdr:rowOff>160020</xdr:rowOff>
                  </from>
                  <to>
                    <xdr:col>9</xdr:col>
                    <xdr:colOff>441960</xdr:colOff>
                    <xdr:row>18</xdr:row>
                    <xdr:rowOff>121920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8" r:id="rId31" name="Check Box 48">
              <controlPr defaultSize="0" autoFill="0" autoLine="0" autoPict="0">
                <anchor moveWithCells="1">
                  <from>
                    <xdr:col>10</xdr:col>
                    <xdr:colOff>106680</xdr:colOff>
                    <xdr:row>17</xdr:row>
                    <xdr:rowOff>160020</xdr:rowOff>
                  </from>
                  <to>
                    <xdr:col>10</xdr:col>
                    <xdr:colOff>457200</xdr:colOff>
                    <xdr:row>18</xdr:row>
                    <xdr:rowOff>121920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9" r:id="rId32" name="Check Box 49">
              <controlPr defaultSize="0" autoFill="0" autoLine="0" autoPict="0">
                <anchor moveWithCells="1">
                  <from>
                    <xdr:col>11</xdr:col>
                    <xdr:colOff>15240</xdr:colOff>
                    <xdr:row>17</xdr:row>
                    <xdr:rowOff>160020</xdr:rowOff>
                  </from>
                  <to>
                    <xdr:col>11</xdr:col>
                    <xdr:colOff>365760</xdr:colOff>
                    <xdr:row>18</xdr:row>
                    <xdr:rowOff>121920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0" r:id="rId33" name="Check Box 50">
              <controlPr defaultSize="0" autoFill="0" autoLine="0" autoPict="0">
                <anchor moveWithCells="1">
                  <from>
                    <xdr:col>12</xdr:col>
                    <xdr:colOff>22860</xdr:colOff>
                    <xdr:row>17</xdr:row>
                    <xdr:rowOff>160020</xdr:rowOff>
                  </from>
                  <to>
                    <xdr:col>12</xdr:col>
                    <xdr:colOff>381000</xdr:colOff>
                    <xdr:row>18</xdr:row>
                    <xdr:rowOff>121920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1" r:id="rId34" name="Check Box 51">
              <controlPr defaultSize="0" autoFill="0" autoLine="0" autoPict="0">
                <anchor moveWithCells="1">
                  <from>
                    <xdr:col>12</xdr:col>
                    <xdr:colOff>533400</xdr:colOff>
                    <xdr:row>17</xdr:row>
                    <xdr:rowOff>160020</xdr:rowOff>
                  </from>
                  <to>
                    <xdr:col>13</xdr:col>
                    <xdr:colOff>350520</xdr:colOff>
                    <xdr:row>18</xdr:row>
                    <xdr:rowOff>121920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2" r:id="rId35" name="Check Box 52">
              <controlPr defaultSize="0" autoFill="0" autoLine="0" autoPict="0">
                <anchor moveWithCells="1">
                  <from>
                    <xdr:col>13</xdr:col>
                    <xdr:colOff>487680</xdr:colOff>
                    <xdr:row>17</xdr:row>
                    <xdr:rowOff>160020</xdr:rowOff>
                  </from>
                  <to>
                    <xdr:col>14</xdr:col>
                    <xdr:colOff>289560</xdr:colOff>
                    <xdr:row>18</xdr:row>
                    <xdr:rowOff>121920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3" r:id="rId36" name="Check Box 53">
              <controlPr defaultSize="0" autoFill="0" autoLine="0" autoPict="0">
                <anchor moveWithCells="1">
                  <from>
                    <xdr:col>14</xdr:col>
                    <xdr:colOff>472440</xdr:colOff>
                    <xdr:row>17</xdr:row>
                    <xdr:rowOff>160020</xdr:rowOff>
                  </from>
                  <to>
                    <xdr:col>15</xdr:col>
                    <xdr:colOff>304800</xdr:colOff>
                    <xdr:row>18</xdr:row>
                    <xdr:rowOff>121920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4" r:id="rId37" name="Check Box 54">
              <controlPr defaultSize="0" autoFill="0" autoLine="0" autoPict="0">
                <anchor moveWithCells="1">
                  <from>
                    <xdr:col>15</xdr:col>
                    <xdr:colOff>464820</xdr:colOff>
                    <xdr:row>17</xdr:row>
                    <xdr:rowOff>160020</xdr:rowOff>
                  </from>
                  <to>
                    <xdr:col>16</xdr:col>
                    <xdr:colOff>297180</xdr:colOff>
                    <xdr:row>18</xdr:row>
                    <xdr:rowOff>121920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5" r:id="rId38" name="Check Box 55">
              <controlPr defaultSize="0" autoFill="0" autoLine="0" autoPict="0">
                <anchor moveWithCells="1">
                  <from>
                    <xdr:col>16</xdr:col>
                    <xdr:colOff>426720</xdr:colOff>
                    <xdr:row>17</xdr:row>
                    <xdr:rowOff>160020</xdr:rowOff>
                  </from>
                  <to>
                    <xdr:col>16384</xdr:col>
                    <xdr:colOff>30480</xdr:colOff>
                    <xdr:row>18</xdr:row>
                    <xdr:rowOff>121920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6" r:id="rId39" name="Check Box 56">
              <controlPr defaultSize="0" autoFill="0" autoLine="0" autoPict="0">
                <anchor moveWithCells="1">
                  <from>
                    <xdr:col>6</xdr:col>
                    <xdr:colOff>160020</xdr:colOff>
                    <xdr:row>18</xdr:row>
                    <xdr:rowOff>137160</xdr:rowOff>
                  </from>
                  <to>
                    <xdr:col>6</xdr:col>
                    <xdr:colOff>510540</xdr:colOff>
                    <xdr:row>19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7" r:id="rId40" name="Check Box 57">
              <controlPr defaultSize="0" autoFill="0" autoLine="0" autoPict="0">
                <anchor moveWithCells="1">
                  <from>
                    <xdr:col>7</xdr:col>
                    <xdr:colOff>106680</xdr:colOff>
                    <xdr:row>18</xdr:row>
                    <xdr:rowOff>137160</xdr:rowOff>
                  </from>
                  <to>
                    <xdr:col>7</xdr:col>
                    <xdr:colOff>464820</xdr:colOff>
                    <xdr:row>19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8" r:id="rId41" name="Check Box 58">
              <controlPr defaultSize="0" autoFill="0" autoLine="0" autoPict="0">
                <anchor moveWithCells="1">
                  <from>
                    <xdr:col>8</xdr:col>
                    <xdr:colOff>114300</xdr:colOff>
                    <xdr:row>18</xdr:row>
                    <xdr:rowOff>137160</xdr:rowOff>
                  </from>
                  <to>
                    <xdr:col>8</xdr:col>
                    <xdr:colOff>464820</xdr:colOff>
                    <xdr:row>19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9" r:id="rId42" name="Check Box 59">
              <controlPr defaultSize="0" autoFill="0" autoLine="0" autoPict="0">
                <anchor moveWithCells="1">
                  <from>
                    <xdr:col>9</xdr:col>
                    <xdr:colOff>83820</xdr:colOff>
                    <xdr:row>18</xdr:row>
                    <xdr:rowOff>137160</xdr:rowOff>
                  </from>
                  <to>
                    <xdr:col>9</xdr:col>
                    <xdr:colOff>441960</xdr:colOff>
                    <xdr:row>19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0" r:id="rId43" name="Check Box 60">
              <controlPr defaultSize="0" autoFill="0" autoLine="0" autoPict="0">
                <anchor moveWithCells="1">
                  <from>
                    <xdr:col>10</xdr:col>
                    <xdr:colOff>106680</xdr:colOff>
                    <xdr:row>18</xdr:row>
                    <xdr:rowOff>137160</xdr:rowOff>
                  </from>
                  <to>
                    <xdr:col>10</xdr:col>
                    <xdr:colOff>457200</xdr:colOff>
                    <xdr:row>19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1" r:id="rId44" name="Check Box 61">
              <controlPr defaultSize="0" autoFill="0" autoLine="0" autoPict="0">
                <anchor moveWithCells="1">
                  <from>
                    <xdr:col>11</xdr:col>
                    <xdr:colOff>15240</xdr:colOff>
                    <xdr:row>18</xdr:row>
                    <xdr:rowOff>137160</xdr:rowOff>
                  </from>
                  <to>
                    <xdr:col>11</xdr:col>
                    <xdr:colOff>365760</xdr:colOff>
                    <xdr:row>19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2" r:id="rId45" name="Check Box 62">
              <controlPr defaultSize="0" autoFill="0" autoLine="0" autoPict="0">
                <anchor moveWithCells="1">
                  <from>
                    <xdr:col>12</xdr:col>
                    <xdr:colOff>22860</xdr:colOff>
                    <xdr:row>18</xdr:row>
                    <xdr:rowOff>137160</xdr:rowOff>
                  </from>
                  <to>
                    <xdr:col>12</xdr:col>
                    <xdr:colOff>381000</xdr:colOff>
                    <xdr:row>19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3" r:id="rId46" name="Check Box 63">
              <controlPr defaultSize="0" autoFill="0" autoLine="0" autoPict="0">
                <anchor moveWithCells="1">
                  <from>
                    <xdr:col>12</xdr:col>
                    <xdr:colOff>533400</xdr:colOff>
                    <xdr:row>18</xdr:row>
                    <xdr:rowOff>137160</xdr:rowOff>
                  </from>
                  <to>
                    <xdr:col>13</xdr:col>
                    <xdr:colOff>350520</xdr:colOff>
                    <xdr:row>19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4" r:id="rId47" name="Check Box 64">
              <controlPr defaultSize="0" autoFill="0" autoLine="0" autoPict="0">
                <anchor moveWithCells="1">
                  <from>
                    <xdr:col>13</xdr:col>
                    <xdr:colOff>487680</xdr:colOff>
                    <xdr:row>18</xdr:row>
                    <xdr:rowOff>137160</xdr:rowOff>
                  </from>
                  <to>
                    <xdr:col>14</xdr:col>
                    <xdr:colOff>289560</xdr:colOff>
                    <xdr:row>19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5" r:id="rId48" name="Check Box 65">
              <controlPr defaultSize="0" autoFill="0" autoLine="0" autoPict="0">
                <anchor moveWithCells="1">
                  <from>
                    <xdr:col>14</xdr:col>
                    <xdr:colOff>472440</xdr:colOff>
                    <xdr:row>18</xdr:row>
                    <xdr:rowOff>137160</xdr:rowOff>
                  </from>
                  <to>
                    <xdr:col>15</xdr:col>
                    <xdr:colOff>304800</xdr:colOff>
                    <xdr:row>19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6" r:id="rId49" name="Check Box 66">
              <controlPr defaultSize="0" autoFill="0" autoLine="0" autoPict="0">
                <anchor moveWithCells="1">
                  <from>
                    <xdr:col>15</xdr:col>
                    <xdr:colOff>464820</xdr:colOff>
                    <xdr:row>18</xdr:row>
                    <xdr:rowOff>137160</xdr:rowOff>
                  </from>
                  <to>
                    <xdr:col>16</xdr:col>
                    <xdr:colOff>297180</xdr:colOff>
                    <xdr:row>19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7" r:id="rId50" name="Check Box 67">
              <controlPr defaultSize="0" autoFill="0" autoLine="0" autoPict="0">
                <anchor moveWithCells="1">
                  <from>
                    <xdr:col>16</xdr:col>
                    <xdr:colOff>426720</xdr:colOff>
                    <xdr:row>18</xdr:row>
                    <xdr:rowOff>137160</xdr:rowOff>
                  </from>
                  <to>
                    <xdr:col>16384</xdr:col>
                    <xdr:colOff>30480</xdr:colOff>
                    <xdr:row>19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8" r:id="rId51" name="Check Box 68">
              <controlPr defaultSize="0" autoFill="0" autoLine="0" autoPict="0">
                <anchor moveWithCells="1">
                  <from>
                    <xdr:col>6</xdr:col>
                    <xdr:colOff>160020</xdr:colOff>
                    <xdr:row>19</xdr:row>
                    <xdr:rowOff>144780</xdr:rowOff>
                  </from>
                  <to>
                    <xdr:col>6</xdr:col>
                    <xdr:colOff>510540</xdr:colOff>
                    <xdr:row>20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9" r:id="rId52" name="Check Box 69">
              <controlPr defaultSize="0" autoFill="0" autoLine="0" autoPict="0">
                <anchor moveWithCells="1">
                  <from>
                    <xdr:col>7</xdr:col>
                    <xdr:colOff>106680</xdr:colOff>
                    <xdr:row>19</xdr:row>
                    <xdr:rowOff>144780</xdr:rowOff>
                  </from>
                  <to>
                    <xdr:col>7</xdr:col>
                    <xdr:colOff>464820</xdr:colOff>
                    <xdr:row>20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0" r:id="rId53" name="Check Box 70">
              <controlPr defaultSize="0" autoFill="0" autoLine="0" autoPict="0">
                <anchor moveWithCells="1">
                  <from>
                    <xdr:col>8</xdr:col>
                    <xdr:colOff>114300</xdr:colOff>
                    <xdr:row>19</xdr:row>
                    <xdr:rowOff>144780</xdr:rowOff>
                  </from>
                  <to>
                    <xdr:col>8</xdr:col>
                    <xdr:colOff>464820</xdr:colOff>
                    <xdr:row>20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1" r:id="rId54" name="Check Box 71">
              <controlPr defaultSize="0" autoFill="0" autoLine="0" autoPict="0">
                <anchor moveWithCells="1">
                  <from>
                    <xdr:col>9</xdr:col>
                    <xdr:colOff>83820</xdr:colOff>
                    <xdr:row>19</xdr:row>
                    <xdr:rowOff>144780</xdr:rowOff>
                  </from>
                  <to>
                    <xdr:col>9</xdr:col>
                    <xdr:colOff>441960</xdr:colOff>
                    <xdr:row>20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2" r:id="rId55" name="Check Box 72">
              <controlPr defaultSize="0" autoFill="0" autoLine="0" autoPict="0">
                <anchor moveWithCells="1">
                  <from>
                    <xdr:col>10</xdr:col>
                    <xdr:colOff>106680</xdr:colOff>
                    <xdr:row>19</xdr:row>
                    <xdr:rowOff>144780</xdr:rowOff>
                  </from>
                  <to>
                    <xdr:col>10</xdr:col>
                    <xdr:colOff>457200</xdr:colOff>
                    <xdr:row>20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3" r:id="rId56" name="Check Box 73">
              <controlPr defaultSize="0" autoFill="0" autoLine="0" autoPict="0">
                <anchor moveWithCells="1">
                  <from>
                    <xdr:col>11</xdr:col>
                    <xdr:colOff>15240</xdr:colOff>
                    <xdr:row>19</xdr:row>
                    <xdr:rowOff>144780</xdr:rowOff>
                  </from>
                  <to>
                    <xdr:col>11</xdr:col>
                    <xdr:colOff>365760</xdr:colOff>
                    <xdr:row>20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4" r:id="rId57" name="Check Box 74">
              <controlPr defaultSize="0" autoFill="0" autoLine="0" autoPict="0">
                <anchor moveWithCells="1">
                  <from>
                    <xdr:col>12</xdr:col>
                    <xdr:colOff>22860</xdr:colOff>
                    <xdr:row>19</xdr:row>
                    <xdr:rowOff>144780</xdr:rowOff>
                  </from>
                  <to>
                    <xdr:col>12</xdr:col>
                    <xdr:colOff>381000</xdr:colOff>
                    <xdr:row>20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5" r:id="rId58" name="Check Box 75">
              <controlPr defaultSize="0" autoFill="0" autoLine="0" autoPict="0">
                <anchor moveWithCells="1">
                  <from>
                    <xdr:col>12</xdr:col>
                    <xdr:colOff>533400</xdr:colOff>
                    <xdr:row>19</xdr:row>
                    <xdr:rowOff>144780</xdr:rowOff>
                  </from>
                  <to>
                    <xdr:col>13</xdr:col>
                    <xdr:colOff>350520</xdr:colOff>
                    <xdr:row>20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6" r:id="rId59" name="Check Box 76">
              <controlPr defaultSize="0" autoFill="0" autoLine="0" autoPict="0">
                <anchor moveWithCells="1">
                  <from>
                    <xdr:col>13</xdr:col>
                    <xdr:colOff>487680</xdr:colOff>
                    <xdr:row>19</xdr:row>
                    <xdr:rowOff>144780</xdr:rowOff>
                  </from>
                  <to>
                    <xdr:col>14</xdr:col>
                    <xdr:colOff>289560</xdr:colOff>
                    <xdr:row>20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7" r:id="rId60" name="Check Box 77">
              <controlPr defaultSize="0" autoFill="0" autoLine="0" autoPict="0">
                <anchor moveWithCells="1">
                  <from>
                    <xdr:col>14</xdr:col>
                    <xdr:colOff>472440</xdr:colOff>
                    <xdr:row>19</xdr:row>
                    <xdr:rowOff>144780</xdr:rowOff>
                  </from>
                  <to>
                    <xdr:col>15</xdr:col>
                    <xdr:colOff>304800</xdr:colOff>
                    <xdr:row>20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8" r:id="rId61" name="Check Box 78">
              <controlPr defaultSize="0" autoFill="0" autoLine="0" autoPict="0">
                <anchor moveWithCells="1">
                  <from>
                    <xdr:col>15</xdr:col>
                    <xdr:colOff>464820</xdr:colOff>
                    <xdr:row>19</xdr:row>
                    <xdr:rowOff>144780</xdr:rowOff>
                  </from>
                  <to>
                    <xdr:col>16</xdr:col>
                    <xdr:colOff>297180</xdr:colOff>
                    <xdr:row>20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9" r:id="rId62" name="Check Box 79">
              <controlPr defaultSize="0" autoFill="0" autoLine="0" autoPict="0">
                <anchor moveWithCells="1">
                  <from>
                    <xdr:col>16</xdr:col>
                    <xdr:colOff>426720</xdr:colOff>
                    <xdr:row>19</xdr:row>
                    <xdr:rowOff>144780</xdr:rowOff>
                  </from>
                  <to>
                    <xdr:col>16384</xdr:col>
                    <xdr:colOff>30480</xdr:colOff>
                    <xdr:row>20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0" r:id="rId63" name="Check Box 80">
              <controlPr defaultSize="0" autoFill="0" autoLine="0" autoPict="0">
                <anchor moveWithCells="1">
                  <from>
                    <xdr:col>6</xdr:col>
                    <xdr:colOff>160020</xdr:colOff>
                    <xdr:row>20</xdr:row>
                    <xdr:rowOff>137160</xdr:rowOff>
                  </from>
                  <to>
                    <xdr:col>6</xdr:col>
                    <xdr:colOff>510540</xdr:colOff>
                    <xdr:row>21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1" r:id="rId64" name="Check Box 81">
              <controlPr defaultSize="0" autoFill="0" autoLine="0" autoPict="0">
                <anchor moveWithCells="1">
                  <from>
                    <xdr:col>7</xdr:col>
                    <xdr:colOff>106680</xdr:colOff>
                    <xdr:row>20</xdr:row>
                    <xdr:rowOff>137160</xdr:rowOff>
                  </from>
                  <to>
                    <xdr:col>7</xdr:col>
                    <xdr:colOff>464820</xdr:colOff>
                    <xdr:row>21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2" r:id="rId65" name="Check Box 82">
              <controlPr defaultSize="0" autoFill="0" autoLine="0" autoPict="0">
                <anchor moveWithCells="1">
                  <from>
                    <xdr:col>8</xdr:col>
                    <xdr:colOff>114300</xdr:colOff>
                    <xdr:row>20</xdr:row>
                    <xdr:rowOff>137160</xdr:rowOff>
                  </from>
                  <to>
                    <xdr:col>8</xdr:col>
                    <xdr:colOff>464820</xdr:colOff>
                    <xdr:row>21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3" r:id="rId66" name="Check Box 83">
              <controlPr defaultSize="0" autoFill="0" autoLine="0" autoPict="0">
                <anchor moveWithCells="1">
                  <from>
                    <xdr:col>9</xdr:col>
                    <xdr:colOff>83820</xdr:colOff>
                    <xdr:row>20</xdr:row>
                    <xdr:rowOff>137160</xdr:rowOff>
                  </from>
                  <to>
                    <xdr:col>9</xdr:col>
                    <xdr:colOff>441960</xdr:colOff>
                    <xdr:row>21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4" r:id="rId67" name="Check Box 84">
              <controlPr defaultSize="0" autoFill="0" autoLine="0" autoPict="0">
                <anchor moveWithCells="1">
                  <from>
                    <xdr:col>10</xdr:col>
                    <xdr:colOff>106680</xdr:colOff>
                    <xdr:row>20</xdr:row>
                    <xdr:rowOff>137160</xdr:rowOff>
                  </from>
                  <to>
                    <xdr:col>10</xdr:col>
                    <xdr:colOff>457200</xdr:colOff>
                    <xdr:row>21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5" r:id="rId68" name="Check Box 85">
              <controlPr defaultSize="0" autoFill="0" autoLine="0" autoPict="0">
                <anchor moveWithCells="1">
                  <from>
                    <xdr:col>11</xdr:col>
                    <xdr:colOff>15240</xdr:colOff>
                    <xdr:row>20</xdr:row>
                    <xdr:rowOff>137160</xdr:rowOff>
                  </from>
                  <to>
                    <xdr:col>11</xdr:col>
                    <xdr:colOff>365760</xdr:colOff>
                    <xdr:row>21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6" r:id="rId69" name="Check Box 86">
              <controlPr defaultSize="0" autoFill="0" autoLine="0" autoPict="0">
                <anchor moveWithCells="1">
                  <from>
                    <xdr:col>12</xdr:col>
                    <xdr:colOff>22860</xdr:colOff>
                    <xdr:row>20</xdr:row>
                    <xdr:rowOff>137160</xdr:rowOff>
                  </from>
                  <to>
                    <xdr:col>12</xdr:col>
                    <xdr:colOff>381000</xdr:colOff>
                    <xdr:row>21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7" r:id="rId70" name="Check Box 87">
              <controlPr defaultSize="0" autoFill="0" autoLine="0" autoPict="0">
                <anchor moveWithCells="1">
                  <from>
                    <xdr:col>12</xdr:col>
                    <xdr:colOff>533400</xdr:colOff>
                    <xdr:row>20</xdr:row>
                    <xdr:rowOff>137160</xdr:rowOff>
                  </from>
                  <to>
                    <xdr:col>13</xdr:col>
                    <xdr:colOff>350520</xdr:colOff>
                    <xdr:row>21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8" r:id="rId71" name="Check Box 88">
              <controlPr defaultSize="0" autoFill="0" autoLine="0" autoPict="0">
                <anchor moveWithCells="1">
                  <from>
                    <xdr:col>13</xdr:col>
                    <xdr:colOff>487680</xdr:colOff>
                    <xdr:row>20</xdr:row>
                    <xdr:rowOff>137160</xdr:rowOff>
                  </from>
                  <to>
                    <xdr:col>14</xdr:col>
                    <xdr:colOff>289560</xdr:colOff>
                    <xdr:row>21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9" r:id="rId72" name="Check Box 89">
              <controlPr defaultSize="0" autoFill="0" autoLine="0" autoPict="0">
                <anchor moveWithCells="1">
                  <from>
                    <xdr:col>14</xdr:col>
                    <xdr:colOff>472440</xdr:colOff>
                    <xdr:row>20</xdr:row>
                    <xdr:rowOff>137160</xdr:rowOff>
                  </from>
                  <to>
                    <xdr:col>15</xdr:col>
                    <xdr:colOff>304800</xdr:colOff>
                    <xdr:row>21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0" r:id="rId73" name="Check Box 90">
              <controlPr defaultSize="0" autoFill="0" autoLine="0" autoPict="0">
                <anchor moveWithCells="1">
                  <from>
                    <xdr:col>15</xdr:col>
                    <xdr:colOff>464820</xdr:colOff>
                    <xdr:row>20</xdr:row>
                    <xdr:rowOff>137160</xdr:rowOff>
                  </from>
                  <to>
                    <xdr:col>16</xdr:col>
                    <xdr:colOff>297180</xdr:colOff>
                    <xdr:row>21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1" r:id="rId74" name="Check Box 91">
              <controlPr defaultSize="0" autoFill="0" autoLine="0" autoPict="0">
                <anchor moveWithCells="1">
                  <from>
                    <xdr:col>16</xdr:col>
                    <xdr:colOff>426720</xdr:colOff>
                    <xdr:row>20</xdr:row>
                    <xdr:rowOff>137160</xdr:rowOff>
                  </from>
                  <to>
                    <xdr:col>16384</xdr:col>
                    <xdr:colOff>30480</xdr:colOff>
                    <xdr:row>21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2" r:id="rId75" name="Check Box 92">
              <controlPr defaultSize="0" autoFill="0" autoLine="0" autoPict="0">
                <anchor moveWithCells="1">
                  <from>
                    <xdr:col>6</xdr:col>
                    <xdr:colOff>160020</xdr:colOff>
                    <xdr:row>21</xdr:row>
                    <xdr:rowOff>129540</xdr:rowOff>
                  </from>
                  <to>
                    <xdr:col>6</xdr:col>
                    <xdr:colOff>510540</xdr:colOff>
                    <xdr:row>22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3" r:id="rId76" name="Check Box 93">
              <controlPr defaultSize="0" autoFill="0" autoLine="0" autoPict="0">
                <anchor moveWithCells="1">
                  <from>
                    <xdr:col>7</xdr:col>
                    <xdr:colOff>106680</xdr:colOff>
                    <xdr:row>21</xdr:row>
                    <xdr:rowOff>129540</xdr:rowOff>
                  </from>
                  <to>
                    <xdr:col>7</xdr:col>
                    <xdr:colOff>464820</xdr:colOff>
                    <xdr:row>22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4" r:id="rId77" name="Check Box 94">
              <controlPr defaultSize="0" autoFill="0" autoLine="0" autoPict="0">
                <anchor moveWithCells="1">
                  <from>
                    <xdr:col>8</xdr:col>
                    <xdr:colOff>114300</xdr:colOff>
                    <xdr:row>21</xdr:row>
                    <xdr:rowOff>129540</xdr:rowOff>
                  </from>
                  <to>
                    <xdr:col>8</xdr:col>
                    <xdr:colOff>464820</xdr:colOff>
                    <xdr:row>22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5" r:id="rId78" name="Check Box 95">
              <controlPr defaultSize="0" autoFill="0" autoLine="0" autoPict="0">
                <anchor moveWithCells="1">
                  <from>
                    <xdr:col>9</xdr:col>
                    <xdr:colOff>83820</xdr:colOff>
                    <xdr:row>21</xdr:row>
                    <xdr:rowOff>129540</xdr:rowOff>
                  </from>
                  <to>
                    <xdr:col>9</xdr:col>
                    <xdr:colOff>441960</xdr:colOff>
                    <xdr:row>22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6" r:id="rId79" name="Check Box 96">
              <controlPr defaultSize="0" autoFill="0" autoLine="0" autoPict="0">
                <anchor moveWithCells="1">
                  <from>
                    <xdr:col>10</xdr:col>
                    <xdr:colOff>106680</xdr:colOff>
                    <xdr:row>21</xdr:row>
                    <xdr:rowOff>129540</xdr:rowOff>
                  </from>
                  <to>
                    <xdr:col>10</xdr:col>
                    <xdr:colOff>457200</xdr:colOff>
                    <xdr:row>22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7" r:id="rId80" name="Check Box 97">
              <controlPr defaultSize="0" autoFill="0" autoLine="0" autoPict="0">
                <anchor moveWithCells="1">
                  <from>
                    <xdr:col>11</xdr:col>
                    <xdr:colOff>15240</xdr:colOff>
                    <xdr:row>21</xdr:row>
                    <xdr:rowOff>129540</xdr:rowOff>
                  </from>
                  <to>
                    <xdr:col>11</xdr:col>
                    <xdr:colOff>365760</xdr:colOff>
                    <xdr:row>22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8" r:id="rId81" name="Check Box 98">
              <controlPr defaultSize="0" autoFill="0" autoLine="0" autoPict="0">
                <anchor moveWithCells="1">
                  <from>
                    <xdr:col>12</xdr:col>
                    <xdr:colOff>22860</xdr:colOff>
                    <xdr:row>21</xdr:row>
                    <xdr:rowOff>129540</xdr:rowOff>
                  </from>
                  <to>
                    <xdr:col>12</xdr:col>
                    <xdr:colOff>381000</xdr:colOff>
                    <xdr:row>22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9" r:id="rId82" name="Check Box 99">
              <controlPr defaultSize="0" autoFill="0" autoLine="0" autoPict="0">
                <anchor moveWithCells="1">
                  <from>
                    <xdr:col>12</xdr:col>
                    <xdr:colOff>533400</xdr:colOff>
                    <xdr:row>21</xdr:row>
                    <xdr:rowOff>129540</xdr:rowOff>
                  </from>
                  <to>
                    <xdr:col>13</xdr:col>
                    <xdr:colOff>350520</xdr:colOff>
                    <xdr:row>22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20" r:id="rId83" name="Check Box 100">
              <controlPr defaultSize="0" autoFill="0" autoLine="0" autoPict="0">
                <anchor moveWithCells="1">
                  <from>
                    <xdr:col>13</xdr:col>
                    <xdr:colOff>487680</xdr:colOff>
                    <xdr:row>21</xdr:row>
                    <xdr:rowOff>129540</xdr:rowOff>
                  </from>
                  <to>
                    <xdr:col>14</xdr:col>
                    <xdr:colOff>289560</xdr:colOff>
                    <xdr:row>22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21" r:id="rId84" name="Check Box 101">
              <controlPr defaultSize="0" autoFill="0" autoLine="0" autoPict="0">
                <anchor moveWithCells="1">
                  <from>
                    <xdr:col>14</xdr:col>
                    <xdr:colOff>472440</xdr:colOff>
                    <xdr:row>21</xdr:row>
                    <xdr:rowOff>129540</xdr:rowOff>
                  </from>
                  <to>
                    <xdr:col>15</xdr:col>
                    <xdr:colOff>304800</xdr:colOff>
                    <xdr:row>22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22" r:id="rId85" name="Check Box 102">
              <controlPr defaultSize="0" autoFill="0" autoLine="0" autoPict="0">
                <anchor moveWithCells="1">
                  <from>
                    <xdr:col>15</xdr:col>
                    <xdr:colOff>464820</xdr:colOff>
                    <xdr:row>21</xdr:row>
                    <xdr:rowOff>129540</xdr:rowOff>
                  </from>
                  <to>
                    <xdr:col>16</xdr:col>
                    <xdr:colOff>297180</xdr:colOff>
                    <xdr:row>22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23" r:id="rId86" name="Check Box 103">
              <controlPr defaultSize="0" autoFill="0" autoLine="0" autoPict="0">
                <anchor moveWithCells="1">
                  <from>
                    <xdr:col>16</xdr:col>
                    <xdr:colOff>426720</xdr:colOff>
                    <xdr:row>21</xdr:row>
                    <xdr:rowOff>129540</xdr:rowOff>
                  </from>
                  <to>
                    <xdr:col>16384</xdr:col>
                    <xdr:colOff>30480</xdr:colOff>
                    <xdr:row>22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32" r:id="rId87" name="Check Box 112">
              <controlPr defaultSize="0" autoFill="0" autoLine="0" autoPict="0">
                <anchor moveWithCells="1">
                  <from>
                    <xdr:col>3</xdr:col>
                    <xdr:colOff>1028700</xdr:colOff>
                    <xdr:row>68</xdr:row>
                    <xdr:rowOff>99060</xdr:rowOff>
                  </from>
                  <to>
                    <xdr:col>3</xdr:col>
                    <xdr:colOff>1371600</xdr:colOff>
                    <xdr:row>69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33" r:id="rId88" name="Check Box 113">
              <controlPr defaultSize="0" autoFill="0" autoLine="0" autoPict="0">
                <anchor moveWithCells="1">
                  <from>
                    <xdr:col>3</xdr:col>
                    <xdr:colOff>1028700</xdr:colOff>
                    <xdr:row>69</xdr:row>
                    <xdr:rowOff>99060</xdr:rowOff>
                  </from>
                  <to>
                    <xdr:col>3</xdr:col>
                    <xdr:colOff>1371600</xdr:colOff>
                    <xdr:row>70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34" r:id="rId89" name="Check Box 114">
              <controlPr defaultSize="0" autoFill="0" autoLine="0" autoPict="0">
                <anchor moveWithCells="1">
                  <from>
                    <xdr:col>3</xdr:col>
                    <xdr:colOff>1028700</xdr:colOff>
                    <xdr:row>70</xdr:row>
                    <xdr:rowOff>121920</xdr:rowOff>
                  </from>
                  <to>
                    <xdr:col>3</xdr:col>
                    <xdr:colOff>1371600</xdr:colOff>
                    <xdr:row>71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35" r:id="rId90" name="Check Box 115">
              <controlPr defaultSize="0" autoFill="0" autoLine="0" autoPict="0">
                <anchor moveWithCells="1">
                  <from>
                    <xdr:col>3</xdr:col>
                    <xdr:colOff>1028700</xdr:colOff>
                    <xdr:row>71</xdr:row>
                    <xdr:rowOff>114300</xdr:rowOff>
                  </from>
                  <to>
                    <xdr:col>3</xdr:col>
                    <xdr:colOff>1371600</xdr:colOff>
                    <xdr:row>72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36" r:id="rId91" name="Check Box 116">
              <controlPr defaultSize="0" autoFill="0" autoLine="0" autoPict="0">
                <anchor moveWithCells="1">
                  <from>
                    <xdr:col>3</xdr:col>
                    <xdr:colOff>1028700</xdr:colOff>
                    <xdr:row>72</xdr:row>
                    <xdr:rowOff>121920</xdr:rowOff>
                  </from>
                  <to>
                    <xdr:col>3</xdr:col>
                    <xdr:colOff>1371600</xdr:colOff>
                    <xdr:row>73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37" r:id="rId92" name="Check Box 117">
              <controlPr defaultSize="0" autoFill="0" autoLine="0" autoPict="0">
                <anchor moveWithCells="1">
                  <from>
                    <xdr:col>3</xdr:col>
                    <xdr:colOff>1028700</xdr:colOff>
                    <xdr:row>73</xdr:row>
                    <xdr:rowOff>129540</xdr:rowOff>
                  </from>
                  <to>
                    <xdr:col>3</xdr:col>
                    <xdr:colOff>1371600</xdr:colOff>
                    <xdr:row>74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38" r:id="rId93" name="Check Box 118">
              <controlPr defaultSize="0" autoFill="0" autoLine="0" autoPict="0">
                <anchor moveWithCells="1">
                  <from>
                    <xdr:col>4</xdr:col>
                    <xdr:colOff>929640</xdr:colOff>
                    <xdr:row>68</xdr:row>
                    <xdr:rowOff>99060</xdr:rowOff>
                  </from>
                  <to>
                    <xdr:col>4</xdr:col>
                    <xdr:colOff>1272540</xdr:colOff>
                    <xdr:row>69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39" r:id="rId94" name="Check Box 119">
              <controlPr defaultSize="0" autoFill="0" autoLine="0" autoPict="0">
                <anchor moveWithCells="1">
                  <from>
                    <xdr:col>4</xdr:col>
                    <xdr:colOff>929640</xdr:colOff>
                    <xdr:row>69</xdr:row>
                    <xdr:rowOff>99060</xdr:rowOff>
                  </from>
                  <to>
                    <xdr:col>4</xdr:col>
                    <xdr:colOff>1272540</xdr:colOff>
                    <xdr:row>70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40" r:id="rId95" name="Check Box 120">
              <controlPr defaultSize="0" autoFill="0" autoLine="0" autoPict="0">
                <anchor moveWithCells="1">
                  <from>
                    <xdr:col>4</xdr:col>
                    <xdr:colOff>929640</xdr:colOff>
                    <xdr:row>70</xdr:row>
                    <xdr:rowOff>114300</xdr:rowOff>
                  </from>
                  <to>
                    <xdr:col>4</xdr:col>
                    <xdr:colOff>1272540</xdr:colOff>
                    <xdr:row>71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41" r:id="rId96" name="Check Box 121">
              <controlPr defaultSize="0" autoFill="0" autoLine="0" autoPict="0">
                <anchor moveWithCells="1">
                  <from>
                    <xdr:col>4</xdr:col>
                    <xdr:colOff>929640</xdr:colOff>
                    <xdr:row>71</xdr:row>
                    <xdr:rowOff>114300</xdr:rowOff>
                  </from>
                  <to>
                    <xdr:col>4</xdr:col>
                    <xdr:colOff>1272540</xdr:colOff>
                    <xdr:row>72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42" r:id="rId97" name="Check Box 122">
              <controlPr defaultSize="0" autoFill="0" autoLine="0" autoPict="0">
                <anchor moveWithCells="1">
                  <from>
                    <xdr:col>4</xdr:col>
                    <xdr:colOff>929640</xdr:colOff>
                    <xdr:row>72</xdr:row>
                    <xdr:rowOff>121920</xdr:rowOff>
                  </from>
                  <to>
                    <xdr:col>4</xdr:col>
                    <xdr:colOff>1272540</xdr:colOff>
                    <xdr:row>73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43" r:id="rId98" name="Check Box 123">
              <controlPr defaultSize="0" autoFill="0" autoLine="0" autoPict="0">
                <anchor moveWithCells="1">
                  <from>
                    <xdr:col>4</xdr:col>
                    <xdr:colOff>929640</xdr:colOff>
                    <xdr:row>73</xdr:row>
                    <xdr:rowOff>129540</xdr:rowOff>
                  </from>
                  <to>
                    <xdr:col>4</xdr:col>
                    <xdr:colOff>1272540</xdr:colOff>
                    <xdr:row>74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44" r:id="rId99" name="Check Box 124">
              <controlPr defaultSize="0" autoFill="0" autoLine="0" autoPict="0">
                <anchor moveWithCells="1">
                  <from>
                    <xdr:col>2</xdr:col>
                    <xdr:colOff>571500</xdr:colOff>
                    <xdr:row>76</xdr:row>
                    <xdr:rowOff>167640</xdr:rowOff>
                  </from>
                  <to>
                    <xdr:col>3</xdr:col>
                    <xdr:colOff>45720</xdr:colOff>
                    <xdr:row>77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45" r:id="rId100" name="Check Box 125">
              <controlPr defaultSize="0" autoFill="0" autoLine="0" autoPict="0">
                <anchor moveWithCells="1">
                  <from>
                    <xdr:col>4</xdr:col>
                    <xdr:colOff>975360</xdr:colOff>
                    <xdr:row>76</xdr:row>
                    <xdr:rowOff>182880</xdr:rowOff>
                  </from>
                  <to>
                    <xdr:col>4</xdr:col>
                    <xdr:colOff>1485900</xdr:colOff>
                    <xdr:row>77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46" r:id="rId101" name="Check Box 126">
              <controlPr defaultSize="0" autoFill="0" autoLine="0" autoPict="0">
                <anchor moveWithCells="1">
                  <from>
                    <xdr:col>7</xdr:col>
                    <xdr:colOff>160020</xdr:colOff>
                    <xdr:row>76</xdr:row>
                    <xdr:rowOff>182880</xdr:rowOff>
                  </from>
                  <to>
                    <xdr:col>8</xdr:col>
                    <xdr:colOff>68580</xdr:colOff>
                    <xdr:row>77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48" r:id="rId102" name="Check Box 128">
              <controlPr defaultSize="0" autoFill="0" autoLine="0" autoPict="0">
                <anchor moveWithCells="1">
                  <from>
                    <xdr:col>2</xdr:col>
                    <xdr:colOff>556260</xdr:colOff>
                    <xdr:row>80</xdr:row>
                    <xdr:rowOff>175260</xdr:rowOff>
                  </from>
                  <to>
                    <xdr:col>3</xdr:col>
                    <xdr:colOff>30480</xdr:colOff>
                    <xdr:row>81</xdr:row>
                    <xdr:rowOff>137160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49" r:id="rId103" name="Check Box 129">
              <controlPr defaultSize="0" autoFill="0" autoLine="0" autoPict="0">
                <anchor moveWithCells="1">
                  <from>
                    <xdr:col>4</xdr:col>
                    <xdr:colOff>982980</xdr:colOff>
                    <xdr:row>80</xdr:row>
                    <xdr:rowOff>175260</xdr:rowOff>
                  </from>
                  <to>
                    <xdr:col>4</xdr:col>
                    <xdr:colOff>1485900</xdr:colOff>
                    <xdr:row>81</xdr:row>
                    <xdr:rowOff>121920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50" r:id="rId104" name="Check Box 130">
              <controlPr defaultSize="0" autoFill="0" autoLine="0" autoPict="0">
                <anchor moveWithCells="1">
                  <from>
                    <xdr:col>7</xdr:col>
                    <xdr:colOff>144780</xdr:colOff>
                    <xdr:row>80</xdr:row>
                    <xdr:rowOff>175260</xdr:rowOff>
                  </from>
                  <to>
                    <xdr:col>8</xdr:col>
                    <xdr:colOff>53340</xdr:colOff>
                    <xdr:row>81</xdr:row>
                    <xdr:rowOff>114300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BD462CF-5A72-4542-A166-B77A53E53700}">
          <x14:formula1>
            <xm:f>Listas!$B$4:$B$5</xm:f>
          </x14:formula1>
          <xm:sqref>C23 C29</xm:sqref>
        </x14:dataValidation>
        <x14:dataValidation type="list" allowBlank="1" showInputMessage="1" showErrorMessage="1" xr:uid="{3A7B1518-C563-4D96-B711-D2112381AF32}">
          <x14:formula1>
            <xm:f>LISTA!$B$2:$B$13</xm:f>
          </x14:formula1>
          <xm:sqref>C69:C74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3">
    <outlinePr summaryRight="0"/>
    <pageSetUpPr autoPageBreaks="0"/>
  </sheetPr>
  <dimension ref="A1:BT124"/>
  <sheetViews>
    <sheetView showGridLines="0" tabSelected="1" zoomScale="85" zoomScaleNormal="85" workbookViewId="0">
      <selection activeCell="H1" sqref="H1:H1048576"/>
    </sheetView>
  </sheetViews>
  <sheetFormatPr baseColWidth="10" defaultColWidth="0" defaultRowHeight="14.25" customHeight="1"/>
  <cols>
    <col min="1" max="1" width="1.5546875" style="1" customWidth="1"/>
    <col min="2" max="2" width="4.44140625" style="1" customWidth="1"/>
    <col min="3" max="3" width="8.88671875" style="1" customWidth="1"/>
    <col min="4" max="4" width="51.6640625" style="16" customWidth="1"/>
    <col min="5" max="8" width="27.88671875" hidden="1" customWidth="1"/>
    <col min="9" max="10" width="29.5546875" style="1" customWidth="1"/>
    <col min="11" max="11" width="25.5546875" style="1" customWidth="1"/>
    <col min="12" max="12" width="34.88671875" style="1" customWidth="1"/>
    <col min="13" max="13" width="109.109375" style="99" customWidth="1"/>
    <col min="14" max="14" width="18.44140625" style="1" customWidth="1"/>
    <col min="15" max="15" width="16.109375" customWidth="1"/>
    <col min="16" max="17" width="24.109375" style="1" customWidth="1"/>
    <col min="18" max="18" width="24.5546875" style="1" customWidth="1"/>
    <col min="19" max="19" width="16.44140625" style="1" bestFit="1" customWidth="1"/>
    <col min="20" max="20" width="13.44140625" style="1" customWidth="1"/>
    <col min="21" max="24" width="15.44140625" style="1" customWidth="1"/>
    <col min="25" max="25" width="14.44140625" style="1" customWidth="1"/>
    <col min="26" max="26" width="15.109375" style="1" customWidth="1"/>
    <col min="27" max="31" width="18.44140625" style="1" customWidth="1"/>
    <col min="32" max="32" width="24" style="1" customWidth="1"/>
    <col min="33" max="33" width="18.44140625" style="1" customWidth="1"/>
    <col min="34" max="34" width="20.88671875" style="1" customWidth="1"/>
    <col min="35" max="35" width="13.88671875" style="1" customWidth="1"/>
    <col min="36" max="36" width="15" style="1" customWidth="1"/>
    <col min="37" max="37" width="16.44140625" style="1" customWidth="1"/>
    <col min="38" max="49" width="18.44140625" style="1" customWidth="1"/>
    <col min="50" max="72" width="0" style="1" hidden="1" customWidth="1"/>
    <col min="73" max="16384" width="18.44140625" style="1" hidden="1"/>
  </cols>
  <sheetData>
    <row r="1" spans="2:45" ht="14.4">
      <c r="D1" s="1"/>
      <c r="E1" s="1"/>
      <c r="F1" s="1"/>
      <c r="G1" s="1"/>
      <c r="H1" s="1"/>
      <c r="O1" s="1"/>
      <c r="S1" s="47" t="s">
        <v>196</v>
      </c>
      <c r="T1" s="48"/>
      <c r="U1" s="48"/>
      <c r="V1" s="48"/>
      <c r="W1" s="49"/>
      <c r="AM1" s="126" t="s">
        <v>197</v>
      </c>
      <c r="AN1" s="126"/>
      <c r="AO1" s="126"/>
      <c r="AP1" s="126"/>
      <c r="AQ1" s="126" t="s">
        <v>197</v>
      </c>
      <c r="AR1" s="126"/>
      <c r="AS1" s="126"/>
    </row>
    <row r="2" spans="2:45" ht="1.5" customHeight="1">
      <c r="D2" s="1"/>
      <c r="E2" s="1"/>
      <c r="F2" s="1"/>
      <c r="G2" s="1"/>
      <c r="H2" s="1"/>
      <c r="O2" s="1"/>
    </row>
    <row r="3" spans="2:45" ht="14.4">
      <c r="AM3" s="97"/>
      <c r="AN3" s="97"/>
      <c r="AO3" s="97"/>
      <c r="AP3" s="97"/>
      <c r="AQ3" s="97"/>
      <c r="AR3" s="97"/>
      <c r="AS3" s="97"/>
    </row>
    <row r="4" spans="2:45" ht="72" customHeight="1">
      <c r="D4" s="1"/>
      <c r="E4" s="1"/>
      <c r="F4" s="1"/>
      <c r="G4" s="1"/>
      <c r="H4" s="1"/>
      <c r="L4" s="20" t="s">
        <v>198</v>
      </c>
      <c r="M4" s="100"/>
      <c r="N4" s="19"/>
      <c r="O4" s="21" t="s">
        <v>199</v>
      </c>
      <c r="P4" s="18" t="s">
        <v>200</v>
      </c>
      <c r="Q4" s="18" t="s">
        <v>201</v>
      </c>
      <c r="S4" s="121" t="s">
        <v>202</v>
      </c>
      <c r="T4" s="122"/>
      <c r="U4" s="118" t="s">
        <v>203</v>
      </c>
      <c r="V4" s="119"/>
      <c r="W4" s="120"/>
      <c r="X4" s="118" t="s">
        <v>204</v>
      </c>
      <c r="Y4" s="119"/>
      <c r="Z4" s="120"/>
      <c r="AA4" s="123" t="s">
        <v>205</v>
      </c>
      <c r="AB4" s="124"/>
      <c r="AC4" s="123" t="s">
        <v>206</v>
      </c>
      <c r="AD4" s="125"/>
      <c r="AE4" s="124"/>
      <c r="AF4" s="129" t="s">
        <v>207</v>
      </c>
      <c r="AG4" s="130"/>
      <c r="AH4" s="130"/>
      <c r="AI4" s="129" t="s">
        <v>208</v>
      </c>
      <c r="AJ4" s="130"/>
      <c r="AK4" s="130"/>
      <c r="AL4" s="131"/>
      <c r="AM4" s="127" t="s">
        <v>209</v>
      </c>
      <c r="AN4" s="128"/>
      <c r="AO4" s="128"/>
      <c r="AP4" s="128"/>
      <c r="AQ4" s="127" t="s">
        <v>210</v>
      </c>
      <c r="AR4" s="128"/>
      <c r="AS4" s="128"/>
    </row>
    <row r="5" spans="2:45" ht="50.25" customHeight="1">
      <c r="B5" s="34" t="s">
        <v>211</v>
      </c>
      <c r="C5" s="34" t="s">
        <v>212</v>
      </c>
      <c r="D5" s="34" t="s">
        <v>213</v>
      </c>
      <c r="E5" s="34" t="s">
        <v>214</v>
      </c>
      <c r="F5" s="114" t="s">
        <v>215</v>
      </c>
      <c r="G5" s="114" t="s">
        <v>216</v>
      </c>
      <c r="H5" s="114" t="s">
        <v>217</v>
      </c>
      <c r="I5" s="34" t="s">
        <v>218</v>
      </c>
      <c r="J5" s="34" t="s">
        <v>219</v>
      </c>
      <c r="K5" s="34" t="s">
        <v>220</v>
      </c>
      <c r="L5" s="34" t="s">
        <v>221</v>
      </c>
      <c r="M5" s="101" t="s">
        <v>222</v>
      </c>
      <c r="N5" s="35" t="s">
        <v>223</v>
      </c>
      <c r="O5" s="34" t="s">
        <v>224</v>
      </c>
      <c r="P5" s="34" t="s">
        <v>225</v>
      </c>
      <c r="Q5" s="34" t="s">
        <v>226</v>
      </c>
      <c r="R5" s="36" t="s">
        <v>227</v>
      </c>
      <c r="S5" s="37" t="s">
        <v>228</v>
      </c>
      <c r="T5" s="37" t="s">
        <v>229</v>
      </c>
      <c r="U5" s="37" t="s">
        <v>230</v>
      </c>
      <c r="V5" s="37" t="s">
        <v>231</v>
      </c>
      <c r="W5" s="37" t="s">
        <v>232</v>
      </c>
      <c r="X5" s="37" t="s">
        <v>233</v>
      </c>
      <c r="Y5" s="37" t="s">
        <v>234</v>
      </c>
      <c r="Z5" s="37" t="s">
        <v>235</v>
      </c>
      <c r="AA5" s="37" t="s">
        <v>236</v>
      </c>
      <c r="AB5" s="37" t="s">
        <v>237</v>
      </c>
      <c r="AC5" s="37" t="s">
        <v>238</v>
      </c>
      <c r="AD5" s="37" t="s">
        <v>239</v>
      </c>
      <c r="AE5" s="37" t="s">
        <v>240</v>
      </c>
      <c r="AF5" s="37" t="s">
        <v>241</v>
      </c>
      <c r="AG5" s="37" t="s">
        <v>242</v>
      </c>
      <c r="AH5" s="37" t="s">
        <v>243</v>
      </c>
      <c r="AI5" s="37" t="s">
        <v>244</v>
      </c>
      <c r="AJ5" s="37" t="s">
        <v>245</v>
      </c>
      <c r="AK5" s="37" t="s">
        <v>246</v>
      </c>
      <c r="AL5" s="37" t="s">
        <v>247</v>
      </c>
      <c r="AM5" s="37" t="s">
        <v>248</v>
      </c>
      <c r="AN5" s="37" t="s">
        <v>249</v>
      </c>
      <c r="AO5" s="37" t="s">
        <v>250</v>
      </c>
      <c r="AP5" s="37" t="s">
        <v>251</v>
      </c>
      <c r="AQ5" s="37" t="s">
        <v>252</v>
      </c>
      <c r="AR5" s="37" t="s">
        <v>253</v>
      </c>
      <c r="AS5" s="37" t="s">
        <v>254</v>
      </c>
    </row>
    <row r="6" spans="2:45" ht="14.25" customHeight="1">
      <c r="B6" s="2">
        <f t="shared" ref="B6:B40" si="0">+ROW()-5</f>
        <v>1</v>
      </c>
      <c r="D6" s="113" t="s">
        <v>255</v>
      </c>
      <c r="E6" s="1"/>
      <c r="F6" s="115" t="s">
        <v>90</v>
      </c>
      <c r="G6" s="115" t="s">
        <v>256</v>
      </c>
      <c r="H6" s="116" t="s">
        <v>257</v>
      </c>
      <c r="J6" s="1" t="s">
        <v>258</v>
      </c>
      <c r="K6" s="14"/>
      <c r="M6" s="102"/>
      <c r="O6" s="3"/>
      <c r="P6" s="7"/>
      <c r="Q6" s="98"/>
      <c r="R6" s="4">
        <v>26376000</v>
      </c>
      <c r="S6" s="4"/>
      <c r="T6" s="4"/>
      <c r="U6" s="4"/>
      <c r="V6" s="4"/>
      <c r="W6" s="4"/>
      <c r="X6" s="4"/>
      <c r="Y6" s="4"/>
      <c r="Z6" s="4"/>
      <c r="AA6" s="7"/>
      <c r="AB6" s="7"/>
      <c r="AC6" s="7"/>
      <c r="AD6" s="7"/>
      <c r="AE6" s="7"/>
      <c r="AF6" s="5"/>
      <c r="AG6" s="5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</row>
    <row r="7" spans="2:45" ht="14.25" customHeight="1">
      <c r="B7" s="2">
        <f>+ROW()-5</f>
        <v>2</v>
      </c>
      <c r="D7" s="113" t="s">
        <v>259</v>
      </c>
      <c r="E7" s="1"/>
      <c r="F7" s="115" t="s">
        <v>90</v>
      </c>
      <c r="G7" s="115" t="s">
        <v>260</v>
      </c>
      <c r="H7" s="116" t="s">
        <v>261</v>
      </c>
      <c r="J7" s="1" t="s">
        <v>258</v>
      </c>
      <c r="K7" s="14"/>
      <c r="M7" s="102"/>
      <c r="O7" s="3"/>
      <c r="P7" s="7"/>
      <c r="Q7" s="98"/>
      <c r="R7" s="4">
        <v>20846000</v>
      </c>
      <c r="S7" s="4"/>
      <c r="T7" s="4"/>
      <c r="U7" s="4"/>
      <c r="V7" s="4"/>
      <c r="W7" s="4"/>
      <c r="X7" s="4"/>
      <c r="Y7" s="4"/>
      <c r="Z7" s="4"/>
      <c r="AA7" s="7"/>
      <c r="AB7" s="7"/>
      <c r="AC7" s="7"/>
      <c r="AD7" s="7"/>
      <c r="AE7" s="7"/>
      <c r="AF7" s="5"/>
      <c r="AG7" s="5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</row>
    <row r="8" spans="2:45" ht="14.25" customHeight="1">
      <c r="B8" s="2">
        <f>+ROW()-5</f>
        <v>3</v>
      </c>
      <c r="D8" s="113" t="s">
        <v>262</v>
      </c>
      <c r="E8" s="1"/>
      <c r="F8" s="115" t="s">
        <v>90</v>
      </c>
      <c r="G8" s="115" t="s">
        <v>263</v>
      </c>
      <c r="H8" s="116" t="s">
        <v>264</v>
      </c>
      <c r="J8" s="1" t="s">
        <v>258</v>
      </c>
      <c r="K8" s="14"/>
      <c r="M8" s="102"/>
      <c r="O8" s="3"/>
      <c r="P8" s="7"/>
      <c r="Q8" s="98"/>
      <c r="R8" s="4">
        <v>23937000</v>
      </c>
      <c r="S8" s="4"/>
      <c r="T8" s="4"/>
      <c r="U8" s="4"/>
      <c r="V8" s="4"/>
      <c r="W8" s="4"/>
      <c r="X8" s="4"/>
      <c r="Y8" s="4"/>
      <c r="Z8" s="4"/>
      <c r="AA8" s="7"/>
      <c r="AB8" s="7"/>
      <c r="AC8" s="7"/>
      <c r="AD8" s="7"/>
      <c r="AE8" s="7"/>
      <c r="AF8" s="5"/>
      <c r="AG8" s="5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</row>
    <row r="9" spans="2:45" ht="14.25" customHeight="1">
      <c r="B9" s="2">
        <f>+ROW()-5</f>
        <v>4</v>
      </c>
      <c r="D9" s="105" t="s">
        <v>265</v>
      </c>
      <c r="E9" s="1">
        <v>7</v>
      </c>
      <c r="F9" s="115" t="s">
        <v>124</v>
      </c>
      <c r="G9" s="115" t="s">
        <v>256</v>
      </c>
      <c r="H9" s="116" t="s">
        <v>266</v>
      </c>
      <c r="I9" s="1" t="s">
        <v>267</v>
      </c>
      <c r="J9" s="1" t="s">
        <v>268</v>
      </c>
      <c r="K9" s="14" t="s">
        <v>269</v>
      </c>
      <c r="L9" s="1" t="s">
        <v>270</v>
      </c>
      <c r="M9" s="102" t="s">
        <v>271</v>
      </c>
      <c r="O9" s="3" t="s">
        <v>272</v>
      </c>
      <c r="P9" s="7">
        <v>230</v>
      </c>
      <c r="Q9" s="98">
        <v>4.3499999999999997E-2</v>
      </c>
      <c r="R9" s="4">
        <v>4033000</v>
      </c>
      <c r="S9" s="4"/>
      <c r="T9" s="4"/>
      <c r="U9" s="4"/>
      <c r="V9" s="4"/>
      <c r="W9" s="4"/>
      <c r="X9" s="4"/>
      <c r="Y9" s="4"/>
      <c r="Z9" s="4"/>
      <c r="AA9" s="7"/>
      <c r="AB9" s="7"/>
      <c r="AC9" s="7"/>
      <c r="AD9" s="7"/>
      <c r="AE9" s="7"/>
      <c r="AF9" s="5"/>
      <c r="AG9" s="5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</row>
    <row r="10" spans="2:45" ht="14.25" customHeight="1">
      <c r="B10" s="2">
        <f t="shared" si="0"/>
        <v>5</v>
      </c>
      <c r="D10" s="1" t="s">
        <v>273</v>
      </c>
      <c r="E10" s="1">
        <v>1</v>
      </c>
      <c r="F10" s="115"/>
      <c r="G10" s="115"/>
      <c r="H10" s="116">
        <v>0</v>
      </c>
      <c r="I10" s="1" t="s">
        <v>267</v>
      </c>
      <c r="J10" s="1" t="s">
        <v>268</v>
      </c>
      <c r="K10" s="14" t="s">
        <v>274</v>
      </c>
      <c r="L10" s="1" t="s">
        <v>275</v>
      </c>
      <c r="M10" s="102" t="s">
        <v>276</v>
      </c>
      <c r="O10" s="3" t="s">
        <v>272</v>
      </c>
      <c r="P10" s="7">
        <v>230</v>
      </c>
      <c r="Q10" s="8">
        <v>43.5</v>
      </c>
      <c r="R10" s="4">
        <v>2602000</v>
      </c>
      <c r="S10" s="4"/>
      <c r="T10" s="4"/>
      <c r="U10" s="4"/>
      <c r="V10" s="4"/>
      <c r="W10" s="4"/>
      <c r="X10" s="4"/>
      <c r="Y10" s="4"/>
      <c r="Z10" s="4"/>
      <c r="AA10" s="7"/>
      <c r="AB10" s="7"/>
      <c r="AC10" s="7"/>
      <c r="AD10" s="7"/>
      <c r="AE10" s="7"/>
      <c r="AF10" s="5"/>
      <c r="AG10" s="5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</row>
    <row r="11" spans="2:45" ht="14.25" customHeight="1">
      <c r="B11" s="2">
        <f t="shared" si="0"/>
        <v>6</v>
      </c>
      <c r="D11" s="1" t="s">
        <v>277</v>
      </c>
      <c r="E11" s="1">
        <v>2</v>
      </c>
      <c r="F11" s="115"/>
      <c r="G11" s="115"/>
      <c r="H11" s="116">
        <v>0</v>
      </c>
      <c r="I11" s="1" t="s">
        <v>267</v>
      </c>
      <c r="J11" s="1" t="s">
        <v>268</v>
      </c>
      <c r="K11" s="14" t="s">
        <v>278</v>
      </c>
      <c r="L11" s="1" t="s">
        <v>279</v>
      </c>
      <c r="M11" s="102" t="s">
        <v>280</v>
      </c>
      <c r="O11" s="3" t="s">
        <v>272</v>
      </c>
      <c r="P11" s="7">
        <v>230</v>
      </c>
      <c r="Q11" s="107">
        <v>0.52200000000000002</v>
      </c>
      <c r="R11" s="4">
        <v>2404000</v>
      </c>
      <c r="S11" s="4"/>
      <c r="T11" s="4"/>
      <c r="U11" s="4"/>
      <c r="V11" s="4"/>
      <c r="W11" s="4"/>
      <c r="X11" s="4"/>
      <c r="Y11" s="4"/>
      <c r="Z11" s="4"/>
      <c r="AA11" s="7"/>
      <c r="AB11" s="7"/>
      <c r="AC11" s="7"/>
      <c r="AD11" s="7"/>
      <c r="AE11" s="7"/>
      <c r="AF11" s="5"/>
      <c r="AG11" s="5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</row>
    <row r="12" spans="2:45" ht="14.25" customHeight="1">
      <c r="B12" s="2">
        <f t="shared" si="0"/>
        <v>7</v>
      </c>
      <c r="D12" s="105" t="s">
        <v>281</v>
      </c>
      <c r="E12" s="1">
        <v>8</v>
      </c>
      <c r="F12" s="115"/>
      <c r="G12" s="115"/>
      <c r="H12" s="116" t="s">
        <v>282</v>
      </c>
      <c r="I12" s="1" t="s">
        <v>267</v>
      </c>
      <c r="J12" s="1" t="s">
        <v>268</v>
      </c>
      <c r="K12" s="1" t="s">
        <v>283</v>
      </c>
      <c r="L12" s="1" t="s">
        <v>284</v>
      </c>
      <c r="M12" s="102" t="s">
        <v>285</v>
      </c>
      <c r="O12" s="3" t="s">
        <v>272</v>
      </c>
      <c r="P12" s="7">
        <v>230</v>
      </c>
      <c r="Q12" s="98">
        <v>4.3499999999999997E-2</v>
      </c>
      <c r="R12" s="4">
        <v>4033000</v>
      </c>
      <c r="S12" s="4"/>
      <c r="T12" s="4"/>
      <c r="U12" s="4"/>
      <c r="V12" s="4"/>
      <c r="W12" s="4"/>
      <c r="X12" s="4"/>
      <c r="Y12" s="4"/>
      <c r="Z12" s="4"/>
      <c r="AA12" s="7"/>
      <c r="AB12" s="7"/>
      <c r="AC12" s="7"/>
      <c r="AD12" s="7"/>
      <c r="AE12" s="7"/>
      <c r="AF12" s="5"/>
      <c r="AG12" s="5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</row>
    <row r="13" spans="2:45" ht="14.25" customHeight="1">
      <c r="B13" s="2">
        <f t="shared" si="0"/>
        <v>8</v>
      </c>
      <c r="D13" s="1" t="s">
        <v>20</v>
      </c>
      <c r="E13" s="1">
        <v>1</v>
      </c>
      <c r="F13" s="115"/>
      <c r="G13" s="115"/>
      <c r="H13" s="116" t="s">
        <v>286</v>
      </c>
      <c r="I13" s="1" t="s">
        <v>267</v>
      </c>
      <c r="J13" s="1" t="s">
        <v>258</v>
      </c>
      <c r="K13" s="1" t="s">
        <v>287</v>
      </c>
      <c r="L13" s="1" t="s">
        <v>288</v>
      </c>
      <c r="M13" s="102" t="s">
        <v>289</v>
      </c>
      <c r="O13" s="3" t="s">
        <v>272</v>
      </c>
      <c r="P13" s="7">
        <v>230</v>
      </c>
      <c r="Q13" s="98">
        <v>5.2199999999999998E-3</v>
      </c>
      <c r="R13" s="4">
        <v>8714000</v>
      </c>
      <c r="S13" s="4"/>
      <c r="T13" s="4"/>
      <c r="U13" s="4"/>
      <c r="V13" s="4"/>
      <c r="W13" s="4"/>
      <c r="X13" s="4"/>
      <c r="Y13" s="4"/>
      <c r="Z13" s="4"/>
      <c r="AA13" s="7"/>
      <c r="AB13" s="8"/>
      <c r="AC13" s="7"/>
      <c r="AD13" s="7"/>
      <c r="AE13" s="7"/>
      <c r="AF13" s="5"/>
      <c r="AG13" s="5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</row>
    <row r="14" spans="2:45" ht="14.25" customHeight="1">
      <c r="B14" s="2">
        <f t="shared" si="0"/>
        <v>9</v>
      </c>
      <c r="D14" s="1" t="s">
        <v>290</v>
      </c>
      <c r="E14" s="1">
        <v>1</v>
      </c>
      <c r="F14" s="115"/>
      <c r="G14" s="115"/>
      <c r="H14" s="116" t="s">
        <v>291</v>
      </c>
      <c r="I14" s="1" t="s">
        <v>267</v>
      </c>
      <c r="J14" s="1" t="s">
        <v>268</v>
      </c>
      <c r="K14" s="1" t="s">
        <v>292</v>
      </c>
      <c r="L14" s="1" t="s">
        <v>293</v>
      </c>
      <c r="M14" s="102" t="s">
        <v>294</v>
      </c>
      <c r="O14" s="3" t="s">
        <v>272</v>
      </c>
      <c r="P14" s="7">
        <v>230</v>
      </c>
      <c r="Q14" s="98">
        <v>4.3499999999999997E-2</v>
      </c>
      <c r="R14" s="4">
        <v>7900000</v>
      </c>
      <c r="S14" s="9"/>
      <c r="T14" s="9"/>
      <c r="U14" s="9"/>
      <c r="V14" s="9"/>
      <c r="W14" s="9"/>
      <c r="X14" s="9"/>
      <c r="Y14" s="9"/>
      <c r="Z14" s="9"/>
      <c r="AA14" s="9"/>
      <c r="AB14" s="8"/>
      <c r="AC14" s="9"/>
      <c r="AD14" s="9"/>
      <c r="AE14" s="9"/>
      <c r="AF14" s="5"/>
      <c r="AG14" s="5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</row>
    <row r="15" spans="2:45" ht="14.25" customHeight="1">
      <c r="B15" s="2">
        <f t="shared" si="0"/>
        <v>10</v>
      </c>
      <c r="D15" s="1" t="s">
        <v>295</v>
      </c>
      <c r="E15" s="1">
        <v>1</v>
      </c>
      <c r="F15" s="115"/>
      <c r="G15" s="115"/>
      <c r="H15" s="116" t="s">
        <v>296</v>
      </c>
      <c r="I15" s="1" t="s">
        <v>267</v>
      </c>
      <c r="J15" s="1" t="s">
        <v>258</v>
      </c>
      <c r="K15" s="1" t="s">
        <v>292</v>
      </c>
      <c r="L15" s="1" t="s">
        <v>279</v>
      </c>
      <c r="M15" s="102" t="s">
        <v>297</v>
      </c>
      <c r="O15" s="3" t="s">
        <v>272</v>
      </c>
      <c r="P15" s="7">
        <v>230</v>
      </c>
      <c r="Q15" s="107">
        <v>0.52200000000000002</v>
      </c>
      <c r="R15" s="4">
        <v>11496000</v>
      </c>
      <c r="S15" s="4"/>
      <c r="T15" s="4"/>
      <c r="U15" s="4"/>
      <c r="V15" s="4"/>
      <c r="W15" s="4"/>
      <c r="X15" s="4"/>
      <c r="Y15" s="4"/>
      <c r="Z15" s="4"/>
      <c r="AA15" s="7"/>
      <c r="AB15" s="7"/>
      <c r="AC15" s="7"/>
      <c r="AD15" s="7"/>
      <c r="AE15" s="7"/>
      <c r="AF15" s="5"/>
      <c r="AG15" s="5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</row>
    <row r="16" spans="2:45" ht="13.2" customHeight="1">
      <c r="B16" s="2">
        <f t="shared" si="0"/>
        <v>11</v>
      </c>
      <c r="D16" s="1" t="s">
        <v>298</v>
      </c>
      <c r="E16" s="1">
        <v>1</v>
      </c>
      <c r="F16" s="115"/>
      <c r="G16" s="115"/>
      <c r="H16" s="116">
        <v>0</v>
      </c>
      <c r="I16" s="1" t="s">
        <v>267</v>
      </c>
      <c r="J16" s="1" t="s">
        <v>268</v>
      </c>
      <c r="K16" s="1" t="s">
        <v>292</v>
      </c>
      <c r="L16" s="1" t="s">
        <v>299</v>
      </c>
      <c r="M16" s="102" t="s">
        <v>300</v>
      </c>
      <c r="O16" s="3" t="s">
        <v>272</v>
      </c>
      <c r="P16" s="7">
        <v>230</v>
      </c>
      <c r="Q16" s="98">
        <v>4.3499999999999997E-2</v>
      </c>
      <c r="R16" s="4">
        <v>7900000</v>
      </c>
      <c r="S16" s="4"/>
      <c r="T16" s="4"/>
      <c r="U16" s="4"/>
      <c r="V16" s="4"/>
      <c r="W16" s="4"/>
      <c r="X16" s="4"/>
      <c r="Y16" s="4"/>
      <c r="Z16" s="4"/>
      <c r="AA16" s="7"/>
      <c r="AB16" s="7"/>
      <c r="AC16" s="7"/>
      <c r="AD16" s="7"/>
      <c r="AE16" s="7"/>
      <c r="AF16" s="5"/>
      <c r="AG16" s="5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</row>
    <row r="17" spans="2:45" ht="14.25" customHeight="1">
      <c r="B17" s="2">
        <f t="shared" si="0"/>
        <v>12</v>
      </c>
      <c r="D17" s="1" t="s">
        <v>301</v>
      </c>
      <c r="E17" s="1">
        <v>1</v>
      </c>
      <c r="F17" s="115"/>
      <c r="G17" s="115"/>
      <c r="H17" s="116" t="s">
        <v>302</v>
      </c>
      <c r="I17" s="1" t="s">
        <v>267</v>
      </c>
      <c r="J17" s="1" t="s">
        <v>258</v>
      </c>
      <c r="K17" s="1" t="s">
        <v>269</v>
      </c>
      <c r="L17" s="1" t="s">
        <v>270</v>
      </c>
      <c r="M17" s="102" t="s">
        <v>303</v>
      </c>
      <c r="O17" s="3" t="s">
        <v>272</v>
      </c>
      <c r="P17" s="7">
        <v>230</v>
      </c>
      <c r="Q17" s="98">
        <v>4.3499999999999997E-2</v>
      </c>
      <c r="R17" s="4">
        <v>4311000</v>
      </c>
      <c r="S17" s="4"/>
      <c r="T17" s="4"/>
      <c r="U17" s="4"/>
      <c r="V17" s="4"/>
      <c r="W17" s="4"/>
      <c r="X17" s="4"/>
      <c r="Y17" s="4"/>
      <c r="Z17" s="4"/>
      <c r="AA17" s="7"/>
      <c r="AB17" s="7"/>
      <c r="AC17" s="7"/>
      <c r="AD17" s="7"/>
      <c r="AE17" s="7"/>
      <c r="AF17" s="5"/>
      <c r="AG17" s="5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</row>
    <row r="18" spans="2:45" ht="14.25" customHeight="1">
      <c r="B18" s="2">
        <f t="shared" si="0"/>
        <v>13</v>
      </c>
      <c r="D18" s="105" t="s">
        <v>304</v>
      </c>
      <c r="E18" s="1">
        <v>5</v>
      </c>
      <c r="F18" s="115"/>
      <c r="G18" s="115"/>
      <c r="H18" s="116" t="s">
        <v>305</v>
      </c>
      <c r="I18" s="1" t="s">
        <v>267</v>
      </c>
      <c r="J18" s="1" t="s">
        <v>268</v>
      </c>
      <c r="K18" s="14" t="s">
        <v>274</v>
      </c>
      <c r="L18" s="1" t="s">
        <v>306</v>
      </c>
      <c r="M18" s="102" t="s">
        <v>307</v>
      </c>
      <c r="O18" s="3" t="s">
        <v>272</v>
      </c>
      <c r="P18" s="7">
        <v>230</v>
      </c>
      <c r="Q18" s="98">
        <v>4.3499999999999997E-2</v>
      </c>
      <c r="R18" s="4">
        <v>4033000</v>
      </c>
      <c r="S18" s="4"/>
      <c r="T18" s="4"/>
      <c r="U18" s="4"/>
      <c r="V18" s="4"/>
      <c r="W18" s="4"/>
      <c r="X18" s="4"/>
      <c r="Y18" s="4"/>
      <c r="Z18" s="4"/>
      <c r="AA18" s="7"/>
      <c r="AB18" s="7"/>
      <c r="AC18" s="7"/>
      <c r="AD18" s="7"/>
      <c r="AE18" s="7"/>
      <c r="AF18" s="5"/>
      <c r="AG18" s="5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</row>
    <row r="19" spans="2:45" ht="14.25" customHeight="1">
      <c r="B19" s="2">
        <f t="shared" si="0"/>
        <v>14</v>
      </c>
      <c r="D19" s="1" t="s">
        <v>308</v>
      </c>
      <c r="E19" s="1">
        <v>3</v>
      </c>
      <c r="F19" s="115"/>
      <c r="G19" s="115"/>
      <c r="H19" s="116">
        <v>0</v>
      </c>
      <c r="I19" s="1" t="s">
        <v>267</v>
      </c>
      <c r="J19" s="1" t="s">
        <v>268</v>
      </c>
      <c r="K19" s="14" t="s">
        <v>309</v>
      </c>
      <c r="L19" s="1" t="s">
        <v>310</v>
      </c>
      <c r="M19" s="102" t="s">
        <v>311</v>
      </c>
      <c r="O19" s="3" t="s">
        <v>272</v>
      </c>
      <c r="P19" s="7">
        <v>230</v>
      </c>
      <c r="Q19" s="107">
        <v>0.52200000000000002</v>
      </c>
      <c r="R19" s="4">
        <v>2156000</v>
      </c>
      <c r="S19" s="4"/>
      <c r="T19" s="4"/>
      <c r="U19" s="4"/>
      <c r="V19" s="4"/>
      <c r="W19" s="4"/>
      <c r="X19" s="4"/>
      <c r="Y19" s="4"/>
      <c r="Z19" s="4"/>
      <c r="AA19" s="7"/>
      <c r="AB19" s="8"/>
      <c r="AC19" s="7"/>
      <c r="AD19" s="7"/>
      <c r="AE19" s="7"/>
      <c r="AF19" s="5"/>
      <c r="AG19" s="5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</row>
    <row r="20" spans="2:45" ht="14.25" customHeight="1">
      <c r="B20" s="2">
        <f t="shared" si="0"/>
        <v>15</v>
      </c>
      <c r="D20" s="1" t="s">
        <v>312</v>
      </c>
      <c r="E20" s="1">
        <v>1</v>
      </c>
      <c r="F20" s="115"/>
      <c r="G20" s="115"/>
      <c r="H20" s="116">
        <v>0</v>
      </c>
      <c r="I20" s="1" t="s">
        <v>267</v>
      </c>
      <c r="J20" s="1" t="s">
        <v>268</v>
      </c>
      <c r="K20" s="14" t="s">
        <v>313</v>
      </c>
      <c r="L20" s="1" t="s">
        <v>314</v>
      </c>
      <c r="M20" s="102" t="s">
        <v>315</v>
      </c>
      <c r="O20" s="3" t="s">
        <v>272</v>
      </c>
      <c r="P20" s="7">
        <v>230</v>
      </c>
      <c r="Q20" s="98">
        <v>5.2199999999999998E-3</v>
      </c>
      <c r="R20" s="4">
        <v>1951000</v>
      </c>
      <c r="S20" s="4"/>
      <c r="T20" s="4"/>
      <c r="U20" s="4"/>
      <c r="V20" s="4"/>
      <c r="W20" s="4"/>
      <c r="X20" s="4"/>
      <c r="Y20" s="4"/>
      <c r="Z20" s="4"/>
      <c r="AA20" s="7"/>
      <c r="AB20" s="7"/>
      <c r="AC20" s="7"/>
      <c r="AD20" s="7"/>
      <c r="AE20" s="7"/>
      <c r="AF20" s="5"/>
      <c r="AG20" s="5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</row>
    <row r="21" spans="2:45" ht="14.25" customHeight="1">
      <c r="B21" s="2">
        <f t="shared" si="0"/>
        <v>16</v>
      </c>
      <c r="D21" s="1" t="s">
        <v>316</v>
      </c>
      <c r="E21" s="1">
        <v>1</v>
      </c>
      <c r="F21" s="115"/>
      <c r="G21" s="115"/>
      <c r="H21" s="116" t="s">
        <v>317</v>
      </c>
      <c r="I21" s="1" t="s">
        <v>267</v>
      </c>
      <c r="J21" s="1" t="s">
        <v>258</v>
      </c>
      <c r="K21" s="1" t="s">
        <v>318</v>
      </c>
      <c r="L21" s="1" t="s">
        <v>319</v>
      </c>
      <c r="M21" s="102" t="s">
        <v>320</v>
      </c>
      <c r="O21" s="3" t="s">
        <v>272</v>
      </c>
      <c r="P21" s="7">
        <v>231</v>
      </c>
      <c r="Q21" s="98">
        <v>5.2199999999999998E-3</v>
      </c>
      <c r="R21" s="4">
        <v>5748000</v>
      </c>
      <c r="S21" s="4"/>
      <c r="T21" s="4"/>
      <c r="U21" s="4"/>
      <c r="V21" s="4"/>
      <c r="W21" s="4"/>
      <c r="X21" s="4"/>
      <c r="Y21" s="4"/>
      <c r="Z21" s="4"/>
      <c r="AA21" s="7"/>
      <c r="AB21" s="8"/>
      <c r="AC21" s="7"/>
      <c r="AD21" s="7"/>
      <c r="AE21" s="7"/>
      <c r="AF21" s="5"/>
      <c r="AG21" s="5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</row>
    <row r="22" spans="2:45" ht="14.25" customHeight="1">
      <c r="B22" s="2">
        <f t="shared" si="0"/>
        <v>17</v>
      </c>
      <c r="D22" s="105" t="s">
        <v>321</v>
      </c>
      <c r="E22" s="1">
        <v>1</v>
      </c>
      <c r="F22" s="115"/>
      <c r="G22" s="115"/>
      <c r="H22" s="116" t="s">
        <v>322</v>
      </c>
      <c r="I22" s="1" t="s">
        <v>267</v>
      </c>
      <c r="J22" s="1" t="s">
        <v>258</v>
      </c>
      <c r="K22" s="1" t="s">
        <v>323</v>
      </c>
      <c r="L22" s="1" t="s">
        <v>279</v>
      </c>
      <c r="M22" s="102" t="s">
        <v>324</v>
      </c>
      <c r="O22" s="3" t="s">
        <v>272</v>
      </c>
      <c r="P22" s="7">
        <v>230</v>
      </c>
      <c r="Q22" s="107">
        <v>0.52200000000000002</v>
      </c>
      <c r="R22" s="4">
        <v>5119000</v>
      </c>
      <c r="S22" s="4"/>
      <c r="T22" s="4"/>
      <c r="U22" s="4"/>
      <c r="V22" s="4"/>
      <c r="W22" s="4"/>
      <c r="X22" s="4"/>
      <c r="Y22" s="4"/>
      <c r="Z22" s="4"/>
      <c r="AA22" s="7"/>
      <c r="AB22" s="8"/>
      <c r="AC22" s="7"/>
      <c r="AD22" s="7"/>
      <c r="AE22" s="7"/>
      <c r="AF22" s="5"/>
      <c r="AG22" s="5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</row>
    <row r="23" spans="2:45" ht="14.25" customHeight="1">
      <c r="B23" s="2">
        <f t="shared" si="0"/>
        <v>18</v>
      </c>
      <c r="D23" s="1" t="s">
        <v>325</v>
      </c>
      <c r="E23" s="1">
        <v>2</v>
      </c>
      <c r="F23" s="115"/>
      <c r="G23" s="115"/>
      <c r="H23" s="116">
        <v>0</v>
      </c>
      <c r="I23" s="1" t="s">
        <v>267</v>
      </c>
      <c r="J23" s="1" t="s">
        <v>258</v>
      </c>
      <c r="K23" s="1" t="s">
        <v>313</v>
      </c>
      <c r="L23" s="1" t="s">
        <v>314</v>
      </c>
      <c r="M23" s="102" t="s">
        <v>326</v>
      </c>
      <c r="O23" s="3" t="s">
        <v>272</v>
      </c>
      <c r="P23" s="7">
        <v>230</v>
      </c>
      <c r="Q23" s="98">
        <v>5.2199999999999998E-3</v>
      </c>
      <c r="R23" s="4">
        <v>2404000</v>
      </c>
      <c r="S23" s="4"/>
      <c r="T23" s="4"/>
      <c r="U23" s="4"/>
      <c r="V23" s="4"/>
      <c r="W23" s="4"/>
      <c r="X23" s="4"/>
      <c r="Y23" s="4"/>
      <c r="Z23" s="4"/>
      <c r="AA23" s="7"/>
      <c r="AB23" s="8"/>
      <c r="AC23" s="7"/>
      <c r="AD23" s="7"/>
      <c r="AE23" s="7"/>
      <c r="AF23" s="5"/>
      <c r="AG23" s="5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</row>
    <row r="24" spans="2:45" ht="14.25" customHeight="1">
      <c r="B24" s="2">
        <f t="shared" si="0"/>
        <v>19</v>
      </c>
      <c r="D24" s="1" t="s">
        <v>327</v>
      </c>
      <c r="E24" s="1">
        <v>2</v>
      </c>
      <c r="F24" s="115"/>
      <c r="G24" s="115"/>
      <c r="H24" s="116">
        <v>0</v>
      </c>
      <c r="I24" s="1" t="s">
        <v>267</v>
      </c>
      <c r="J24" s="1" t="s">
        <v>268</v>
      </c>
      <c r="K24" s="14" t="s">
        <v>328</v>
      </c>
      <c r="L24" s="1" t="s">
        <v>329</v>
      </c>
      <c r="M24" s="102" t="s">
        <v>330</v>
      </c>
      <c r="O24" s="3" t="s">
        <v>272</v>
      </c>
      <c r="P24" s="3"/>
      <c r="Q24" s="98">
        <v>4.3499999999999997E-2</v>
      </c>
      <c r="R24" s="4">
        <v>2404000</v>
      </c>
      <c r="S24" s="4"/>
      <c r="T24" s="4"/>
      <c r="U24" s="4"/>
      <c r="V24" s="4"/>
      <c r="W24" s="4"/>
      <c r="X24" s="4"/>
      <c r="Y24" s="4"/>
      <c r="Z24" s="4"/>
      <c r="AA24" s="7"/>
      <c r="AB24" s="8"/>
      <c r="AC24" s="7"/>
      <c r="AD24" s="7"/>
      <c r="AE24" s="7"/>
      <c r="AF24" s="5"/>
      <c r="AG24" s="5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</row>
    <row r="25" spans="2:45" ht="14.25" customHeight="1">
      <c r="B25" s="2">
        <f t="shared" si="0"/>
        <v>20</v>
      </c>
      <c r="D25" s="1" t="s">
        <v>331</v>
      </c>
      <c r="E25" s="1">
        <v>7</v>
      </c>
      <c r="F25" s="115"/>
      <c r="G25" s="115"/>
      <c r="H25" s="116"/>
      <c r="I25" s="1" t="s">
        <v>267</v>
      </c>
      <c r="J25" s="1" t="s">
        <v>268</v>
      </c>
      <c r="K25" s="1" t="s">
        <v>332</v>
      </c>
      <c r="L25" s="1" t="s">
        <v>299</v>
      </c>
      <c r="M25" s="102" t="s">
        <v>333</v>
      </c>
      <c r="O25" s="3" t="s">
        <v>272</v>
      </c>
      <c r="P25" s="7">
        <v>230</v>
      </c>
      <c r="Q25" s="98">
        <v>4.3499999999999997E-2</v>
      </c>
      <c r="R25" s="4">
        <v>3200000</v>
      </c>
      <c r="S25" s="4"/>
      <c r="T25" s="4"/>
      <c r="U25" s="4"/>
      <c r="V25" s="4"/>
      <c r="W25" s="4"/>
      <c r="X25" s="4"/>
      <c r="Y25" s="4"/>
      <c r="Z25" s="4"/>
      <c r="AA25" s="7"/>
      <c r="AB25" s="8"/>
      <c r="AC25" s="7"/>
      <c r="AD25" s="7"/>
      <c r="AE25" s="7"/>
      <c r="AF25" s="5"/>
      <c r="AG25" s="5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</row>
    <row r="26" spans="2:45" ht="14.25" customHeight="1">
      <c r="B26" s="2">
        <f t="shared" si="0"/>
        <v>21</v>
      </c>
      <c r="D26" s="1" t="s">
        <v>334</v>
      </c>
      <c r="E26" s="1">
        <v>3</v>
      </c>
      <c r="F26" s="115"/>
      <c r="G26" s="115"/>
      <c r="H26" s="116"/>
      <c r="I26" s="1" t="s">
        <v>267</v>
      </c>
      <c r="J26" s="1" t="s">
        <v>258</v>
      </c>
      <c r="K26" s="1" t="s">
        <v>335</v>
      </c>
      <c r="L26" s="1" t="s">
        <v>336</v>
      </c>
      <c r="M26" s="102" t="s">
        <v>337</v>
      </c>
      <c r="O26" s="3" t="s">
        <v>272</v>
      </c>
      <c r="P26" s="7">
        <v>230</v>
      </c>
      <c r="Q26" s="98">
        <v>5.2199999999999998E-3</v>
      </c>
      <c r="R26" s="4">
        <v>2395000</v>
      </c>
      <c r="S26" s="4"/>
      <c r="T26" s="4"/>
      <c r="U26" s="4"/>
      <c r="V26" s="4"/>
      <c r="W26" s="4"/>
      <c r="X26" s="4"/>
      <c r="Y26" s="4"/>
      <c r="Z26" s="4"/>
      <c r="AA26" s="7"/>
      <c r="AB26" s="8"/>
      <c r="AC26" s="7"/>
      <c r="AD26" s="7"/>
      <c r="AE26" s="7"/>
      <c r="AF26" s="5"/>
      <c r="AG26" s="5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</row>
    <row r="27" spans="2:45" ht="14.25" customHeight="1">
      <c r="B27" s="2">
        <f t="shared" si="0"/>
        <v>22</v>
      </c>
      <c r="D27" s="1" t="s">
        <v>338</v>
      </c>
      <c r="E27" s="1">
        <v>7</v>
      </c>
      <c r="F27" s="115"/>
      <c r="G27" s="115"/>
      <c r="H27" s="116"/>
      <c r="I27" s="1" t="s">
        <v>267</v>
      </c>
      <c r="J27" s="1" t="s">
        <v>268</v>
      </c>
      <c r="K27" s="1" t="s">
        <v>339</v>
      </c>
      <c r="L27" s="1" t="s">
        <v>279</v>
      </c>
      <c r="M27" s="102" t="s">
        <v>340</v>
      </c>
      <c r="O27" s="3" t="s">
        <v>272</v>
      </c>
      <c r="P27" s="7">
        <v>230</v>
      </c>
      <c r="Q27" s="98"/>
      <c r="R27" s="4">
        <v>2050000</v>
      </c>
      <c r="S27" s="4"/>
      <c r="T27" s="4"/>
      <c r="U27" s="4"/>
      <c r="V27" s="4"/>
      <c r="W27" s="4"/>
      <c r="X27" s="4"/>
      <c r="Y27" s="4"/>
      <c r="Z27" s="4"/>
      <c r="AA27" s="7"/>
      <c r="AB27" s="8"/>
      <c r="AC27" s="7"/>
      <c r="AD27" s="7"/>
      <c r="AE27" s="7"/>
      <c r="AF27" s="5"/>
      <c r="AG27" s="5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</row>
    <row r="28" spans="2:45" ht="14.25" customHeight="1">
      <c r="B28" s="2">
        <f t="shared" si="0"/>
        <v>23</v>
      </c>
      <c r="D28" s="1" t="s">
        <v>341</v>
      </c>
      <c r="E28" s="1">
        <v>1</v>
      </c>
      <c r="F28" s="115"/>
      <c r="G28" s="115"/>
      <c r="H28" s="116">
        <v>0</v>
      </c>
      <c r="I28" s="1" t="s">
        <v>267</v>
      </c>
      <c r="J28" s="1" t="s">
        <v>258</v>
      </c>
      <c r="K28" s="1" t="s">
        <v>342</v>
      </c>
      <c r="L28" s="1" t="s">
        <v>319</v>
      </c>
      <c r="M28" s="102" t="s">
        <v>343</v>
      </c>
      <c r="O28" s="3" t="s">
        <v>272</v>
      </c>
      <c r="P28" s="7">
        <v>230</v>
      </c>
      <c r="Q28" s="106">
        <v>5.2199999999999998E-3</v>
      </c>
      <c r="R28" s="4">
        <v>2645000</v>
      </c>
      <c r="S28" s="4"/>
      <c r="T28" s="4"/>
      <c r="U28" s="4"/>
      <c r="V28" s="4"/>
      <c r="W28" s="4"/>
      <c r="X28" s="4"/>
      <c r="Y28" s="4"/>
      <c r="Z28" s="4"/>
      <c r="AA28" s="7"/>
      <c r="AB28" s="8"/>
      <c r="AC28" s="7"/>
      <c r="AD28" s="7"/>
      <c r="AE28" s="7"/>
      <c r="AF28" s="5"/>
      <c r="AG28" s="5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</row>
    <row r="29" spans="2:45" ht="14.25" customHeight="1">
      <c r="B29" s="2">
        <f t="shared" si="0"/>
        <v>24</v>
      </c>
      <c r="D29" s="105" t="s">
        <v>344</v>
      </c>
      <c r="E29" s="1">
        <v>1</v>
      </c>
      <c r="F29" s="115"/>
      <c r="G29" s="115"/>
      <c r="H29" s="116">
        <v>0</v>
      </c>
      <c r="I29" s="1" t="s">
        <v>267</v>
      </c>
      <c r="J29" s="1" t="s">
        <v>258</v>
      </c>
      <c r="K29" s="1" t="s">
        <v>345</v>
      </c>
      <c r="L29" s="1" t="s">
        <v>346</v>
      </c>
      <c r="M29" s="102" t="s">
        <v>347</v>
      </c>
      <c r="O29" s="3" t="s">
        <v>272</v>
      </c>
      <c r="P29" s="7">
        <v>230</v>
      </c>
      <c r="Q29" s="98">
        <v>5.2199999999999998E-3</v>
      </c>
      <c r="R29" s="4">
        <v>2404000</v>
      </c>
      <c r="S29" s="4"/>
      <c r="T29" s="4"/>
      <c r="U29" s="4"/>
      <c r="V29" s="4"/>
      <c r="W29" s="4"/>
      <c r="X29" s="4"/>
      <c r="Y29" s="4"/>
      <c r="Z29" s="4"/>
      <c r="AA29" s="7"/>
      <c r="AB29" s="8"/>
      <c r="AC29" s="7"/>
      <c r="AD29" s="7"/>
      <c r="AE29" s="7"/>
      <c r="AF29" s="5"/>
      <c r="AG29" s="5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</row>
    <row r="30" spans="2:45" ht="14.25" customHeight="1">
      <c r="B30" s="2">
        <f t="shared" si="0"/>
        <v>25</v>
      </c>
      <c r="D30" s="1" t="s">
        <v>348</v>
      </c>
      <c r="E30" s="1">
        <v>1</v>
      </c>
      <c r="F30" s="115"/>
      <c r="G30" s="115"/>
      <c r="H30" s="116"/>
      <c r="I30" s="1" t="s">
        <v>267</v>
      </c>
      <c r="J30" s="1" t="s">
        <v>258</v>
      </c>
      <c r="K30" s="1" t="s">
        <v>345</v>
      </c>
      <c r="L30" s="1" t="s">
        <v>346</v>
      </c>
      <c r="M30" s="102" t="s">
        <v>349</v>
      </c>
      <c r="O30" s="3" t="s">
        <v>272</v>
      </c>
      <c r="P30" s="7">
        <v>230</v>
      </c>
      <c r="Q30" s="98">
        <v>5.2199999999999998E-3</v>
      </c>
      <c r="R30" s="4">
        <v>4734000</v>
      </c>
      <c r="S30" s="4"/>
      <c r="T30" s="4"/>
      <c r="U30" s="4"/>
      <c r="V30" s="4"/>
      <c r="W30" s="4"/>
      <c r="X30" s="4"/>
      <c r="Y30" s="4"/>
      <c r="Z30" s="4"/>
      <c r="AA30" s="7"/>
      <c r="AB30" s="8"/>
      <c r="AC30" s="7"/>
      <c r="AD30" s="7"/>
      <c r="AE30" s="7"/>
      <c r="AF30" s="5"/>
      <c r="AG30" s="5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</row>
    <row r="31" spans="2:45" ht="14.25" customHeight="1">
      <c r="B31" s="2">
        <f t="shared" si="0"/>
        <v>26</v>
      </c>
      <c r="D31" s="1" t="s">
        <v>350</v>
      </c>
      <c r="E31" s="1">
        <v>4</v>
      </c>
      <c r="F31" s="115"/>
      <c r="G31" s="115"/>
      <c r="H31" s="116">
        <v>0</v>
      </c>
      <c r="I31" s="1" t="s">
        <v>267</v>
      </c>
      <c r="J31" s="1" t="s">
        <v>268</v>
      </c>
      <c r="K31" s="1" t="s">
        <v>351</v>
      </c>
      <c r="L31" s="1" t="s">
        <v>352</v>
      </c>
      <c r="M31" s="102" t="s">
        <v>353</v>
      </c>
      <c r="O31" s="3" t="s">
        <v>272</v>
      </c>
      <c r="P31" s="7">
        <v>230</v>
      </c>
      <c r="Q31" s="98">
        <v>4.3499999999999997E-2</v>
      </c>
      <c r="R31" s="4">
        <v>2404000</v>
      </c>
      <c r="S31" s="4"/>
      <c r="T31" s="4"/>
      <c r="U31" s="4"/>
      <c r="V31" s="4"/>
      <c r="W31" s="4"/>
      <c r="X31" s="4"/>
      <c r="Y31" s="4"/>
      <c r="Z31" s="4"/>
      <c r="AA31" s="7"/>
      <c r="AB31" s="8"/>
      <c r="AC31" s="7"/>
      <c r="AD31" s="7"/>
      <c r="AE31" s="7"/>
      <c r="AF31" s="5"/>
      <c r="AG31" s="5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</row>
    <row r="32" spans="2:45" ht="14.25" customHeight="1">
      <c r="B32" s="2">
        <f t="shared" si="0"/>
        <v>27</v>
      </c>
      <c r="D32" s="1" t="s">
        <v>354</v>
      </c>
      <c r="E32" s="1">
        <v>1</v>
      </c>
      <c r="F32" s="115"/>
      <c r="G32" s="115"/>
      <c r="H32" s="116">
        <v>0</v>
      </c>
      <c r="I32" s="1" t="s">
        <v>267</v>
      </c>
      <c r="J32" s="1" t="s">
        <v>268</v>
      </c>
      <c r="K32" s="14" t="s">
        <v>274</v>
      </c>
      <c r="L32" s="1" t="s">
        <v>275</v>
      </c>
      <c r="M32" s="102" t="s">
        <v>355</v>
      </c>
      <c r="O32" s="3" t="s">
        <v>272</v>
      </c>
      <c r="P32" s="7">
        <v>230</v>
      </c>
      <c r="Q32" s="3">
        <v>0.52200000000000002</v>
      </c>
      <c r="R32" s="4">
        <v>2404000</v>
      </c>
      <c r="S32" s="4"/>
      <c r="T32" s="4"/>
      <c r="U32" s="4"/>
      <c r="V32" s="4"/>
      <c r="W32" s="4"/>
      <c r="X32" s="4"/>
      <c r="Y32" s="4"/>
      <c r="Z32" s="4"/>
      <c r="AA32" s="7"/>
      <c r="AB32" s="8"/>
      <c r="AC32" s="7"/>
      <c r="AD32" s="7"/>
      <c r="AE32" s="7"/>
      <c r="AF32" s="5"/>
      <c r="AG32" s="5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</row>
    <row r="33" spans="2:45" ht="14.25" customHeight="1">
      <c r="B33" s="2">
        <f t="shared" si="0"/>
        <v>28</v>
      </c>
      <c r="D33" s="1" t="s">
        <v>356</v>
      </c>
      <c r="E33" s="1">
        <v>1</v>
      </c>
      <c r="F33" s="115"/>
      <c r="G33" s="115"/>
      <c r="H33" s="116">
        <v>0</v>
      </c>
      <c r="I33" s="1" t="s">
        <v>267</v>
      </c>
      <c r="J33" s="1" t="s">
        <v>258</v>
      </c>
      <c r="K33" s="1" t="s">
        <v>357</v>
      </c>
      <c r="L33" s="1" t="s">
        <v>358</v>
      </c>
      <c r="M33" s="102" t="s">
        <v>359</v>
      </c>
      <c r="O33" s="3" t="s">
        <v>272</v>
      </c>
      <c r="P33" s="3"/>
      <c r="Q33" s="3"/>
      <c r="R33" s="4">
        <v>2285000</v>
      </c>
      <c r="S33" s="4"/>
      <c r="T33" s="4"/>
      <c r="U33" s="4"/>
      <c r="V33" s="4"/>
      <c r="W33" s="4"/>
      <c r="X33" s="4"/>
      <c r="Y33" s="4"/>
      <c r="Z33" s="4"/>
      <c r="AA33" s="7"/>
      <c r="AB33" s="8"/>
      <c r="AC33" s="7"/>
      <c r="AD33" s="7"/>
      <c r="AE33" s="7"/>
      <c r="AF33" s="5"/>
      <c r="AG33" s="5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</row>
    <row r="34" spans="2:45" ht="14.25" customHeight="1">
      <c r="B34" s="2">
        <f t="shared" si="0"/>
        <v>29</v>
      </c>
      <c r="D34" s="1" t="s">
        <v>360</v>
      </c>
      <c r="E34" s="1">
        <v>2</v>
      </c>
      <c r="F34" s="115"/>
      <c r="G34" s="115"/>
      <c r="H34" s="116">
        <v>0</v>
      </c>
      <c r="I34" s="1" t="s">
        <v>267</v>
      </c>
      <c r="J34" s="1" t="s">
        <v>258</v>
      </c>
      <c r="K34" s="1" t="s">
        <v>361</v>
      </c>
      <c r="L34" s="1" t="s">
        <v>279</v>
      </c>
      <c r="M34" s="102" t="s">
        <v>362</v>
      </c>
      <c r="O34" s="3" t="s">
        <v>272</v>
      </c>
      <c r="P34" s="3" t="s">
        <v>272</v>
      </c>
      <c r="Q34" s="107">
        <v>0.52200000000000002</v>
      </c>
      <c r="R34" s="7">
        <v>2404000</v>
      </c>
      <c r="S34" s="7"/>
      <c r="T34" s="7"/>
      <c r="U34" s="7"/>
      <c r="V34" s="7"/>
      <c r="W34" s="7"/>
      <c r="X34" s="7"/>
      <c r="Y34" s="7"/>
      <c r="Z34" s="7"/>
      <c r="AA34" s="7"/>
      <c r="AB34" s="8"/>
      <c r="AC34" s="7"/>
      <c r="AD34" s="7"/>
      <c r="AE34" s="7"/>
      <c r="AF34" s="5"/>
      <c r="AG34" s="5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</row>
    <row r="35" spans="2:45" ht="14.25" customHeight="1">
      <c r="B35" s="2">
        <f t="shared" si="0"/>
        <v>30</v>
      </c>
      <c r="D35" s="104" t="s">
        <v>363</v>
      </c>
      <c r="E35" s="1">
        <v>1</v>
      </c>
      <c r="F35" s="115"/>
      <c r="G35" s="115"/>
      <c r="H35" s="116">
        <v>0</v>
      </c>
      <c r="I35" s="1" t="s">
        <v>267</v>
      </c>
      <c r="J35" s="1" t="s">
        <v>258</v>
      </c>
      <c r="K35" s="1" t="s">
        <v>364</v>
      </c>
      <c r="L35" s="1" t="s">
        <v>336</v>
      </c>
      <c r="M35" s="102" t="s">
        <v>365</v>
      </c>
      <c r="O35" s="3" t="s">
        <v>272</v>
      </c>
      <c r="P35" s="3"/>
      <c r="Q35" s="3"/>
      <c r="R35" s="9">
        <v>2500000</v>
      </c>
      <c r="S35" s="9"/>
      <c r="T35" s="9"/>
      <c r="U35" s="9"/>
      <c r="V35" s="9"/>
      <c r="W35" s="9"/>
      <c r="X35" s="9"/>
      <c r="Y35" s="9"/>
      <c r="Z35" s="9"/>
      <c r="AA35" s="9"/>
      <c r="AB35" s="8"/>
      <c r="AC35" s="9"/>
      <c r="AD35" s="9"/>
      <c r="AE35" s="9"/>
      <c r="AF35" s="5"/>
      <c r="AG35" s="5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</row>
    <row r="36" spans="2:45" ht="14.25" customHeight="1">
      <c r="B36" s="2">
        <f t="shared" si="0"/>
        <v>31</v>
      </c>
      <c r="D36" s="104" t="s">
        <v>366</v>
      </c>
      <c r="E36" s="1">
        <v>1</v>
      </c>
      <c r="F36" s="115"/>
      <c r="G36" s="115"/>
      <c r="H36" s="116">
        <v>0</v>
      </c>
      <c r="I36" s="1" t="s">
        <v>267</v>
      </c>
      <c r="J36" s="1" t="s">
        <v>268</v>
      </c>
      <c r="K36" s="1" t="s">
        <v>367</v>
      </c>
      <c r="L36" s="1" t="s">
        <v>368</v>
      </c>
      <c r="M36" s="102" t="s">
        <v>369</v>
      </c>
      <c r="O36" s="3" t="s">
        <v>272</v>
      </c>
      <c r="P36" s="7">
        <v>230</v>
      </c>
      <c r="Q36" s="8">
        <v>43.5</v>
      </c>
      <c r="R36" s="9">
        <v>2404000</v>
      </c>
      <c r="S36" s="9"/>
      <c r="T36" s="9"/>
      <c r="U36" s="9"/>
      <c r="V36" s="9"/>
      <c r="W36" s="9"/>
      <c r="X36" s="9"/>
      <c r="Y36" s="9"/>
      <c r="Z36" s="9"/>
      <c r="AA36" s="9"/>
      <c r="AB36" s="8"/>
      <c r="AC36" s="9"/>
      <c r="AD36" s="9"/>
      <c r="AE36" s="9"/>
      <c r="AF36" s="5"/>
      <c r="AG36" s="5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</row>
    <row r="37" spans="2:45" ht="14.25" customHeight="1">
      <c r="B37" s="2">
        <f t="shared" si="0"/>
        <v>32</v>
      </c>
      <c r="D37" s="1" t="s">
        <v>370</v>
      </c>
      <c r="E37" s="1">
        <v>1</v>
      </c>
      <c r="F37" s="115"/>
      <c r="G37" s="115"/>
      <c r="H37" s="116">
        <v>0</v>
      </c>
      <c r="I37" s="1" t="s">
        <v>267</v>
      </c>
      <c r="J37" s="1" t="s">
        <v>258</v>
      </c>
      <c r="K37" s="1" t="s">
        <v>371</v>
      </c>
      <c r="L37" s="1" t="s">
        <v>372</v>
      </c>
      <c r="M37" s="102" t="s">
        <v>373</v>
      </c>
      <c r="O37" s="3" t="s">
        <v>272</v>
      </c>
      <c r="P37" s="7">
        <v>230</v>
      </c>
      <c r="Q37" s="98">
        <v>5.2199999999999998E-3</v>
      </c>
      <c r="R37" s="4">
        <v>2404000</v>
      </c>
      <c r="S37" s="4"/>
      <c r="T37" s="4"/>
      <c r="U37" s="4"/>
      <c r="V37" s="4"/>
      <c r="W37" s="4"/>
      <c r="X37" s="4"/>
      <c r="Y37" s="4"/>
      <c r="Z37" s="4"/>
      <c r="AA37" s="7"/>
      <c r="AB37" s="8"/>
      <c r="AC37" s="7"/>
      <c r="AD37" s="7"/>
      <c r="AE37" s="7"/>
      <c r="AF37" s="5"/>
      <c r="AG37" s="5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</row>
    <row r="38" spans="2:45" ht="14.25" customHeight="1">
      <c r="B38" s="2">
        <f t="shared" si="0"/>
        <v>33</v>
      </c>
      <c r="D38" s="1" t="s">
        <v>374</v>
      </c>
      <c r="E38" s="1">
        <v>1</v>
      </c>
      <c r="F38" s="115"/>
      <c r="G38" s="115"/>
      <c r="H38" s="116">
        <v>0</v>
      </c>
      <c r="I38" s="1" t="s">
        <v>267</v>
      </c>
      <c r="J38" s="1" t="s">
        <v>268</v>
      </c>
      <c r="K38" s="1" t="s">
        <v>283</v>
      </c>
      <c r="L38" s="1" t="s">
        <v>284</v>
      </c>
      <c r="M38" s="102" t="s">
        <v>375</v>
      </c>
      <c r="O38" s="3" t="s">
        <v>272</v>
      </c>
      <c r="P38" s="7">
        <v>230</v>
      </c>
      <c r="Q38" s="98">
        <v>4.3499999999999997E-2</v>
      </c>
      <c r="R38" s="4">
        <v>2404000</v>
      </c>
      <c r="S38" s="4"/>
      <c r="T38" s="4"/>
      <c r="U38" s="4"/>
      <c r="V38" s="4"/>
      <c r="W38" s="4"/>
      <c r="X38" s="4"/>
      <c r="Y38" s="4"/>
      <c r="Z38" s="4"/>
      <c r="AA38" s="7"/>
      <c r="AB38" s="8"/>
      <c r="AC38" s="7"/>
      <c r="AD38" s="7"/>
      <c r="AE38" s="7"/>
      <c r="AF38" s="5"/>
      <c r="AG38" s="5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</row>
    <row r="39" spans="2:45" ht="14.25" customHeight="1">
      <c r="B39" s="2">
        <f t="shared" si="0"/>
        <v>34</v>
      </c>
      <c r="D39" s="1" t="s">
        <v>376</v>
      </c>
      <c r="E39" s="1">
        <v>1</v>
      </c>
      <c r="F39" s="115"/>
      <c r="G39" s="115"/>
      <c r="H39" s="116">
        <v>0</v>
      </c>
      <c r="I39" s="1" t="s">
        <v>267</v>
      </c>
      <c r="J39" s="1" t="s">
        <v>268</v>
      </c>
      <c r="K39" s="1" t="s">
        <v>377</v>
      </c>
      <c r="L39" s="1" t="s">
        <v>275</v>
      </c>
      <c r="M39" s="102" t="s">
        <v>378</v>
      </c>
      <c r="O39" s="3" t="s">
        <v>272</v>
      </c>
      <c r="P39" s="7">
        <v>230</v>
      </c>
      <c r="Q39" s="8">
        <v>43.5</v>
      </c>
      <c r="R39" s="4">
        <v>2404000</v>
      </c>
      <c r="S39" s="4"/>
      <c r="T39" s="4"/>
      <c r="U39" s="4"/>
      <c r="V39" s="4"/>
      <c r="W39" s="4"/>
      <c r="X39" s="4"/>
      <c r="Y39" s="4"/>
      <c r="Z39" s="4"/>
      <c r="AA39" s="7"/>
      <c r="AB39" s="8"/>
      <c r="AC39" s="7"/>
      <c r="AD39" s="7"/>
      <c r="AE39" s="7"/>
      <c r="AF39" s="5"/>
      <c r="AG39" s="5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</row>
    <row r="40" spans="2:45" ht="14.25" customHeight="1">
      <c r="B40" s="2">
        <f t="shared" si="0"/>
        <v>35</v>
      </c>
      <c r="C40" s="41"/>
      <c r="D40" s="41" t="s">
        <v>379</v>
      </c>
      <c r="E40" s="41">
        <v>3</v>
      </c>
      <c r="F40" s="115"/>
      <c r="G40" s="115"/>
      <c r="H40" s="116">
        <v>0</v>
      </c>
      <c r="I40" s="1" t="s">
        <v>267</v>
      </c>
      <c r="J40" s="41" t="s">
        <v>268</v>
      </c>
      <c r="K40" s="41" t="s">
        <v>380</v>
      </c>
      <c r="L40" s="41" t="s">
        <v>381</v>
      </c>
      <c r="M40" s="109" t="s">
        <v>382</v>
      </c>
      <c r="N40" s="41"/>
      <c r="O40" s="42" t="s">
        <v>272</v>
      </c>
      <c r="P40" s="44">
        <v>230</v>
      </c>
      <c r="Q40" s="8">
        <v>43.5</v>
      </c>
      <c r="R40" s="43">
        <v>2404000</v>
      </c>
      <c r="S40" s="43"/>
      <c r="T40" s="43"/>
      <c r="U40" s="43"/>
      <c r="V40" s="43"/>
      <c r="W40" s="43"/>
      <c r="X40" s="43"/>
      <c r="Y40" s="43"/>
      <c r="Z40" s="43"/>
      <c r="AA40" s="44"/>
      <c r="AB40" s="45"/>
      <c r="AC40" s="44"/>
      <c r="AD40" s="44"/>
      <c r="AE40" s="44"/>
      <c r="AF40" s="46"/>
      <c r="AG40" s="46"/>
      <c r="AH40" s="44"/>
      <c r="AI40" s="44"/>
      <c r="AJ40" s="44"/>
      <c r="AK40" s="44"/>
      <c r="AL40" s="44"/>
      <c r="AM40" s="44"/>
      <c r="AN40" s="44"/>
      <c r="AO40" s="44"/>
      <c r="AP40" s="44"/>
      <c r="AQ40" s="44"/>
      <c r="AR40" s="44"/>
      <c r="AS40" s="44"/>
    </row>
    <row r="41" spans="2:45" ht="14.25" customHeight="1">
      <c r="B41" s="2">
        <f t="shared" ref="B41:B72" si="1">+ROW()-5</f>
        <v>36</v>
      </c>
      <c r="D41" s="1" t="s">
        <v>383</v>
      </c>
      <c r="E41" s="1">
        <v>1</v>
      </c>
      <c r="F41" s="115"/>
      <c r="G41" s="115"/>
      <c r="H41" s="116">
        <v>0</v>
      </c>
      <c r="I41" s="1" t="s">
        <v>267</v>
      </c>
      <c r="J41" s="1" t="s">
        <v>268</v>
      </c>
      <c r="K41" s="1" t="s">
        <v>361</v>
      </c>
      <c r="L41" s="1" t="s">
        <v>384</v>
      </c>
      <c r="O41" s="3" t="s">
        <v>272</v>
      </c>
      <c r="P41" s="3"/>
      <c r="Q41" s="8">
        <v>43.5</v>
      </c>
      <c r="R41" s="4">
        <v>2404000</v>
      </c>
      <c r="S41" s="4"/>
      <c r="T41" s="4"/>
      <c r="U41" s="4"/>
      <c r="V41" s="4"/>
      <c r="W41" s="4"/>
      <c r="X41" s="4"/>
      <c r="Y41" s="4"/>
      <c r="Z41" s="4"/>
      <c r="AA41" s="5"/>
      <c r="AB41" s="6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</row>
    <row r="42" spans="2:45" ht="14.25" customHeight="1">
      <c r="B42" s="2">
        <f t="shared" si="1"/>
        <v>37</v>
      </c>
      <c r="D42" s="1" t="s">
        <v>385</v>
      </c>
      <c r="E42" s="1">
        <v>1</v>
      </c>
      <c r="F42" s="115"/>
      <c r="G42" s="115"/>
      <c r="H42" s="116">
        <v>0</v>
      </c>
      <c r="I42" s="1" t="s">
        <v>267</v>
      </c>
      <c r="J42" s="1" t="s">
        <v>268</v>
      </c>
      <c r="K42" s="14" t="s">
        <v>274</v>
      </c>
      <c r="L42" s="1" t="s">
        <v>275</v>
      </c>
      <c r="M42" s="102" t="s">
        <v>386</v>
      </c>
      <c r="O42" s="3" t="s">
        <v>272</v>
      </c>
      <c r="P42" s="7">
        <v>230</v>
      </c>
      <c r="Q42" s="8">
        <v>43.5</v>
      </c>
      <c r="R42" s="4">
        <v>1951000</v>
      </c>
      <c r="S42" s="4"/>
      <c r="T42" s="4"/>
      <c r="U42" s="4"/>
      <c r="V42" s="4"/>
      <c r="W42" s="4"/>
      <c r="X42" s="4"/>
      <c r="Y42" s="4"/>
      <c r="Z42" s="4"/>
      <c r="AA42" s="7"/>
      <c r="AB42" s="7"/>
      <c r="AC42" s="7"/>
      <c r="AD42" s="7"/>
      <c r="AE42" s="7"/>
      <c r="AF42" s="5"/>
      <c r="AG42" s="5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</row>
    <row r="43" spans="2:45" ht="14.25" customHeight="1">
      <c r="B43" s="2">
        <f t="shared" si="1"/>
        <v>38</v>
      </c>
      <c r="D43" s="1" t="s">
        <v>387</v>
      </c>
      <c r="E43" s="1">
        <v>2</v>
      </c>
      <c r="F43" s="115"/>
      <c r="G43" s="115"/>
      <c r="H43" s="116">
        <v>0</v>
      </c>
      <c r="I43" s="1" t="s">
        <v>267</v>
      </c>
      <c r="J43" s="1" t="s">
        <v>258</v>
      </c>
      <c r="K43" s="1" t="s">
        <v>342</v>
      </c>
      <c r="L43" s="1" t="s">
        <v>319</v>
      </c>
      <c r="M43" s="102" t="s">
        <v>388</v>
      </c>
      <c r="O43" s="3" t="s">
        <v>272</v>
      </c>
      <c r="P43" s="7">
        <v>230</v>
      </c>
      <c r="Q43" s="8">
        <v>43.5</v>
      </c>
      <c r="R43" s="9">
        <v>2404000</v>
      </c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5"/>
      <c r="AG43" s="5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</row>
    <row r="44" spans="2:45" ht="14.25" customHeight="1">
      <c r="B44" s="2">
        <f t="shared" si="1"/>
        <v>39</v>
      </c>
      <c r="D44" s="1" t="s">
        <v>389</v>
      </c>
      <c r="E44" s="1">
        <v>1</v>
      </c>
      <c r="F44" s="115"/>
      <c r="G44" s="115"/>
      <c r="H44" s="116">
        <v>0</v>
      </c>
      <c r="I44" s="1" t="s">
        <v>267</v>
      </c>
      <c r="J44" s="1" t="s">
        <v>268</v>
      </c>
      <c r="K44" s="1" t="s">
        <v>390</v>
      </c>
      <c r="L44" s="1" t="s">
        <v>279</v>
      </c>
      <c r="M44" s="102" t="s">
        <v>391</v>
      </c>
      <c r="O44" s="3" t="s">
        <v>272</v>
      </c>
      <c r="P44" s="3" t="s">
        <v>272</v>
      </c>
      <c r="Q44" s="107">
        <v>0.52200000000000002</v>
      </c>
      <c r="R44" s="4">
        <v>1951000</v>
      </c>
      <c r="S44" s="4"/>
      <c r="T44" s="4"/>
      <c r="U44" s="4"/>
      <c r="V44" s="4"/>
      <c r="W44" s="4"/>
      <c r="X44" s="4"/>
      <c r="Y44" s="4"/>
      <c r="Z44" s="4"/>
      <c r="AA44" s="7"/>
      <c r="AB44" s="8"/>
      <c r="AC44" s="7"/>
      <c r="AD44" s="7"/>
      <c r="AE44" s="7"/>
      <c r="AF44" s="5"/>
      <c r="AG44" s="5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</row>
    <row r="45" spans="2:45" ht="14.25" customHeight="1">
      <c r="B45" s="2">
        <f t="shared" si="1"/>
        <v>40</v>
      </c>
      <c r="D45" s="1" t="s">
        <v>392</v>
      </c>
      <c r="E45" s="1">
        <v>1</v>
      </c>
      <c r="F45" s="115"/>
      <c r="G45" s="115"/>
      <c r="H45" s="116">
        <v>0</v>
      </c>
      <c r="I45" s="1" t="s">
        <v>267</v>
      </c>
      <c r="J45" s="1" t="s">
        <v>258</v>
      </c>
      <c r="K45" s="1" t="s">
        <v>313</v>
      </c>
      <c r="L45" s="1" t="s">
        <v>314</v>
      </c>
      <c r="M45" s="102" t="s">
        <v>393</v>
      </c>
      <c r="O45" s="3" t="s">
        <v>272</v>
      </c>
      <c r="P45" s="7">
        <v>230</v>
      </c>
      <c r="Q45" s="98">
        <v>5.2199999999999998E-3</v>
      </c>
      <c r="R45" s="4">
        <v>2156000</v>
      </c>
      <c r="S45" s="4"/>
      <c r="T45" s="4"/>
      <c r="U45" s="4"/>
      <c r="V45" s="4"/>
      <c r="W45" s="4"/>
      <c r="X45" s="4"/>
      <c r="Y45" s="4"/>
      <c r="Z45" s="4"/>
      <c r="AA45" s="7"/>
      <c r="AB45" s="8"/>
      <c r="AC45" s="7"/>
      <c r="AD45" s="7"/>
      <c r="AE45" s="7"/>
      <c r="AF45" s="5"/>
      <c r="AG45" s="5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</row>
    <row r="46" spans="2:45" s="41" customFormat="1" ht="14.25" customHeight="1">
      <c r="B46" s="2">
        <f t="shared" si="1"/>
        <v>41</v>
      </c>
      <c r="C46" s="1"/>
      <c r="D46" s="104" t="s">
        <v>394</v>
      </c>
      <c r="E46" s="1">
        <v>1</v>
      </c>
      <c r="F46" s="115"/>
      <c r="G46" s="115"/>
      <c r="H46" s="116">
        <v>0</v>
      </c>
      <c r="I46" s="1" t="s">
        <v>267</v>
      </c>
      <c r="J46" s="1" t="s">
        <v>268</v>
      </c>
      <c r="K46" s="1" t="s">
        <v>395</v>
      </c>
      <c r="L46" s="1" t="s">
        <v>352</v>
      </c>
      <c r="M46" s="102" t="s">
        <v>396</v>
      </c>
      <c r="N46" s="1"/>
      <c r="O46" s="3" t="s">
        <v>272</v>
      </c>
      <c r="P46" s="7">
        <v>230</v>
      </c>
      <c r="Q46" s="8">
        <v>43.5</v>
      </c>
      <c r="R46" s="4">
        <v>4945000</v>
      </c>
      <c r="S46" s="4"/>
      <c r="T46" s="4"/>
      <c r="U46" s="4"/>
      <c r="V46" s="4"/>
      <c r="W46" s="4"/>
      <c r="X46" s="4"/>
      <c r="Y46" s="4"/>
      <c r="Z46" s="4"/>
      <c r="AA46" s="7"/>
      <c r="AB46" s="8"/>
      <c r="AC46" s="7"/>
      <c r="AD46" s="7"/>
      <c r="AE46" s="7"/>
      <c r="AF46" s="5"/>
      <c r="AG46" s="5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</row>
    <row r="47" spans="2:45" ht="14.25" customHeight="1">
      <c r="B47" s="2">
        <f t="shared" si="1"/>
        <v>42</v>
      </c>
      <c r="D47" s="1" t="s">
        <v>397</v>
      </c>
      <c r="E47" s="1">
        <v>3</v>
      </c>
      <c r="F47" s="115"/>
      <c r="G47" s="115"/>
      <c r="H47" s="116"/>
      <c r="I47" s="1" t="s">
        <v>267</v>
      </c>
      <c r="J47" s="1" t="s">
        <v>268</v>
      </c>
      <c r="K47" s="1" t="s">
        <v>269</v>
      </c>
      <c r="L47" s="1" t="s">
        <v>270</v>
      </c>
      <c r="M47" s="102" t="s">
        <v>398</v>
      </c>
      <c r="O47" s="3" t="s">
        <v>272</v>
      </c>
      <c r="P47" s="7">
        <v>230</v>
      </c>
      <c r="Q47" s="8">
        <v>43.5</v>
      </c>
      <c r="R47" s="4">
        <v>2300000</v>
      </c>
      <c r="S47" s="4"/>
      <c r="T47" s="4"/>
      <c r="U47" s="4"/>
      <c r="V47" s="4"/>
      <c r="W47" s="4"/>
      <c r="X47" s="4"/>
      <c r="Y47" s="4"/>
      <c r="Z47" s="4"/>
      <c r="AA47" s="7"/>
      <c r="AB47" s="8"/>
      <c r="AC47" s="7"/>
      <c r="AD47" s="7"/>
      <c r="AE47" s="7"/>
      <c r="AF47" s="5"/>
      <c r="AG47" s="5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</row>
    <row r="48" spans="2:45" s="41" customFormat="1" ht="14.25" customHeight="1">
      <c r="B48" s="2">
        <f t="shared" si="1"/>
        <v>43</v>
      </c>
      <c r="C48" s="1"/>
      <c r="D48" s="1" t="s">
        <v>399</v>
      </c>
      <c r="E48" s="1">
        <v>6</v>
      </c>
      <c r="F48" s="115"/>
      <c r="G48" s="115"/>
      <c r="H48" s="116">
        <v>0</v>
      </c>
      <c r="I48" s="1" t="s">
        <v>267</v>
      </c>
      <c r="J48" s="1" t="s">
        <v>268</v>
      </c>
      <c r="K48" s="1" t="s">
        <v>332</v>
      </c>
      <c r="L48" s="1" t="s">
        <v>299</v>
      </c>
      <c r="M48" s="102" t="s">
        <v>400</v>
      </c>
      <c r="N48" s="1"/>
      <c r="O48" s="3" t="s">
        <v>272</v>
      </c>
      <c r="P48" s="7">
        <v>230</v>
      </c>
      <c r="Q48" s="98">
        <v>4.3499999999999997E-2</v>
      </c>
      <c r="R48" s="4">
        <v>2700000</v>
      </c>
      <c r="S48" s="4"/>
      <c r="T48" s="4"/>
      <c r="U48" s="4"/>
      <c r="V48" s="4"/>
      <c r="W48" s="4"/>
      <c r="X48" s="4"/>
      <c r="Y48" s="4"/>
      <c r="Z48" s="4"/>
      <c r="AA48" s="7"/>
      <c r="AB48" s="8"/>
      <c r="AC48" s="7"/>
      <c r="AD48" s="7"/>
      <c r="AE48" s="7"/>
      <c r="AF48" s="5"/>
      <c r="AG48" s="5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</row>
    <row r="49" spans="2:45" s="41" customFormat="1" ht="14.25" customHeight="1">
      <c r="B49" s="2">
        <f t="shared" si="1"/>
        <v>44</v>
      </c>
      <c r="C49" s="1"/>
      <c r="D49" s="1" t="s">
        <v>401</v>
      </c>
      <c r="E49" s="1">
        <v>1</v>
      </c>
      <c r="F49" s="115"/>
      <c r="G49" s="115"/>
      <c r="H49" s="116">
        <v>0</v>
      </c>
      <c r="I49" s="1" t="s">
        <v>267</v>
      </c>
      <c r="J49" s="1" t="s">
        <v>268</v>
      </c>
      <c r="K49" s="1" t="s">
        <v>390</v>
      </c>
      <c r="L49" s="1" t="s">
        <v>279</v>
      </c>
      <c r="M49" s="102" t="s">
        <v>402</v>
      </c>
      <c r="N49" s="1"/>
      <c r="O49" s="3" t="s">
        <v>272</v>
      </c>
      <c r="P49" s="3" t="s">
        <v>272</v>
      </c>
      <c r="Q49" s="107">
        <v>0.52200000000000002</v>
      </c>
      <c r="R49" s="4">
        <v>1951000</v>
      </c>
      <c r="S49" s="4"/>
      <c r="T49" s="4"/>
      <c r="U49" s="4"/>
      <c r="V49" s="4"/>
      <c r="W49" s="4"/>
      <c r="X49" s="4"/>
      <c r="Y49" s="4"/>
      <c r="Z49" s="4"/>
      <c r="AA49" s="7"/>
      <c r="AB49" s="8"/>
      <c r="AC49" s="7"/>
      <c r="AD49" s="7"/>
      <c r="AE49" s="7"/>
      <c r="AF49" s="5"/>
      <c r="AG49" s="5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</row>
    <row r="50" spans="2:45" ht="14.25" customHeight="1">
      <c r="B50" s="2">
        <f t="shared" si="1"/>
        <v>45</v>
      </c>
      <c r="D50" s="104" t="s">
        <v>403</v>
      </c>
      <c r="E50" s="1">
        <v>1</v>
      </c>
      <c r="F50" s="115"/>
      <c r="G50" s="115"/>
      <c r="H50" s="116">
        <v>0</v>
      </c>
      <c r="I50" s="1" t="s">
        <v>267</v>
      </c>
      <c r="J50" s="1" t="s">
        <v>268</v>
      </c>
      <c r="K50" s="1" t="s">
        <v>323</v>
      </c>
      <c r="L50" s="1" t="s">
        <v>279</v>
      </c>
      <c r="M50" s="102" t="s">
        <v>404</v>
      </c>
      <c r="O50" s="3" t="s">
        <v>272</v>
      </c>
      <c r="P50" s="3" t="s">
        <v>272</v>
      </c>
      <c r="Q50" s="107">
        <v>0.52200000000000002</v>
      </c>
      <c r="R50" s="4">
        <v>4610000</v>
      </c>
      <c r="S50" s="4"/>
      <c r="T50" s="4"/>
      <c r="U50" s="4"/>
      <c r="V50" s="4"/>
      <c r="W50" s="4"/>
      <c r="X50" s="4"/>
      <c r="Y50" s="4"/>
      <c r="Z50" s="4"/>
      <c r="AA50" s="7"/>
      <c r="AB50" s="8"/>
      <c r="AC50" s="7"/>
      <c r="AD50" s="7"/>
      <c r="AE50" s="7"/>
      <c r="AF50" s="5"/>
      <c r="AG50" s="5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</row>
    <row r="51" spans="2:45" ht="14.25" customHeight="1">
      <c r="B51" s="2">
        <f t="shared" si="1"/>
        <v>46</v>
      </c>
      <c r="D51" s="104" t="s">
        <v>405</v>
      </c>
      <c r="E51" s="1">
        <v>1</v>
      </c>
      <c r="F51" s="115"/>
      <c r="G51" s="115"/>
      <c r="H51" s="116" t="s">
        <v>406</v>
      </c>
      <c r="I51" s="1" t="s">
        <v>267</v>
      </c>
      <c r="J51" s="1" t="s">
        <v>258</v>
      </c>
      <c r="K51" s="1" t="s">
        <v>407</v>
      </c>
      <c r="L51" s="1" t="s">
        <v>408</v>
      </c>
      <c r="M51" s="102" t="s">
        <v>409</v>
      </c>
      <c r="O51" s="3" t="s">
        <v>272</v>
      </c>
      <c r="P51" s="7">
        <v>230</v>
      </c>
      <c r="Q51" s="107">
        <v>0.52200000000000002</v>
      </c>
      <c r="R51" s="4">
        <v>9562000</v>
      </c>
      <c r="S51" s="4"/>
      <c r="T51" s="4"/>
      <c r="U51" s="4"/>
      <c r="V51" s="4"/>
      <c r="W51" s="4"/>
      <c r="X51" s="4"/>
      <c r="Y51" s="4"/>
      <c r="Z51" s="4"/>
      <c r="AA51" s="7"/>
      <c r="AB51" s="8"/>
      <c r="AC51" s="7"/>
      <c r="AD51" s="7"/>
      <c r="AE51" s="7"/>
      <c r="AF51" s="5"/>
      <c r="AG51" s="5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</row>
    <row r="52" spans="2:45" ht="14.25" customHeight="1">
      <c r="B52" s="2">
        <f t="shared" si="1"/>
        <v>47</v>
      </c>
      <c r="D52" s="104" t="s">
        <v>410</v>
      </c>
      <c r="E52" s="1">
        <v>1</v>
      </c>
      <c r="F52" s="115"/>
      <c r="G52" s="115"/>
      <c r="H52" s="116" t="s">
        <v>406</v>
      </c>
      <c r="I52" s="1" t="s">
        <v>267</v>
      </c>
      <c r="J52" s="1" t="s">
        <v>258</v>
      </c>
      <c r="K52" s="1" t="s">
        <v>407</v>
      </c>
      <c r="L52" s="1" t="s">
        <v>408</v>
      </c>
      <c r="M52" s="102" t="s">
        <v>411</v>
      </c>
      <c r="O52" s="3" t="s">
        <v>272</v>
      </c>
      <c r="P52" s="7">
        <v>230</v>
      </c>
      <c r="Q52" s="107">
        <v>0.52200000000000002</v>
      </c>
      <c r="R52" s="4">
        <v>9754000</v>
      </c>
      <c r="S52" s="4"/>
      <c r="T52" s="4"/>
      <c r="U52" s="4"/>
      <c r="V52" s="4"/>
      <c r="W52" s="4"/>
      <c r="X52" s="4"/>
      <c r="Y52" s="4"/>
      <c r="Z52" s="4"/>
      <c r="AA52" s="7"/>
      <c r="AB52" s="8"/>
      <c r="AC52" s="7"/>
      <c r="AD52" s="7"/>
      <c r="AE52" s="7"/>
      <c r="AF52" s="5"/>
      <c r="AG52" s="5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</row>
    <row r="53" spans="2:45" ht="14.25" customHeight="1">
      <c r="B53" s="2">
        <f t="shared" si="1"/>
        <v>48</v>
      </c>
      <c r="D53" s="108" t="s">
        <v>412</v>
      </c>
      <c r="E53" s="1">
        <v>1</v>
      </c>
      <c r="F53" s="115"/>
      <c r="G53" s="115"/>
      <c r="H53" s="116" t="s">
        <v>305</v>
      </c>
      <c r="I53" s="1" t="s">
        <v>267</v>
      </c>
      <c r="J53" s="1" t="s">
        <v>268</v>
      </c>
      <c r="K53" s="1" t="s">
        <v>292</v>
      </c>
      <c r="L53" s="1" t="s">
        <v>413</v>
      </c>
      <c r="M53" s="102" t="s">
        <v>414</v>
      </c>
      <c r="O53" s="3" t="s">
        <v>272</v>
      </c>
      <c r="P53" s="7">
        <v>230</v>
      </c>
      <c r="Q53" s="8">
        <v>43.5</v>
      </c>
      <c r="R53" s="4">
        <v>7900000</v>
      </c>
      <c r="S53" s="4"/>
      <c r="T53" s="4"/>
      <c r="U53" s="4"/>
      <c r="V53" s="4"/>
      <c r="W53" s="4"/>
      <c r="X53" s="4"/>
      <c r="Y53" s="4"/>
      <c r="Z53" s="4"/>
      <c r="AA53" s="7"/>
      <c r="AB53" s="8"/>
      <c r="AC53" s="7"/>
      <c r="AD53" s="7"/>
      <c r="AE53" s="7"/>
      <c r="AF53" s="5"/>
      <c r="AG53" s="5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</row>
    <row r="54" spans="2:45" ht="14.25" customHeight="1">
      <c r="B54" s="2">
        <f t="shared" si="1"/>
        <v>49</v>
      </c>
      <c r="D54" s="104" t="s">
        <v>415</v>
      </c>
      <c r="E54" s="1">
        <v>1</v>
      </c>
      <c r="F54" s="115"/>
      <c r="G54" s="115"/>
      <c r="H54" s="116" t="s">
        <v>302</v>
      </c>
      <c r="I54" s="1" t="s">
        <v>267</v>
      </c>
      <c r="J54" s="1" t="s">
        <v>258</v>
      </c>
      <c r="K54" s="1" t="s">
        <v>345</v>
      </c>
      <c r="L54" s="1" t="s">
        <v>336</v>
      </c>
      <c r="O54" s="3" t="s">
        <v>272</v>
      </c>
      <c r="P54" s="3"/>
      <c r="Q54" s="8">
        <v>43.5</v>
      </c>
      <c r="R54" s="4">
        <v>7900000</v>
      </c>
      <c r="S54" s="4"/>
      <c r="T54" s="4"/>
      <c r="U54" s="4"/>
      <c r="V54" s="4"/>
      <c r="W54" s="4"/>
      <c r="X54" s="4"/>
      <c r="Y54" s="4"/>
      <c r="Z54" s="4"/>
      <c r="AA54" s="7"/>
      <c r="AB54" s="8"/>
      <c r="AC54" s="7"/>
      <c r="AD54" s="7"/>
      <c r="AE54" s="7"/>
      <c r="AF54" s="5"/>
      <c r="AG54" s="5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</row>
    <row r="55" spans="2:45" ht="14.25" customHeight="1">
      <c r="B55" s="2">
        <f t="shared" si="1"/>
        <v>50</v>
      </c>
      <c r="D55" s="104" t="s">
        <v>416</v>
      </c>
      <c r="E55" s="1">
        <v>1</v>
      </c>
      <c r="F55" s="115"/>
      <c r="G55" s="115"/>
      <c r="H55" s="116" t="s">
        <v>302</v>
      </c>
      <c r="I55" s="1" t="s">
        <v>267</v>
      </c>
      <c r="J55" s="1" t="s">
        <v>268</v>
      </c>
      <c r="K55" s="1" t="s">
        <v>417</v>
      </c>
      <c r="L55" s="1" t="s">
        <v>418</v>
      </c>
      <c r="M55" s="102" t="s">
        <v>419</v>
      </c>
      <c r="O55" s="3" t="s">
        <v>272</v>
      </c>
      <c r="P55" s="7">
        <v>230</v>
      </c>
      <c r="Q55" s="8">
        <v>43.5</v>
      </c>
      <c r="R55" s="4">
        <v>5576000</v>
      </c>
      <c r="S55" s="4"/>
      <c r="T55" s="4"/>
      <c r="U55" s="4"/>
      <c r="V55" s="4"/>
      <c r="W55" s="4"/>
      <c r="X55" s="4"/>
      <c r="Y55" s="4"/>
      <c r="Z55" s="4"/>
      <c r="AA55" s="7"/>
      <c r="AB55" s="8"/>
      <c r="AC55" s="7"/>
      <c r="AD55" s="7"/>
      <c r="AE55" s="7"/>
      <c r="AF55" s="5"/>
      <c r="AG55" s="5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</row>
    <row r="56" spans="2:45" ht="14.25" customHeight="1">
      <c r="B56" s="2">
        <f t="shared" si="1"/>
        <v>51</v>
      </c>
      <c r="D56" s="108" t="s">
        <v>420</v>
      </c>
      <c r="E56" s="1">
        <v>1</v>
      </c>
      <c r="F56" s="115"/>
      <c r="G56" s="115"/>
      <c r="H56" s="116" t="s">
        <v>302</v>
      </c>
      <c r="I56" s="1" t="s">
        <v>267</v>
      </c>
      <c r="J56" s="1" t="s">
        <v>268</v>
      </c>
      <c r="K56" s="1" t="s">
        <v>421</v>
      </c>
      <c r="L56" s="1" t="s">
        <v>310</v>
      </c>
      <c r="M56" s="102" t="s">
        <v>422</v>
      </c>
      <c r="O56" s="3" t="s">
        <v>272</v>
      </c>
      <c r="P56" s="7">
        <v>230</v>
      </c>
      <c r="Q56" s="107">
        <v>0.52200000000000002</v>
      </c>
      <c r="R56" s="9">
        <v>4610000</v>
      </c>
      <c r="S56" s="9"/>
      <c r="T56" s="9"/>
      <c r="U56" s="9"/>
      <c r="V56" s="9"/>
      <c r="W56" s="9"/>
      <c r="X56" s="9"/>
      <c r="Y56" s="9"/>
      <c r="Z56" s="9"/>
      <c r="AA56" s="9"/>
      <c r="AB56" s="8"/>
      <c r="AC56" s="9"/>
      <c r="AD56" s="9"/>
      <c r="AE56" s="9"/>
      <c r="AF56" s="5"/>
      <c r="AG56" s="5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</row>
    <row r="57" spans="2:45" ht="14.25" customHeight="1">
      <c r="B57" s="2">
        <f t="shared" si="1"/>
        <v>52</v>
      </c>
      <c r="D57" s="104" t="s">
        <v>423</v>
      </c>
      <c r="E57" s="1">
        <v>1</v>
      </c>
      <c r="F57" s="115"/>
      <c r="G57" s="115"/>
      <c r="H57" s="117" t="s">
        <v>424</v>
      </c>
      <c r="I57" s="1" t="s">
        <v>267</v>
      </c>
      <c r="J57" s="1" t="s">
        <v>268</v>
      </c>
      <c r="K57" s="1" t="s">
        <v>425</v>
      </c>
      <c r="L57" s="1" t="s">
        <v>288</v>
      </c>
      <c r="O57" s="3" t="s">
        <v>272</v>
      </c>
      <c r="P57" s="3">
        <v>230</v>
      </c>
      <c r="Q57" s="8">
        <v>43.5</v>
      </c>
      <c r="R57" s="4">
        <v>11496000</v>
      </c>
      <c r="S57" s="4"/>
      <c r="T57" s="4"/>
      <c r="U57" s="4"/>
      <c r="V57" s="4"/>
      <c r="W57" s="4"/>
      <c r="X57" s="4"/>
      <c r="Y57" s="4"/>
      <c r="Z57" s="4"/>
      <c r="AA57" s="7"/>
      <c r="AB57" s="8"/>
      <c r="AC57" s="7"/>
      <c r="AD57" s="7"/>
      <c r="AE57" s="7"/>
      <c r="AF57" s="5"/>
      <c r="AG57" s="5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</row>
    <row r="58" spans="2:45" ht="14.25" customHeight="1">
      <c r="B58" s="2">
        <f t="shared" si="1"/>
        <v>53</v>
      </c>
      <c r="D58" s="108" t="s">
        <v>426</v>
      </c>
      <c r="E58" s="1">
        <v>1</v>
      </c>
      <c r="F58" s="115"/>
      <c r="G58" s="115"/>
      <c r="H58" s="116" t="s">
        <v>296</v>
      </c>
      <c r="I58" s="1" t="s">
        <v>267</v>
      </c>
      <c r="J58" s="1" t="s">
        <v>268</v>
      </c>
      <c r="K58" s="1" t="s">
        <v>292</v>
      </c>
      <c r="L58" s="1" t="s">
        <v>413</v>
      </c>
      <c r="M58" s="102" t="s">
        <v>427</v>
      </c>
      <c r="O58" s="3" t="s">
        <v>272</v>
      </c>
      <c r="P58" s="7">
        <v>230</v>
      </c>
      <c r="Q58" s="8">
        <v>43.5</v>
      </c>
      <c r="R58" s="4"/>
      <c r="S58" s="4"/>
      <c r="T58" s="4"/>
      <c r="U58" s="4"/>
      <c r="V58" s="4"/>
      <c r="W58" s="4"/>
      <c r="X58" s="4"/>
      <c r="Y58" s="4"/>
      <c r="Z58" s="4"/>
      <c r="AA58" s="7"/>
      <c r="AB58" s="7"/>
      <c r="AC58" s="7"/>
      <c r="AD58" s="7"/>
      <c r="AE58" s="7"/>
      <c r="AF58" s="5"/>
      <c r="AG58" s="5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</row>
    <row r="59" spans="2:45" ht="14.25" customHeight="1">
      <c r="B59" s="2">
        <f t="shared" si="1"/>
        <v>54</v>
      </c>
      <c r="D59" s="104" t="s">
        <v>428</v>
      </c>
      <c r="E59" s="1">
        <v>1</v>
      </c>
      <c r="F59" s="115"/>
      <c r="G59" s="115"/>
      <c r="H59" s="116" t="s">
        <v>322</v>
      </c>
      <c r="I59" s="1" t="s">
        <v>267</v>
      </c>
      <c r="J59" s="1" t="s">
        <v>258</v>
      </c>
      <c r="K59" s="1" t="s">
        <v>407</v>
      </c>
      <c r="L59" s="1" t="s">
        <v>408</v>
      </c>
      <c r="M59" s="102" t="s">
        <v>429</v>
      </c>
      <c r="O59" s="3" t="s">
        <v>272</v>
      </c>
      <c r="P59" s="7">
        <v>230</v>
      </c>
      <c r="Q59" s="107">
        <v>0.52200000000000002</v>
      </c>
      <c r="R59" s="9">
        <v>10347000</v>
      </c>
      <c r="S59" s="9"/>
      <c r="T59" s="9"/>
      <c r="U59" s="9"/>
      <c r="V59" s="9"/>
      <c r="W59" s="9"/>
      <c r="X59" s="9"/>
      <c r="Y59" s="9"/>
      <c r="Z59" s="9"/>
      <c r="AA59" s="9"/>
      <c r="AB59" s="8"/>
      <c r="AC59" s="9"/>
      <c r="AD59" s="9"/>
      <c r="AE59" s="9"/>
      <c r="AF59" s="5"/>
      <c r="AG59" s="5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</row>
    <row r="60" spans="2:45" ht="14.25" customHeight="1">
      <c r="B60" s="2">
        <f t="shared" si="1"/>
        <v>55</v>
      </c>
      <c r="D60" s="108" t="s">
        <v>430</v>
      </c>
      <c r="E60" s="1">
        <v>1</v>
      </c>
      <c r="F60" s="115"/>
      <c r="G60" s="115"/>
      <c r="H60" s="116" t="s">
        <v>322</v>
      </c>
      <c r="I60" s="1" t="s">
        <v>267</v>
      </c>
      <c r="J60" s="1" t="s">
        <v>268</v>
      </c>
      <c r="K60" s="1" t="s">
        <v>421</v>
      </c>
      <c r="L60" s="1" t="s">
        <v>310</v>
      </c>
      <c r="M60" s="102" t="s">
        <v>431</v>
      </c>
      <c r="O60" s="3" t="s">
        <v>272</v>
      </c>
      <c r="P60" s="7">
        <v>230</v>
      </c>
      <c r="Q60" s="8">
        <v>43.5</v>
      </c>
      <c r="R60" s="4">
        <v>6312000</v>
      </c>
      <c r="S60" s="4"/>
      <c r="T60" s="4">
        <v>4000000</v>
      </c>
      <c r="U60" s="4"/>
      <c r="V60" s="4"/>
      <c r="W60" s="4"/>
      <c r="X60" s="4"/>
      <c r="Y60" s="4"/>
      <c r="Z60" s="4"/>
      <c r="AA60" s="7"/>
      <c r="AB60" s="8"/>
      <c r="AC60" s="7"/>
      <c r="AD60" s="7"/>
      <c r="AE60" s="7"/>
      <c r="AF60" s="5"/>
      <c r="AG60" s="5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</row>
    <row r="61" spans="2:45" ht="14.25" customHeight="1">
      <c r="B61" s="2">
        <f t="shared" si="1"/>
        <v>56</v>
      </c>
      <c r="C61" s="41"/>
      <c r="D61" s="108" t="s">
        <v>432</v>
      </c>
      <c r="E61" s="41">
        <v>1</v>
      </c>
      <c r="F61" s="115"/>
      <c r="G61" s="115"/>
      <c r="H61" s="116" t="s">
        <v>406</v>
      </c>
      <c r="I61" s="1" t="s">
        <v>267</v>
      </c>
      <c r="J61" s="1" t="s">
        <v>268</v>
      </c>
      <c r="K61" s="1" t="s">
        <v>421</v>
      </c>
      <c r="L61" s="1" t="s">
        <v>310</v>
      </c>
      <c r="M61" s="109" t="s">
        <v>431</v>
      </c>
      <c r="N61" s="41"/>
      <c r="O61" s="3" t="s">
        <v>272</v>
      </c>
      <c r="P61" s="7">
        <v>230</v>
      </c>
      <c r="Q61" s="8">
        <v>43.5</v>
      </c>
      <c r="R61" s="43">
        <v>5358000</v>
      </c>
      <c r="S61" s="43">
        <v>0</v>
      </c>
      <c r="T61" s="43">
        <v>2600000</v>
      </c>
      <c r="U61" s="43"/>
      <c r="V61" s="43"/>
      <c r="W61" s="43"/>
      <c r="X61" s="43"/>
      <c r="Y61" s="43"/>
      <c r="Z61" s="43"/>
      <c r="AA61" s="44"/>
      <c r="AB61" s="45"/>
      <c r="AC61" s="44"/>
      <c r="AD61" s="44"/>
      <c r="AE61" s="44"/>
      <c r="AF61" s="46"/>
      <c r="AG61" s="46"/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44"/>
      <c r="AS61" s="44"/>
    </row>
    <row r="62" spans="2:45" ht="14.25" customHeight="1">
      <c r="B62" s="2">
        <f t="shared" si="1"/>
        <v>57</v>
      </c>
      <c r="D62" s="104" t="s">
        <v>433</v>
      </c>
      <c r="E62" s="1">
        <v>1</v>
      </c>
      <c r="F62" s="115"/>
      <c r="G62" s="115"/>
      <c r="H62" s="116">
        <v>0</v>
      </c>
      <c r="I62" s="1" t="s">
        <v>267</v>
      </c>
      <c r="J62" s="1" t="s">
        <v>268</v>
      </c>
      <c r="O62" s="3" t="s">
        <v>272</v>
      </c>
      <c r="P62" s="3"/>
      <c r="Q62" s="8">
        <v>43.5</v>
      </c>
      <c r="R62" s="4">
        <v>3600000</v>
      </c>
      <c r="S62" s="4"/>
      <c r="T62" s="4"/>
      <c r="U62" s="4"/>
      <c r="V62" s="4"/>
      <c r="W62" s="4"/>
      <c r="X62" s="4"/>
      <c r="Y62" s="4"/>
      <c r="Z62" s="4"/>
      <c r="AA62" s="7"/>
      <c r="AB62" s="8"/>
      <c r="AC62" s="7"/>
      <c r="AD62" s="7"/>
      <c r="AE62" s="7"/>
      <c r="AF62" s="5"/>
      <c r="AG62" s="5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</row>
    <row r="63" spans="2:45" ht="14.25" customHeight="1">
      <c r="B63" s="2">
        <f t="shared" si="1"/>
        <v>58</v>
      </c>
      <c r="D63" s="108" t="s">
        <v>434</v>
      </c>
      <c r="E63" s="1">
        <v>1</v>
      </c>
      <c r="F63" s="115"/>
      <c r="G63" s="115"/>
      <c r="H63" s="116" t="s">
        <v>305</v>
      </c>
      <c r="I63" s="1" t="s">
        <v>267</v>
      </c>
      <c r="J63" s="1" t="s">
        <v>268</v>
      </c>
      <c r="K63" s="1" t="s">
        <v>421</v>
      </c>
      <c r="L63" s="1" t="s">
        <v>310</v>
      </c>
      <c r="M63" s="102" t="s">
        <v>435</v>
      </c>
      <c r="O63" s="3" t="s">
        <v>272</v>
      </c>
      <c r="P63" s="7">
        <v>230</v>
      </c>
      <c r="Q63" s="107">
        <v>0.52200000000000002</v>
      </c>
      <c r="R63" s="4">
        <v>5119000</v>
      </c>
      <c r="S63" s="4"/>
      <c r="T63" s="4"/>
      <c r="U63" s="4"/>
      <c r="V63" s="4"/>
      <c r="W63" s="4"/>
      <c r="X63" s="4"/>
      <c r="Y63" s="4"/>
      <c r="Z63" s="4"/>
      <c r="AA63" s="7"/>
      <c r="AB63" s="8"/>
      <c r="AC63" s="7"/>
      <c r="AD63" s="7"/>
      <c r="AE63" s="7"/>
      <c r="AF63" s="5"/>
      <c r="AG63" s="5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</row>
    <row r="64" spans="2:45" ht="14.25" customHeight="1">
      <c r="B64" s="2">
        <f t="shared" si="1"/>
        <v>59</v>
      </c>
      <c r="D64" s="104" t="s">
        <v>436</v>
      </c>
      <c r="E64" s="1"/>
      <c r="F64" s="115"/>
      <c r="G64" s="115"/>
      <c r="H64" s="116" t="s">
        <v>437</v>
      </c>
      <c r="I64" s="1" t="s">
        <v>267</v>
      </c>
      <c r="J64" s="1" t="s">
        <v>268</v>
      </c>
      <c r="K64" s="1" t="s">
        <v>421</v>
      </c>
      <c r="O64" s="3" t="s">
        <v>272</v>
      </c>
      <c r="P64" s="3"/>
      <c r="Q64" s="8">
        <v>43.5</v>
      </c>
      <c r="R64" s="4">
        <v>7900000</v>
      </c>
      <c r="S64" s="4"/>
      <c r="T64" s="4"/>
      <c r="U64" s="4"/>
      <c r="V64" s="4"/>
      <c r="W64" s="4"/>
      <c r="X64" s="4"/>
      <c r="Y64" s="4"/>
      <c r="Z64" s="4"/>
      <c r="AA64" s="7"/>
      <c r="AB64" s="7"/>
      <c r="AC64" s="7"/>
      <c r="AD64" s="7"/>
      <c r="AE64" s="7"/>
      <c r="AF64" s="5"/>
      <c r="AG64" s="5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</row>
    <row r="65" spans="2:45" ht="14.25" customHeight="1">
      <c r="B65" s="2">
        <f t="shared" si="1"/>
        <v>60</v>
      </c>
      <c r="D65" s="104" t="s">
        <v>438</v>
      </c>
      <c r="E65" s="1">
        <v>1</v>
      </c>
      <c r="F65" s="115"/>
      <c r="G65" s="115"/>
      <c r="H65" s="116" t="s">
        <v>302</v>
      </c>
      <c r="I65" s="1" t="s">
        <v>267</v>
      </c>
      <c r="J65" s="1" t="s">
        <v>268</v>
      </c>
      <c r="K65" s="1" t="s">
        <v>395</v>
      </c>
      <c r="L65" s="1" t="s">
        <v>439</v>
      </c>
      <c r="M65" s="102" t="s">
        <v>440</v>
      </c>
      <c r="O65" s="42" t="s">
        <v>272</v>
      </c>
      <c r="P65" s="44">
        <v>230</v>
      </c>
      <c r="Q65" s="8">
        <v>43.5</v>
      </c>
      <c r="R65" s="4">
        <v>4033000</v>
      </c>
      <c r="S65" s="4"/>
      <c r="T65" s="4"/>
      <c r="U65" s="4"/>
      <c r="V65" s="4"/>
      <c r="W65" s="4"/>
      <c r="X65" s="4"/>
      <c r="Y65" s="4"/>
      <c r="Z65" s="4"/>
      <c r="AA65" s="7"/>
      <c r="AB65" s="8"/>
      <c r="AC65" s="7"/>
      <c r="AD65" s="7"/>
      <c r="AE65" s="7"/>
      <c r="AF65" s="5"/>
      <c r="AG65" s="5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</row>
    <row r="66" spans="2:45" ht="14.25" customHeight="1">
      <c r="B66" s="2">
        <f t="shared" si="1"/>
        <v>61</v>
      </c>
      <c r="D66" s="108" t="s">
        <v>441</v>
      </c>
      <c r="E66" s="1">
        <v>1</v>
      </c>
      <c r="F66" s="115"/>
      <c r="G66" s="115"/>
      <c r="H66" s="117"/>
      <c r="I66" s="1" t="s">
        <v>267</v>
      </c>
      <c r="J66" s="1" t="s">
        <v>258</v>
      </c>
      <c r="K66" s="1" t="s">
        <v>442</v>
      </c>
      <c r="L66" s="1" t="s">
        <v>319</v>
      </c>
      <c r="M66" s="102" t="s">
        <v>443</v>
      </c>
      <c r="O66" s="3" t="s">
        <v>272</v>
      </c>
      <c r="P66" s="7">
        <v>230</v>
      </c>
      <c r="Q66" s="8">
        <v>43.5</v>
      </c>
      <c r="R66" s="4">
        <v>5500000</v>
      </c>
      <c r="S66" s="4"/>
      <c r="T66" s="4"/>
      <c r="U66" s="4"/>
      <c r="V66" s="4"/>
      <c r="W66" s="4"/>
      <c r="X66" s="4"/>
      <c r="Y66" s="4"/>
      <c r="Z66" s="4"/>
      <c r="AA66" s="7"/>
      <c r="AB66" s="7"/>
      <c r="AC66" s="7"/>
      <c r="AD66" s="7"/>
      <c r="AE66" s="7"/>
      <c r="AF66" s="5"/>
      <c r="AG66" s="5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</row>
    <row r="67" spans="2:45" ht="14.25" customHeight="1">
      <c r="B67" s="2">
        <f t="shared" si="1"/>
        <v>62</v>
      </c>
      <c r="D67" s="108" t="s">
        <v>444</v>
      </c>
      <c r="E67" s="1">
        <v>1</v>
      </c>
      <c r="F67" s="115"/>
      <c r="G67" s="115"/>
      <c r="H67" s="116" t="s">
        <v>302</v>
      </c>
      <c r="I67" s="1" t="s">
        <v>267</v>
      </c>
      <c r="J67" s="1" t="s">
        <v>258</v>
      </c>
      <c r="K67" s="1" t="s">
        <v>292</v>
      </c>
      <c r="L67" s="1" t="s">
        <v>413</v>
      </c>
      <c r="M67" s="102" t="s">
        <v>330</v>
      </c>
      <c r="O67" s="3" t="s">
        <v>272</v>
      </c>
      <c r="P67" s="7">
        <v>230</v>
      </c>
      <c r="Q67" s="8">
        <v>43.5</v>
      </c>
      <c r="R67" s="4">
        <v>5119000</v>
      </c>
      <c r="S67" s="4"/>
      <c r="T67" s="4"/>
      <c r="U67" s="4"/>
      <c r="V67" s="4"/>
      <c r="W67" s="4"/>
      <c r="X67" s="4"/>
      <c r="Y67" s="4"/>
      <c r="Z67" s="4"/>
      <c r="AA67" s="7"/>
      <c r="AB67" s="8"/>
      <c r="AC67" s="7"/>
      <c r="AD67" s="7"/>
      <c r="AE67" s="7"/>
      <c r="AF67" s="5"/>
      <c r="AG67" s="5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</row>
    <row r="68" spans="2:45" ht="14.25" customHeight="1">
      <c r="B68" s="2">
        <f t="shared" si="1"/>
        <v>63</v>
      </c>
      <c r="D68" s="108" t="s">
        <v>445</v>
      </c>
      <c r="E68" s="1">
        <v>1</v>
      </c>
      <c r="F68" s="115"/>
      <c r="G68" s="115"/>
      <c r="H68" s="116">
        <v>0</v>
      </c>
      <c r="I68" s="1" t="s">
        <v>267</v>
      </c>
      <c r="J68" s="1" t="s">
        <v>268</v>
      </c>
      <c r="K68" s="1" t="s">
        <v>332</v>
      </c>
      <c r="L68" s="1" t="s">
        <v>299</v>
      </c>
      <c r="M68" s="102" t="s">
        <v>446</v>
      </c>
      <c r="O68" s="3" t="s">
        <v>272</v>
      </c>
      <c r="P68" s="7">
        <v>230</v>
      </c>
      <c r="Q68" s="8">
        <v>43.5</v>
      </c>
      <c r="R68" s="4">
        <v>7900000</v>
      </c>
      <c r="S68" s="4"/>
      <c r="T68" s="4"/>
      <c r="U68" s="4"/>
      <c r="V68" s="4"/>
      <c r="W68" s="4"/>
      <c r="X68" s="4"/>
      <c r="Y68" s="4"/>
      <c r="Z68" s="4"/>
      <c r="AA68" s="7"/>
      <c r="AB68" s="8"/>
      <c r="AC68" s="7"/>
      <c r="AD68" s="7"/>
      <c r="AE68" s="7"/>
      <c r="AF68" s="5"/>
      <c r="AG68" s="5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</row>
    <row r="69" spans="2:45" ht="14.25" customHeight="1">
      <c r="B69" s="2">
        <f t="shared" si="1"/>
        <v>64</v>
      </c>
      <c r="D69" s="108" t="s">
        <v>447</v>
      </c>
      <c r="E69" s="1">
        <v>1</v>
      </c>
      <c r="F69" s="115"/>
      <c r="G69" s="115"/>
      <c r="H69" s="116" t="s">
        <v>448</v>
      </c>
      <c r="I69" s="1" t="s">
        <v>267</v>
      </c>
      <c r="J69" s="1" t="s">
        <v>258</v>
      </c>
      <c r="K69" s="1" t="s">
        <v>449</v>
      </c>
      <c r="L69" s="1" t="s">
        <v>310</v>
      </c>
      <c r="M69" s="102" t="s">
        <v>450</v>
      </c>
      <c r="O69" s="3" t="s">
        <v>272</v>
      </c>
      <c r="P69" s="7">
        <v>230</v>
      </c>
      <c r="Q69" s="8">
        <v>43.5</v>
      </c>
      <c r="R69" s="4">
        <v>5260000</v>
      </c>
      <c r="S69" s="4"/>
      <c r="T69" s="4">
        <v>3500000</v>
      </c>
      <c r="U69" s="4"/>
      <c r="V69" s="4"/>
      <c r="W69" s="4"/>
      <c r="X69" s="4"/>
      <c r="Y69" s="4"/>
      <c r="Z69" s="4"/>
      <c r="AA69" s="7"/>
      <c r="AB69" s="8"/>
      <c r="AC69" s="7"/>
      <c r="AD69" s="7"/>
      <c r="AE69" s="7"/>
      <c r="AF69" s="5"/>
      <c r="AG69" s="5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</row>
    <row r="70" spans="2:45" ht="14.25" customHeight="1">
      <c r="B70" s="2">
        <f t="shared" si="1"/>
        <v>65</v>
      </c>
      <c r="D70" s="108" t="s">
        <v>451</v>
      </c>
      <c r="E70" s="1">
        <v>1</v>
      </c>
      <c r="F70" s="115"/>
      <c r="G70" s="115"/>
      <c r="H70" s="116">
        <v>0</v>
      </c>
      <c r="I70" s="1" t="s">
        <v>267</v>
      </c>
      <c r="J70" s="1" t="s">
        <v>258</v>
      </c>
      <c r="K70" s="1" t="s">
        <v>452</v>
      </c>
      <c r="L70" s="1" t="s">
        <v>310</v>
      </c>
      <c r="M70" s="102" t="s">
        <v>450</v>
      </c>
      <c r="O70" s="3" t="s">
        <v>272</v>
      </c>
      <c r="P70" s="7">
        <v>230</v>
      </c>
      <c r="Q70" s="8">
        <v>43.5</v>
      </c>
      <c r="R70" s="4">
        <v>4422000</v>
      </c>
      <c r="S70" s="4">
        <v>0</v>
      </c>
      <c r="T70" s="4">
        <v>2760000</v>
      </c>
      <c r="U70" s="4"/>
      <c r="V70" s="4"/>
      <c r="W70" s="4"/>
      <c r="X70" s="4"/>
      <c r="Y70" s="4"/>
      <c r="Z70" s="4"/>
      <c r="AA70" s="7"/>
      <c r="AB70" s="8"/>
      <c r="AC70" s="7"/>
      <c r="AD70" s="7"/>
      <c r="AE70" s="7"/>
      <c r="AF70" s="5"/>
      <c r="AG70" s="5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</row>
    <row r="71" spans="2:45" ht="14.25" customHeight="1">
      <c r="B71" s="2">
        <f t="shared" si="1"/>
        <v>66</v>
      </c>
      <c r="D71" s="108" t="s">
        <v>453</v>
      </c>
      <c r="E71" s="1">
        <v>1</v>
      </c>
      <c r="F71" s="115"/>
      <c r="G71" s="115"/>
      <c r="H71" s="116" t="s">
        <v>454</v>
      </c>
      <c r="I71" s="1" t="s">
        <v>267</v>
      </c>
      <c r="J71" s="1" t="s">
        <v>258</v>
      </c>
      <c r="K71" s="1" t="s">
        <v>455</v>
      </c>
      <c r="L71" s="1" t="s">
        <v>310</v>
      </c>
      <c r="M71" s="102" t="s">
        <v>456</v>
      </c>
      <c r="O71" s="3" t="s">
        <v>272</v>
      </c>
      <c r="P71" s="7">
        <v>230</v>
      </c>
      <c r="Q71" s="8">
        <v>43.5</v>
      </c>
      <c r="R71" s="4">
        <v>3800000</v>
      </c>
      <c r="S71" s="4">
        <v>0</v>
      </c>
      <c r="T71" s="4">
        <v>2900000</v>
      </c>
      <c r="U71" s="4"/>
      <c r="V71" s="4"/>
      <c r="W71" s="4"/>
      <c r="X71" s="4"/>
      <c r="Y71" s="4"/>
      <c r="Z71" s="4"/>
      <c r="AA71" s="7"/>
      <c r="AB71" s="8"/>
      <c r="AC71" s="7"/>
      <c r="AD71" s="7"/>
      <c r="AE71" s="7"/>
      <c r="AF71" s="5"/>
      <c r="AG71" s="5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</row>
    <row r="72" spans="2:45" ht="14.25" customHeight="1">
      <c r="B72" s="2">
        <f t="shared" si="1"/>
        <v>67</v>
      </c>
      <c r="D72" s="104" t="s">
        <v>457</v>
      </c>
      <c r="E72" s="1">
        <v>1</v>
      </c>
      <c r="F72" s="115"/>
      <c r="G72" s="115"/>
      <c r="H72" s="116"/>
      <c r="I72" s="1" t="s">
        <v>267</v>
      </c>
      <c r="J72" s="1" t="s">
        <v>258</v>
      </c>
      <c r="K72" s="1" t="s">
        <v>458</v>
      </c>
      <c r="L72" s="1" t="s">
        <v>279</v>
      </c>
      <c r="M72" s="102" t="s">
        <v>459</v>
      </c>
      <c r="O72" s="3" t="s">
        <v>272</v>
      </c>
      <c r="P72" s="3" t="s">
        <v>272</v>
      </c>
      <c r="Q72" s="107">
        <v>0.52200000000000002</v>
      </c>
      <c r="R72" s="4">
        <v>4552000</v>
      </c>
      <c r="S72" s="4"/>
      <c r="T72" s="4"/>
      <c r="U72" s="4"/>
      <c r="V72" s="4"/>
      <c r="W72" s="4"/>
      <c r="X72" s="4"/>
      <c r="Y72" s="4"/>
      <c r="Z72" s="4"/>
      <c r="AA72" s="7"/>
      <c r="AB72" s="8"/>
      <c r="AC72" s="7"/>
      <c r="AD72" s="7"/>
      <c r="AE72" s="7"/>
      <c r="AF72" s="5"/>
      <c r="AG72" s="5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</row>
    <row r="73" spans="2:45" ht="14.25" customHeight="1">
      <c r="B73" s="2">
        <f t="shared" ref="B73:B84" si="2">+ROW()-5</f>
        <v>68</v>
      </c>
      <c r="D73" s="104" t="s">
        <v>460</v>
      </c>
      <c r="E73" s="1">
        <v>1</v>
      </c>
      <c r="F73" s="115"/>
      <c r="G73" s="115"/>
      <c r="H73" s="116">
        <v>0</v>
      </c>
      <c r="I73" s="1" t="s">
        <v>267</v>
      </c>
      <c r="J73" s="1" t="s">
        <v>258</v>
      </c>
      <c r="K73" s="1" t="s">
        <v>461</v>
      </c>
      <c r="L73" s="1" t="s">
        <v>279</v>
      </c>
      <c r="M73" s="102" t="s">
        <v>462</v>
      </c>
      <c r="O73" s="3" t="s">
        <v>272</v>
      </c>
      <c r="P73" s="7">
        <v>230</v>
      </c>
      <c r="Q73" s="107">
        <v>0.52200000000000002</v>
      </c>
      <c r="R73" s="4">
        <v>5786000</v>
      </c>
      <c r="S73" s="4"/>
      <c r="T73" s="4"/>
      <c r="U73" s="4"/>
      <c r="V73" s="4"/>
      <c r="W73" s="4"/>
      <c r="X73" s="4"/>
      <c r="Y73" s="4"/>
      <c r="Z73" s="4"/>
      <c r="AA73" s="7"/>
      <c r="AB73" s="7"/>
      <c r="AC73" s="7"/>
      <c r="AD73" s="7"/>
      <c r="AE73" s="7"/>
      <c r="AF73" s="5"/>
      <c r="AG73" s="5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</row>
    <row r="74" spans="2:45" ht="14.25" customHeight="1">
      <c r="B74" s="2">
        <f t="shared" si="2"/>
        <v>69</v>
      </c>
      <c r="D74" s="104" t="s">
        <v>463</v>
      </c>
      <c r="E74" s="1">
        <v>10</v>
      </c>
      <c r="F74" s="115"/>
      <c r="G74" s="115"/>
      <c r="H74" s="116"/>
      <c r="I74" s="1" t="s">
        <v>267</v>
      </c>
      <c r="J74" s="1" t="s">
        <v>268</v>
      </c>
      <c r="K74" s="1" t="s">
        <v>464</v>
      </c>
      <c r="L74" s="1" t="s">
        <v>418</v>
      </c>
      <c r="M74" s="102" t="s">
        <v>465</v>
      </c>
      <c r="O74" s="3" t="s">
        <v>272</v>
      </c>
      <c r="P74" s="7">
        <v>230</v>
      </c>
      <c r="Q74" s="8">
        <v>43.5</v>
      </c>
      <c r="R74" s="4">
        <v>2850000</v>
      </c>
      <c r="S74" s="4"/>
      <c r="T74" s="4"/>
      <c r="U74" s="4"/>
      <c r="V74" s="4"/>
      <c r="W74" s="4"/>
      <c r="X74" s="4"/>
      <c r="Y74" s="4"/>
      <c r="Z74" s="4"/>
      <c r="AA74" s="7"/>
      <c r="AB74" s="8"/>
      <c r="AC74" s="7"/>
      <c r="AD74" s="7"/>
      <c r="AE74" s="7"/>
      <c r="AF74" s="5"/>
      <c r="AG74" s="5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</row>
    <row r="75" spans="2:45" ht="14.25" customHeight="1">
      <c r="B75" s="2">
        <f t="shared" si="2"/>
        <v>70</v>
      </c>
      <c r="D75" s="108" t="s">
        <v>466</v>
      </c>
      <c r="E75" s="1">
        <v>1</v>
      </c>
      <c r="F75" s="115"/>
      <c r="G75" s="115"/>
      <c r="H75" s="116" t="s">
        <v>437</v>
      </c>
      <c r="I75" s="1" t="s">
        <v>267</v>
      </c>
      <c r="J75" s="1" t="s">
        <v>258</v>
      </c>
      <c r="K75" s="1" t="s">
        <v>455</v>
      </c>
      <c r="L75" s="1" t="s">
        <v>310</v>
      </c>
      <c r="M75" s="102" t="s">
        <v>467</v>
      </c>
      <c r="O75" s="3" t="s">
        <v>272</v>
      </c>
      <c r="P75" s="7">
        <v>230</v>
      </c>
      <c r="Q75" s="8">
        <v>43.5</v>
      </c>
      <c r="R75" s="4">
        <v>2700000</v>
      </c>
      <c r="S75" s="4">
        <v>0</v>
      </c>
      <c r="T75" s="4">
        <v>1000000</v>
      </c>
      <c r="U75" s="4"/>
      <c r="V75" s="4"/>
      <c r="W75" s="4"/>
      <c r="X75" s="4"/>
      <c r="Y75" s="4"/>
      <c r="Z75" s="4"/>
      <c r="AA75" s="7"/>
      <c r="AB75" s="8"/>
      <c r="AC75" s="7"/>
      <c r="AD75" s="7"/>
      <c r="AE75" s="7"/>
      <c r="AF75" s="5"/>
      <c r="AG75" s="5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</row>
    <row r="76" spans="2:45" ht="14.25" customHeight="1">
      <c r="B76" s="2">
        <f t="shared" si="2"/>
        <v>71</v>
      </c>
      <c r="D76" s="108" t="s">
        <v>468</v>
      </c>
      <c r="E76" s="1">
        <v>1</v>
      </c>
      <c r="F76" s="115"/>
      <c r="G76" s="115"/>
      <c r="H76" s="116" t="s">
        <v>437</v>
      </c>
      <c r="I76" s="1" t="s">
        <v>267</v>
      </c>
      <c r="J76" s="1" t="s">
        <v>258</v>
      </c>
      <c r="K76" s="1" t="s">
        <v>469</v>
      </c>
      <c r="L76" s="1" t="s">
        <v>413</v>
      </c>
      <c r="M76" s="102" t="s">
        <v>470</v>
      </c>
      <c r="O76" s="3" t="s">
        <v>272</v>
      </c>
      <c r="P76" s="7">
        <v>230</v>
      </c>
      <c r="Q76" s="8">
        <v>43.5</v>
      </c>
      <c r="R76" s="4">
        <v>6324000</v>
      </c>
      <c r="S76" s="4"/>
      <c r="T76" s="4"/>
      <c r="U76" s="4"/>
      <c r="V76" s="4"/>
      <c r="W76" s="4"/>
      <c r="X76" s="4"/>
      <c r="Y76" s="4"/>
      <c r="Z76" s="4"/>
      <c r="AA76" s="7"/>
      <c r="AB76" s="7"/>
      <c r="AC76" s="7"/>
      <c r="AD76" s="7"/>
      <c r="AE76" s="7"/>
      <c r="AF76" s="5"/>
      <c r="AG76" s="5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</row>
    <row r="77" spans="2:45" ht="14.25" customHeight="1">
      <c r="B77" s="2">
        <f t="shared" si="2"/>
        <v>72</v>
      </c>
      <c r="D77" s="104" t="s">
        <v>471</v>
      </c>
      <c r="E77" s="1">
        <v>1</v>
      </c>
      <c r="F77" s="115"/>
      <c r="G77" s="115"/>
      <c r="H77" s="116" t="s">
        <v>302</v>
      </c>
      <c r="I77" s="1" t="s">
        <v>267</v>
      </c>
      <c r="J77" s="1" t="s">
        <v>268</v>
      </c>
      <c r="K77" s="1" t="s">
        <v>472</v>
      </c>
      <c r="L77" s="1" t="s">
        <v>293</v>
      </c>
      <c r="M77" s="102" t="s">
        <v>473</v>
      </c>
      <c r="O77" s="3" t="s">
        <v>272</v>
      </c>
      <c r="P77" s="7">
        <v>230</v>
      </c>
      <c r="Q77" s="8">
        <v>43.5</v>
      </c>
      <c r="R77" s="4">
        <v>7900000</v>
      </c>
      <c r="S77" s="4"/>
      <c r="T77" s="4"/>
      <c r="U77" s="4"/>
      <c r="V77" s="4"/>
      <c r="W77" s="4"/>
      <c r="X77" s="4"/>
      <c r="Y77" s="4"/>
      <c r="Z77" s="4"/>
      <c r="AA77" s="7"/>
      <c r="AB77" s="8"/>
      <c r="AC77" s="7"/>
      <c r="AD77" s="7"/>
      <c r="AE77" s="7"/>
      <c r="AF77" s="5"/>
      <c r="AG77" s="5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</row>
    <row r="78" spans="2:45" ht="14.25" customHeight="1">
      <c r="B78" s="2">
        <f t="shared" si="2"/>
        <v>73</v>
      </c>
      <c r="D78" s="108" t="s">
        <v>474</v>
      </c>
      <c r="E78" s="1">
        <v>1</v>
      </c>
      <c r="F78" s="115"/>
      <c r="G78" s="115"/>
      <c r="H78" s="116"/>
      <c r="I78" s="1" t="s">
        <v>267</v>
      </c>
      <c r="J78" s="1" t="s">
        <v>258</v>
      </c>
      <c r="K78" s="1" t="s">
        <v>475</v>
      </c>
      <c r="L78" s="1" t="s">
        <v>372</v>
      </c>
      <c r="M78" s="102" t="s">
        <v>476</v>
      </c>
      <c r="O78" s="3" t="s">
        <v>272</v>
      </c>
      <c r="P78" s="7">
        <v>230</v>
      </c>
      <c r="Q78" s="98">
        <v>5.2199999999999998E-3</v>
      </c>
      <c r="R78" s="4">
        <v>3788000</v>
      </c>
      <c r="S78" s="4"/>
      <c r="T78" s="4"/>
      <c r="U78" s="4"/>
      <c r="V78" s="4"/>
      <c r="W78" s="4"/>
      <c r="X78" s="4"/>
      <c r="Y78" s="4"/>
      <c r="Z78" s="4"/>
      <c r="AA78" s="103"/>
      <c r="AB78" s="103"/>
      <c r="AC78" s="103"/>
      <c r="AD78" s="103"/>
      <c r="AE78" s="103"/>
      <c r="AF78" s="5"/>
      <c r="AG78" s="5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</row>
    <row r="79" spans="2:45" ht="14.25" customHeight="1">
      <c r="B79" s="2">
        <f t="shared" si="2"/>
        <v>74</v>
      </c>
      <c r="D79" s="104" t="s">
        <v>477</v>
      </c>
      <c r="E79" s="1">
        <v>1</v>
      </c>
      <c r="F79" s="115"/>
      <c r="G79" s="115"/>
      <c r="H79" s="116" t="s">
        <v>302</v>
      </c>
      <c r="I79" s="1" t="s">
        <v>267</v>
      </c>
      <c r="J79" s="1" t="s">
        <v>258</v>
      </c>
      <c r="K79" s="1" t="s">
        <v>478</v>
      </c>
      <c r="L79" s="1" t="s">
        <v>314</v>
      </c>
      <c r="M79" s="99" t="s">
        <v>479</v>
      </c>
      <c r="O79" s="3"/>
      <c r="P79" s="7">
        <v>230</v>
      </c>
      <c r="Q79" s="8">
        <v>43.5</v>
      </c>
      <c r="R79" s="4">
        <v>3788000</v>
      </c>
      <c r="S79" s="4"/>
      <c r="T79" s="4"/>
      <c r="U79" s="4"/>
      <c r="V79" s="4"/>
      <c r="W79" s="4"/>
      <c r="X79" s="4"/>
      <c r="Y79" s="4"/>
      <c r="Z79" s="4"/>
      <c r="AA79" s="7"/>
      <c r="AB79" s="8"/>
      <c r="AC79" s="7"/>
      <c r="AD79" s="7"/>
      <c r="AE79" s="7"/>
      <c r="AF79" s="5"/>
      <c r="AG79" s="5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</row>
    <row r="80" spans="2:45" ht="14.25" customHeight="1">
      <c r="B80" s="2">
        <f t="shared" si="2"/>
        <v>75</v>
      </c>
      <c r="D80" s="104" t="s">
        <v>480</v>
      </c>
      <c r="E80" s="1">
        <v>1</v>
      </c>
      <c r="F80" s="115"/>
      <c r="G80" s="115"/>
      <c r="H80" s="116" t="s">
        <v>291</v>
      </c>
      <c r="I80" s="1" t="s">
        <v>267</v>
      </c>
      <c r="J80" s="1" t="s">
        <v>268</v>
      </c>
      <c r="O80" s="3" t="s">
        <v>272</v>
      </c>
      <c r="P80" s="3"/>
      <c r="Q80" s="8">
        <v>43.5</v>
      </c>
      <c r="R80" s="4">
        <v>5191000</v>
      </c>
      <c r="S80" s="4"/>
      <c r="T80" s="4"/>
      <c r="U80" s="4"/>
      <c r="V80" s="4"/>
      <c r="W80" s="4"/>
      <c r="X80" s="4"/>
      <c r="Y80" s="4"/>
      <c r="Z80" s="4"/>
      <c r="AA80" s="7"/>
      <c r="AB80" s="8"/>
      <c r="AC80" s="7"/>
      <c r="AD80" s="7"/>
      <c r="AE80" s="7"/>
      <c r="AF80" s="5"/>
      <c r="AG80" s="5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</row>
    <row r="81" spans="2:45" ht="14.25" customHeight="1">
      <c r="B81" s="2">
        <f t="shared" si="2"/>
        <v>76</v>
      </c>
      <c r="D81" s="104" t="s">
        <v>481</v>
      </c>
      <c r="E81" s="1" t="s">
        <v>482</v>
      </c>
      <c r="F81" s="115"/>
      <c r="G81" s="115"/>
      <c r="H81" s="116"/>
      <c r="I81" s="1" t="s">
        <v>267</v>
      </c>
      <c r="J81" s="1" t="s">
        <v>258</v>
      </c>
      <c r="K81" s="1" t="s">
        <v>367</v>
      </c>
      <c r="L81" s="1" t="s">
        <v>368</v>
      </c>
      <c r="M81" s="102" t="s">
        <v>483</v>
      </c>
      <c r="O81" s="3" t="s">
        <v>272</v>
      </c>
      <c r="P81" s="7">
        <v>230</v>
      </c>
      <c r="Q81" s="8">
        <v>43.5</v>
      </c>
      <c r="R81" s="4">
        <v>6324000</v>
      </c>
      <c r="S81" s="4"/>
      <c r="T81" s="4"/>
      <c r="U81" s="4"/>
      <c r="V81" s="4"/>
      <c r="W81" s="4"/>
      <c r="X81" s="4"/>
      <c r="Y81" s="4"/>
      <c r="Z81" s="4"/>
      <c r="AA81" s="7"/>
      <c r="AB81" s="8"/>
      <c r="AC81" s="7"/>
      <c r="AD81" s="7"/>
      <c r="AE81" s="7"/>
      <c r="AF81" s="5"/>
      <c r="AG81" s="5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</row>
    <row r="82" spans="2:45" ht="14.25" customHeight="1">
      <c r="B82" s="2">
        <f t="shared" si="2"/>
        <v>77</v>
      </c>
      <c r="D82" s="104" t="s">
        <v>484</v>
      </c>
      <c r="E82" s="1">
        <v>1</v>
      </c>
      <c r="F82" s="115"/>
      <c r="G82" s="115"/>
      <c r="H82" s="116">
        <v>0</v>
      </c>
      <c r="I82" s="1" t="s">
        <v>267</v>
      </c>
      <c r="J82" s="1" t="s">
        <v>258</v>
      </c>
      <c r="K82" s="1" t="s">
        <v>357</v>
      </c>
      <c r="L82" s="1" t="s">
        <v>358</v>
      </c>
      <c r="M82" s="102" t="s">
        <v>485</v>
      </c>
      <c r="O82" s="3" t="s">
        <v>272</v>
      </c>
      <c r="P82" s="3"/>
      <c r="Q82" s="3"/>
      <c r="R82" s="4">
        <v>2735000</v>
      </c>
      <c r="S82" s="4"/>
      <c r="T82" s="4"/>
      <c r="U82" s="4"/>
      <c r="V82" s="4"/>
      <c r="W82" s="4"/>
      <c r="X82" s="4"/>
      <c r="Y82" s="4"/>
      <c r="Z82" s="4"/>
      <c r="AA82" s="103"/>
      <c r="AB82" s="103"/>
      <c r="AC82" s="103"/>
      <c r="AD82" s="103"/>
      <c r="AE82" s="103"/>
      <c r="AF82" s="5"/>
      <c r="AG82" s="5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</row>
    <row r="83" spans="2:45" ht="14.25" customHeight="1">
      <c r="B83" s="2">
        <f t="shared" si="2"/>
        <v>78</v>
      </c>
      <c r="D83" s="110" t="s">
        <v>486</v>
      </c>
      <c r="E83" s="1">
        <v>1</v>
      </c>
      <c r="F83" s="115"/>
      <c r="G83" s="115"/>
      <c r="H83" s="116">
        <v>0</v>
      </c>
      <c r="I83" s="1" t="s">
        <v>267</v>
      </c>
      <c r="J83" s="1" t="s">
        <v>258</v>
      </c>
      <c r="K83" s="1" t="s">
        <v>487</v>
      </c>
      <c r="L83" s="1" t="s">
        <v>372</v>
      </c>
      <c r="M83" s="102" t="s">
        <v>488</v>
      </c>
      <c r="O83" s="3" t="s">
        <v>272</v>
      </c>
      <c r="P83" s="7">
        <v>230</v>
      </c>
      <c r="Q83" s="98">
        <v>5.2199999999999998E-3</v>
      </c>
      <c r="R83" s="4">
        <v>4610000</v>
      </c>
      <c r="S83" s="4"/>
      <c r="T83" s="4"/>
      <c r="U83" s="4"/>
      <c r="V83" s="4"/>
      <c r="W83" s="4"/>
      <c r="X83" s="4"/>
      <c r="Y83" s="4"/>
      <c r="Z83" s="4"/>
      <c r="AA83" s="103"/>
      <c r="AB83" s="103"/>
      <c r="AC83" s="103"/>
      <c r="AD83" s="103"/>
      <c r="AE83" s="103"/>
      <c r="AF83" s="5"/>
      <c r="AG83" s="5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</row>
    <row r="84" spans="2:45" ht="14.25" customHeight="1">
      <c r="B84" s="2">
        <f t="shared" si="2"/>
        <v>79</v>
      </c>
      <c r="D84" s="104" t="s">
        <v>489</v>
      </c>
      <c r="E84" s="1">
        <v>1</v>
      </c>
      <c r="F84" s="115"/>
      <c r="G84" s="115"/>
      <c r="H84" s="116" t="s">
        <v>490</v>
      </c>
      <c r="I84" s="1" t="s">
        <v>267</v>
      </c>
      <c r="J84" s="1" t="s">
        <v>258</v>
      </c>
      <c r="K84" s="1" t="s">
        <v>425</v>
      </c>
      <c r="L84" s="1" t="s">
        <v>288</v>
      </c>
      <c r="M84" s="102" t="s">
        <v>491</v>
      </c>
      <c r="O84" s="3" t="s">
        <v>272</v>
      </c>
      <c r="P84" s="7">
        <v>230</v>
      </c>
      <c r="Q84" s="98">
        <v>5.2199999999999998E-3</v>
      </c>
      <c r="R84" s="4">
        <v>13796000</v>
      </c>
      <c r="S84" s="4"/>
      <c r="T84" s="4"/>
      <c r="U84" s="4"/>
      <c r="V84" s="4"/>
      <c r="W84" s="4"/>
      <c r="X84" s="4"/>
      <c r="Y84" s="4"/>
      <c r="Z84" s="4"/>
      <c r="AA84" s="103"/>
      <c r="AB84" s="103"/>
      <c r="AC84" s="103"/>
      <c r="AD84" s="103"/>
      <c r="AE84" s="103"/>
      <c r="AF84" s="5"/>
      <c r="AG84" s="5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</row>
    <row r="85" spans="2:45" ht="14.25" customHeight="1">
      <c r="B85" s="2"/>
      <c r="D85" s="1"/>
      <c r="E85" s="1"/>
      <c r="F85" s="1"/>
      <c r="G85" s="1"/>
      <c r="H85" s="1"/>
      <c r="O85" s="3"/>
      <c r="P85" s="3"/>
      <c r="Q85" s="3"/>
      <c r="R85" s="4"/>
      <c r="S85" s="4"/>
      <c r="T85" s="4"/>
      <c r="U85" s="4"/>
      <c r="V85" s="4"/>
      <c r="W85" s="4"/>
      <c r="X85" s="4"/>
      <c r="Y85" s="4"/>
      <c r="Z85" s="4"/>
      <c r="AA85" s="7"/>
      <c r="AB85" s="8"/>
      <c r="AC85" s="7"/>
      <c r="AD85" s="7"/>
      <c r="AE85" s="7"/>
      <c r="AF85" s="5"/>
      <c r="AG85" s="5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</row>
    <row r="86" spans="2:45" ht="14.25" customHeight="1">
      <c r="D86" s="1"/>
    </row>
    <row r="87" spans="2:45" ht="14.25" customHeight="1">
      <c r="D87" s="1"/>
    </row>
    <row r="88" spans="2:45" ht="14.25" customHeight="1">
      <c r="D88" s="1"/>
    </row>
    <row r="89" spans="2:45" ht="14.25" customHeight="1">
      <c r="D89" s="1"/>
    </row>
    <row r="119" spans="9:9" ht="14.25" customHeight="1">
      <c r="I119" s="1" t="s">
        <v>90</v>
      </c>
    </row>
    <row r="120" spans="9:9" ht="14.25" customHeight="1">
      <c r="I120" s="1" t="s">
        <v>124</v>
      </c>
    </row>
    <row r="122" spans="9:9" ht="14.25" customHeight="1">
      <c r="I122" s="1" t="s">
        <v>256</v>
      </c>
    </row>
    <row r="123" spans="9:9" ht="14.25" customHeight="1">
      <c r="I123" s="1" t="s">
        <v>260</v>
      </c>
    </row>
    <row r="124" spans="9:9" ht="14.25" customHeight="1">
      <c r="I124" s="1" t="s">
        <v>263</v>
      </c>
    </row>
  </sheetData>
  <mergeCells count="11">
    <mergeCell ref="AQ4:AS4"/>
    <mergeCell ref="AQ1:AS1"/>
    <mergeCell ref="AF4:AH4"/>
    <mergeCell ref="AI4:AL4"/>
    <mergeCell ref="X4:Z4"/>
    <mergeCell ref="U4:W4"/>
    <mergeCell ref="S4:T4"/>
    <mergeCell ref="AA4:AB4"/>
    <mergeCell ref="AC4:AE4"/>
    <mergeCell ref="AM1:AP1"/>
    <mergeCell ref="AM4:AP4"/>
  </mergeCells>
  <phoneticPr fontId="8" type="noConversion"/>
  <dataValidations count="3">
    <dataValidation type="list" allowBlank="1" showInputMessage="1" showErrorMessage="1" sqref="I6:I84" xr:uid="{8020E7DA-D521-4D13-B252-30C82339BD74}">
      <formula1>"Contrato Término Fijo, Contrato a Término Indefinido, Contrato por Prestación de Servicios, Contrato por Obra Labor,Otro"</formula1>
    </dataValidation>
    <dataValidation type="list" allowBlank="1" showInputMessage="1" showErrorMessage="1" sqref="F6:F84" xr:uid="{307878E9-D63E-40AA-901C-668584F55034}">
      <formula1>$I$119:$I$120</formula1>
    </dataValidation>
    <dataValidation type="list" allowBlank="1" showInputMessage="1" showErrorMessage="1" sqref="G6:G84" xr:uid="{AB538831-9036-4167-A5B3-1875F06C17D6}">
      <formula1>$I$122:$I$124</formula1>
    </dataValidation>
  </dataValidations>
  <pageMargins left="0.7" right="0.7" top="0.75" bottom="0.75" header="0.3" footer="0.3"/>
  <pageSetup orientation="portrait" r:id="rId1"/>
  <drawing r:id="rId2"/>
  <legacyDrawing r:id="rId3"/>
  <picture r:id="rId4"/>
  <tableParts count="1">
    <tablePart r:id="rId5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05339B8-0828-4AFC-A539-74B0B3368E3C}">
          <x14:formula1>
            <xm:f>LISTA!$E$2:$E$4</xm:f>
          </x14:formula1>
          <xm:sqref>J6:J84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D8811-3105-41DF-A267-A47CEB27B460}">
  <dimension ref="A1"/>
  <sheetViews>
    <sheetView workbookViewId="0"/>
  </sheetViews>
  <sheetFormatPr baseColWidth="10" defaultColWidth="11.44140625" defaultRowHeight="14.4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7F839-CF1F-4EA6-ADAF-E91DA0B9FDBB}">
  <sheetPr codeName="Hoja6"/>
  <dimension ref="B1:E13"/>
  <sheetViews>
    <sheetView workbookViewId="0">
      <selection activeCell="E5" sqref="E5"/>
    </sheetView>
  </sheetViews>
  <sheetFormatPr baseColWidth="10" defaultColWidth="11.44140625" defaultRowHeight="14.4"/>
  <sheetData>
    <row r="1" spans="2:5">
      <c r="B1" t="s">
        <v>492</v>
      </c>
      <c r="E1" t="s">
        <v>493</v>
      </c>
    </row>
    <row r="2" spans="2:5">
      <c r="B2" t="s">
        <v>494</v>
      </c>
      <c r="E2" t="s">
        <v>268</v>
      </c>
    </row>
    <row r="3" spans="2:5">
      <c r="B3" t="s">
        <v>166</v>
      </c>
      <c r="E3" t="s">
        <v>495</v>
      </c>
    </row>
    <row r="4" spans="2:5">
      <c r="B4" t="s">
        <v>496</v>
      </c>
      <c r="E4" t="s">
        <v>258</v>
      </c>
    </row>
    <row r="5" spans="2:5">
      <c r="B5" t="s">
        <v>497</v>
      </c>
    </row>
    <row r="6" spans="2:5">
      <c r="B6" t="s">
        <v>498</v>
      </c>
    </row>
    <row r="7" spans="2:5">
      <c r="B7" t="s">
        <v>122</v>
      </c>
    </row>
    <row r="8" spans="2:5">
      <c r="B8" t="s">
        <v>499</v>
      </c>
    </row>
    <row r="9" spans="2:5">
      <c r="B9" t="s">
        <v>500</v>
      </c>
    </row>
    <row r="10" spans="2:5">
      <c r="B10" t="s">
        <v>501</v>
      </c>
    </row>
    <row r="11" spans="2:5">
      <c r="B11" t="s">
        <v>502</v>
      </c>
    </row>
    <row r="12" spans="2:5">
      <c r="B12" t="s">
        <v>503</v>
      </c>
    </row>
    <row r="13" spans="2:5">
      <c r="B13" t="s">
        <v>504</v>
      </c>
    </row>
  </sheetData>
  <phoneticPr fontId="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74379-7522-48D8-BF56-6BD979649E06}">
  <sheetPr codeName="Hoja4"/>
  <dimension ref="A1:P27"/>
  <sheetViews>
    <sheetView showGridLines="0" topLeftCell="A19" workbookViewId="0">
      <selection activeCell="D3" sqref="D3:D8"/>
    </sheetView>
  </sheetViews>
  <sheetFormatPr baseColWidth="10" defaultColWidth="0" defaultRowHeight="14.4" zeroHeight="1"/>
  <cols>
    <col min="1" max="1" width="1.5546875" customWidth="1"/>
    <col min="2" max="4" width="21.44140625" style="1" customWidth="1"/>
    <col min="5" max="5" width="91.88671875" style="1" customWidth="1"/>
    <col min="6" max="6" width="1.44140625" customWidth="1"/>
    <col min="7" max="16" width="0" hidden="1" customWidth="1"/>
    <col min="17" max="16384" width="11.44140625" hidden="1"/>
  </cols>
  <sheetData>
    <row r="1" spans="2:5"/>
    <row r="2" spans="2:5" ht="28.5" customHeight="1">
      <c r="B2" s="10" t="s">
        <v>505</v>
      </c>
      <c r="C2" s="10" t="s">
        <v>506</v>
      </c>
      <c r="D2" s="10" t="s">
        <v>507</v>
      </c>
      <c r="E2" s="10" t="s">
        <v>506</v>
      </c>
    </row>
    <row r="3" spans="2:5" ht="41.4" customHeight="1">
      <c r="B3" s="183" t="s">
        <v>508</v>
      </c>
      <c r="C3" s="182" t="s">
        <v>509</v>
      </c>
      <c r="D3" s="12" t="s">
        <v>510</v>
      </c>
      <c r="E3" s="13" t="s">
        <v>511</v>
      </c>
    </row>
    <row r="4" spans="2:5" ht="41.4" customHeight="1">
      <c r="B4" s="183"/>
      <c r="C4" s="182"/>
      <c r="D4" s="12" t="s">
        <v>512</v>
      </c>
      <c r="E4" s="13" t="s">
        <v>513</v>
      </c>
    </row>
    <row r="5" spans="2:5" ht="41.4" customHeight="1">
      <c r="B5" s="183"/>
      <c r="C5" s="182"/>
      <c r="D5" s="12" t="s">
        <v>514</v>
      </c>
      <c r="E5" s="13" t="s">
        <v>515</v>
      </c>
    </row>
    <row r="6" spans="2:5" ht="41.4" customHeight="1">
      <c r="B6" s="183"/>
      <c r="C6" s="182"/>
      <c r="D6" s="12" t="s">
        <v>516</v>
      </c>
      <c r="E6" s="13" t="s">
        <v>517</v>
      </c>
    </row>
    <row r="7" spans="2:5" ht="41.4" customHeight="1">
      <c r="B7" s="183"/>
      <c r="C7" s="182"/>
      <c r="D7" s="12" t="s">
        <v>518</v>
      </c>
      <c r="E7" s="13" t="s">
        <v>519</v>
      </c>
    </row>
    <row r="8" spans="2:5" ht="41.4" customHeight="1">
      <c r="B8" s="183"/>
      <c r="C8" s="182"/>
      <c r="D8" s="12" t="s">
        <v>520</v>
      </c>
      <c r="E8" s="13" t="s">
        <v>521</v>
      </c>
    </row>
    <row r="9" spans="2:5" ht="78.599999999999994" customHeight="1">
      <c r="B9" s="183" t="s">
        <v>522</v>
      </c>
      <c r="C9" s="182" t="s">
        <v>523</v>
      </c>
      <c r="D9" s="11" t="s">
        <v>524</v>
      </c>
      <c r="E9" s="13" t="s">
        <v>525</v>
      </c>
    </row>
    <row r="10" spans="2:5" ht="78.599999999999994" customHeight="1">
      <c r="B10" s="183"/>
      <c r="C10" s="182"/>
      <c r="D10" s="11" t="s">
        <v>526</v>
      </c>
      <c r="E10" s="13" t="s">
        <v>527</v>
      </c>
    </row>
    <row r="11" spans="2:5" ht="78.599999999999994" customHeight="1">
      <c r="B11" s="183"/>
      <c r="C11" s="182"/>
      <c r="D11" s="11" t="s">
        <v>528</v>
      </c>
      <c r="E11" s="13" t="s">
        <v>529</v>
      </c>
    </row>
    <row r="12" spans="2:5" ht="78.599999999999994" customHeight="1">
      <c r="B12" s="183"/>
      <c r="C12" s="182"/>
      <c r="D12" s="11" t="s">
        <v>530</v>
      </c>
      <c r="E12" s="13" t="s">
        <v>531</v>
      </c>
    </row>
    <row r="13" spans="2:5" ht="57.6" customHeight="1">
      <c r="B13" s="183" t="s">
        <v>532</v>
      </c>
      <c r="C13" s="182" t="s">
        <v>533</v>
      </c>
      <c r="D13" s="11" t="s">
        <v>534</v>
      </c>
      <c r="E13" s="13" t="s">
        <v>535</v>
      </c>
    </row>
    <row r="14" spans="2:5" ht="57.6" customHeight="1">
      <c r="B14" s="183"/>
      <c r="C14" s="182"/>
      <c r="D14" s="11" t="s">
        <v>536</v>
      </c>
      <c r="E14" s="13" t="s">
        <v>537</v>
      </c>
    </row>
    <row r="15" spans="2:5" ht="57.6" customHeight="1">
      <c r="B15" s="183"/>
      <c r="C15" s="182"/>
      <c r="D15" s="11" t="s">
        <v>538</v>
      </c>
      <c r="E15" s="13" t="s">
        <v>539</v>
      </c>
    </row>
    <row r="16" spans="2:5" ht="57.6" customHeight="1">
      <c r="B16" s="183"/>
      <c r="C16" s="182"/>
      <c r="D16" s="11" t="s">
        <v>540</v>
      </c>
      <c r="E16" s="13" t="s">
        <v>541</v>
      </c>
    </row>
    <row r="17" spans="2:5" ht="57.6" customHeight="1">
      <c r="B17" s="183"/>
      <c r="C17" s="182"/>
      <c r="D17" s="11" t="s">
        <v>542</v>
      </c>
      <c r="E17" s="13" t="s">
        <v>543</v>
      </c>
    </row>
    <row r="18" spans="2:5" ht="57.6" customHeight="1">
      <c r="B18" s="183"/>
      <c r="C18" s="182"/>
      <c r="D18" s="11" t="s">
        <v>544</v>
      </c>
      <c r="E18" s="13" t="s">
        <v>545</v>
      </c>
    </row>
    <row r="19" spans="2:5" ht="57" customHeight="1">
      <c r="B19" s="183" t="s">
        <v>170</v>
      </c>
      <c r="C19" s="182" t="s">
        <v>546</v>
      </c>
      <c r="D19" s="11" t="s">
        <v>547</v>
      </c>
      <c r="E19" s="13" t="s">
        <v>548</v>
      </c>
    </row>
    <row r="20" spans="2:5" ht="57" customHeight="1">
      <c r="B20" s="183"/>
      <c r="C20" s="182"/>
      <c r="D20" s="11" t="s">
        <v>549</v>
      </c>
      <c r="E20" s="13" t="s">
        <v>550</v>
      </c>
    </row>
    <row r="21" spans="2:5" ht="56.1" customHeight="1">
      <c r="B21" s="183" t="s">
        <v>551</v>
      </c>
      <c r="C21" s="182" t="s">
        <v>552</v>
      </c>
      <c r="D21" s="11" t="s">
        <v>553</v>
      </c>
      <c r="E21" s="13" t="s">
        <v>554</v>
      </c>
    </row>
    <row r="22" spans="2:5" ht="56.1" customHeight="1">
      <c r="B22" s="183"/>
      <c r="C22" s="182"/>
      <c r="D22" s="11" t="s">
        <v>551</v>
      </c>
      <c r="E22" s="13" t="s">
        <v>555</v>
      </c>
    </row>
    <row r="23" spans="2:5" ht="53.1" customHeight="1">
      <c r="B23" s="183" t="s">
        <v>171</v>
      </c>
      <c r="C23" s="182" t="s">
        <v>556</v>
      </c>
      <c r="D23" s="11" t="s">
        <v>557</v>
      </c>
      <c r="E23" s="13" t="s">
        <v>558</v>
      </c>
    </row>
    <row r="24" spans="2:5" ht="53.1" customHeight="1">
      <c r="B24" s="183"/>
      <c r="C24" s="182"/>
      <c r="D24" s="11" t="s">
        <v>559</v>
      </c>
      <c r="E24" s="13" t="s">
        <v>560</v>
      </c>
    </row>
    <row r="25" spans="2:5" ht="53.1" customHeight="1">
      <c r="B25" s="183"/>
      <c r="C25" s="182"/>
      <c r="D25" s="11" t="s">
        <v>561</v>
      </c>
      <c r="E25" s="13" t="s">
        <v>562</v>
      </c>
    </row>
    <row r="26" spans="2:5" ht="53.1" customHeight="1">
      <c r="B26" s="183"/>
      <c r="C26" s="182"/>
      <c r="D26" s="11" t="s">
        <v>563</v>
      </c>
      <c r="E26" s="13" t="s">
        <v>564</v>
      </c>
    </row>
    <row r="27" spans="2:5"/>
  </sheetData>
  <mergeCells count="12">
    <mergeCell ref="B3:B8"/>
    <mergeCell ref="B9:B12"/>
    <mergeCell ref="C3:C8"/>
    <mergeCell ref="C9:C12"/>
    <mergeCell ref="B13:B18"/>
    <mergeCell ref="C13:C18"/>
    <mergeCell ref="C19:C20"/>
    <mergeCell ref="B19:B20"/>
    <mergeCell ref="C21:C22"/>
    <mergeCell ref="B21:B22"/>
    <mergeCell ref="C23:C26"/>
    <mergeCell ref="B23:B2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5222-CADB-440D-8577-62C4776492DF}">
  <sheetPr codeName="Hoja5"/>
  <dimension ref="B4:N19"/>
  <sheetViews>
    <sheetView workbookViewId="0">
      <selection activeCell="D16" sqref="D16"/>
    </sheetView>
  </sheetViews>
  <sheetFormatPr baseColWidth="10" defaultColWidth="11.44140625" defaultRowHeight="14.4"/>
  <cols>
    <col min="1" max="1" width="2.44140625" customWidth="1"/>
    <col min="3" max="3" width="2.44140625" customWidth="1"/>
    <col min="4" max="4" width="27.88671875" bestFit="1" customWidth="1"/>
    <col min="5" max="5" width="1" customWidth="1"/>
    <col min="6" max="6" width="22.109375" customWidth="1"/>
    <col min="7" max="7" width="1" customWidth="1"/>
    <col min="8" max="8" width="19.109375" bestFit="1" customWidth="1"/>
    <col min="9" max="9" width="1" customWidth="1"/>
    <col min="10" max="10" width="19.88671875" bestFit="1" customWidth="1"/>
    <col min="11" max="11" width="1" customWidth="1"/>
    <col min="13" max="13" width="1" customWidth="1"/>
    <col min="14" max="14" width="11.109375" customWidth="1"/>
  </cols>
  <sheetData>
    <row r="4" spans="2:14">
      <c r="B4" s="15" t="s">
        <v>125</v>
      </c>
      <c r="D4" s="17" t="s">
        <v>508</v>
      </c>
      <c r="F4" s="17" t="s">
        <v>565</v>
      </c>
      <c r="H4" s="17" t="s">
        <v>532</v>
      </c>
      <c r="J4" s="17" t="s">
        <v>170</v>
      </c>
      <c r="L4" s="17" t="s">
        <v>551</v>
      </c>
      <c r="M4" s="17"/>
      <c r="N4" s="17" t="s">
        <v>171</v>
      </c>
    </row>
    <row r="5" spans="2:14">
      <c r="B5" s="15"/>
      <c r="D5" t="s">
        <v>510</v>
      </c>
      <c r="F5" t="s">
        <v>524</v>
      </c>
      <c r="H5" t="s">
        <v>566</v>
      </c>
      <c r="J5" t="s">
        <v>547</v>
      </c>
      <c r="L5" t="s">
        <v>553</v>
      </c>
      <c r="N5" t="s">
        <v>557</v>
      </c>
    </row>
    <row r="6" spans="2:14">
      <c r="D6" t="s">
        <v>512</v>
      </c>
      <c r="F6" t="s">
        <v>526</v>
      </c>
      <c r="H6" t="s">
        <v>567</v>
      </c>
      <c r="J6" t="s">
        <v>549</v>
      </c>
      <c r="L6" t="s">
        <v>551</v>
      </c>
      <c r="N6" t="s">
        <v>559</v>
      </c>
    </row>
    <row r="7" spans="2:14">
      <c r="D7" t="s">
        <v>514</v>
      </c>
      <c r="F7" t="s">
        <v>528</v>
      </c>
      <c r="H7" t="s">
        <v>568</v>
      </c>
      <c r="N7" t="s">
        <v>561</v>
      </c>
    </row>
    <row r="8" spans="2:14">
      <c r="D8" t="s">
        <v>516</v>
      </c>
      <c r="F8" t="s">
        <v>530</v>
      </c>
      <c r="H8" t="s">
        <v>569</v>
      </c>
      <c r="N8" t="s">
        <v>563</v>
      </c>
    </row>
    <row r="9" spans="2:14">
      <c r="D9" t="s">
        <v>518</v>
      </c>
    </row>
    <row r="10" spans="2:14">
      <c r="D10" t="s">
        <v>520</v>
      </c>
    </row>
    <row r="14" spans="2:14">
      <c r="D14" s="17" t="s">
        <v>508</v>
      </c>
    </row>
    <row r="15" spans="2:14">
      <c r="D15" s="17" t="s">
        <v>565</v>
      </c>
    </row>
    <row r="16" spans="2:14">
      <c r="D16" s="17" t="s">
        <v>532</v>
      </c>
    </row>
    <row r="17" spans="4:4">
      <c r="D17" s="17" t="s">
        <v>170</v>
      </c>
    </row>
    <row r="18" spans="4:4">
      <c r="D18" s="17" t="s">
        <v>551</v>
      </c>
    </row>
    <row r="19" spans="4:4">
      <c r="D19" s="17" t="s">
        <v>171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74083085F3E4741954568EF2FEF3C05" ma:contentTypeVersion="3" ma:contentTypeDescription="Crear nuevo documento." ma:contentTypeScope="" ma:versionID="cfbea24897c5d025d673dc922510abdf">
  <xsd:schema xmlns:xsd="http://www.w3.org/2001/XMLSchema" xmlns:xs="http://www.w3.org/2001/XMLSchema" xmlns:p="http://schemas.microsoft.com/office/2006/metadata/properties" xmlns:ns2="629f2d2f-b6b6-44db-ab00-3edb937bbcef" targetNamespace="http://schemas.microsoft.com/office/2006/metadata/properties" ma:root="true" ma:fieldsID="5a6fdb78d685c65998dae7f1c3d40807" ns2:_="">
    <xsd:import namespace="629f2d2f-b6b6-44db-ab00-3edb937bbce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9f2d2f-b6b6-44db-ab00-3edb937bbc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16C886E-EDA0-47F6-8294-B9C755825AEF}">
  <ds:schemaRefs>
    <ds:schemaRef ds:uri="http://schemas.microsoft.com/office/2006/metadata/properties"/>
    <ds:schemaRef ds:uri="http://www.w3.org/XML/1998/namespace"/>
    <ds:schemaRef ds:uri="http://purl.org/dc/terms/"/>
    <ds:schemaRef ds:uri="629f2d2f-b6b6-44db-ab00-3edb937bbcef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F87FC116-9974-4FF1-BE50-ECB3F7CEB0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29f2d2f-b6b6-44db-ab00-3edb937bbce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11DE01F-F12B-4BF6-97F6-8147FC13339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7</vt:i4>
      </vt:variant>
    </vt:vector>
  </HeadingPairs>
  <TitlesOfParts>
    <vt:vector size="14" baseType="lpstr">
      <vt:lpstr>Datos generales</vt:lpstr>
      <vt:lpstr>Practicas de compensación</vt:lpstr>
      <vt:lpstr>Información por cargo</vt:lpstr>
      <vt:lpstr>Hoja1</vt:lpstr>
      <vt:lpstr>LISTA</vt:lpstr>
      <vt:lpstr>Explicación Tipología y Niveles</vt:lpstr>
      <vt:lpstr>Listas</vt:lpstr>
      <vt:lpstr>Contribución_Individual</vt:lpstr>
      <vt:lpstr>Datos_Iniciales</vt:lpstr>
      <vt:lpstr>Docente</vt:lpstr>
      <vt:lpstr>Gerencial</vt:lpstr>
      <vt:lpstr>Operativo</vt:lpstr>
      <vt:lpstr>Soporte</vt:lpstr>
      <vt:lpstr>Técnico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SHR</dc:creator>
  <cp:keywords/>
  <dc:description/>
  <cp:lastModifiedBy>Seres Humanos Realizados</cp:lastModifiedBy>
  <cp:revision/>
  <dcterms:created xsi:type="dcterms:W3CDTF">2014-07-25T16:16:28Z</dcterms:created>
  <dcterms:modified xsi:type="dcterms:W3CDTF">2026-04-20T21:07:19Z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0x010100274083085F3E4741954568EF2FEF3C05</vt:lpwstr>
  </property>
  <property fmtid="{D5CDD505-2E9C-101B-9397-08002B2CF9AE}" pid="3" name="MediaServiceImageTags">
    <vt:lpwstr/>
  </property>
</Properties>
</file>