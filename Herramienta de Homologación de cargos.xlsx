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scripciones" sheetId="1" state="visible" r:id="rId3"/>
    <sheet name="HOMOLOGACIÓN" sheetId="2" state="visible" r:id="rId4"/>
    <sheet name="Plantilla de Homologación" sheetId="3" state="visible" r:id="rId5"/>
    <sheet name="LISTA" sheetId="4" state="visible" r:id="rId6"/>
    <sheet name="CATALOGO" sheetId="5" state="visible" r:id="rId7"/>
    <sheet name="Hoja4" sheetId="6" state="visible" r:id="rId8"/>
  </sheets>
  <definedNames>
    <definedName function="false" hidden="true" localSheetId="0" name="_xlnm._FilterDatabase" vbProcedure="false">Descripciones!$A$1:$N$1052</definedName>
    <definedName function="false" hidden="true" localSheetId="2" name="_xlnm._FilterDatabase" vbProcedure="false">'Plantilla de Homologación'!$B$2:$F$98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<sst xmlns="http://schemas.openxmlformats.org/spreadsheetml/2006/main" count="16843" uniqueCount="4072">
  <si>
    <t xml:space="preserve">CODIGO 2017 ALFANÚMERICO</t>
  </si>
  <si>
    <t xml:space="preserve">NOMBRE</t>
  </si>
  <si>
    <t xml:space="preserve">CÓDIGO DE ÁREA 2017</t>
  </si>
  <si>
    <t xml:space="preserve">AREA GENERAL</t>
  </si>
  <si>
    <t xml:space="preserve">SUBAREA</t>
  </si>
  <si>
    <t xml:space="preserve">ÁREA ESPECIFICA</t>
  </si>
  <si>
    <t xml:space="preserve">CÓDIGO NIVEL 2017</t>
  </si>
  <si>
    <t xml:space="preserve">NIVEL ACTUAL( 2017)</t>
  </si>
  <si>
    <t xml:space="preserve">DESCRIPCION</t>
  </si>
  <si>
    <t xml:space="preserve">REPORTA A</t>
  </si>
  <si>
    <t xml:space="preserve">ESTUDIOS REQUERIDOS</t>
  </si>
  <si>
    <t xml:space="preserve">EXPERIENCIA REQUERIDA</t>
  </si>
  <si>
    <t xml:space="preserve">SEGUNDO IDIOMA</t>
  </si>
  <si>
    <t xml:space="preserve">CPAD00</t>
  </si>
  <si>
    <t xml:space="preserve">PRESIDENTE - REGIONAL</t>
  </si>
  <si>
    <t xml:space="preserve">CORPORATIVO</t>
  </si>
  <si>
    <t xml:space="preserve">ALTA DIRECCION</t>
  </si>
  <si>
    <t xml:space="preserve">REGIONAL</t>
  </si>
  <si>
    <t xml:space="preserve">1ER DIRECTIVO</t>
  </si>
  <si>
    <t xml:space="preserve">Planificar, organizar, dirigir y controlar todas las actividades de la compañía en una zona geográfica determinada cubriendo siempre más de un país. Identificar y recomendar la estrategia a corto, mediano y largo plazo, identificando y desarrollando nuevas oportunidades de negocio. Reporta generalmente a la Casa Matriz</t>
  </si>
  <si>
    <t xml:space="preserve">Casa matriz / Junta directiva</t>
  </si>
  <si>
    <t xml:space="preserve">Especialización</t>
  </si>
  <si>
    <t xml:space="preserve">Diversificada (15 años)</t>
  </si>
  <si>
    <t xml:space="preserve">Dominarlo</t>
  </si>
  <si>
    <t xml:space="preserve">CPAD03</t>
  </si>
  <si>
    <t xml:space="preserve">GERENTE GENERAL</t>
  </si>
  <si>
    <t xml:space="preserve">PAIS</t>
  </si>
  <si>
    <t xml:space="preserve">Dirigir y hacer cumplir los planes generales de la empresa a través de los gerentes de cada área, para garantizar el aprovechamiento de los recursos humanos, financieros, materiales y tecnológicos en busca de los objetivos finales de la organización.</t>
  </si>
  <si>
    <t xml:space="preserve">Presidente / Junta directiva</t>
  </si>
  <si>
    <t xml:space="preserve">Más de 10 años </t>
  </si>
  <si>
    <t xml:space="preserve">CPAD01</t>
  </si>
  <si>
    <t xml:space="preserve">PRESIDENTE PAIS</t>
  </si>
  <si>
    <t xml:space="preserve">Responsable de la dirección de una empresa a nivel nacional o local, con base en las orientaciones de una Junta Directiva o Casa Matriz. Es responsable de cumplir con la misión de la empresa y lograr sus objetivos fundamentales, mediante la definición y puesta en práctica de estratégias y políticas en todos sus ámbitos y la dirección de todas las áreas de la organización (comercial, operaciones, financiera, gestión humana, administración).El cargo requiere de un profesional con postgrado en un área afín a su cargo y amplia experiencia de negocios. Por lo general reporta a Casa Matriz.</t>
  </si>
  <si>
    <t xml:space="preserve">Junta directiva</t>
  </si>
  <si>
    <t xml:space="preserve">CPAD02</t>
  </si>
  <si>
    <t xml:space="preserve">PRESIDENTE/ GERENTE GENERAL - PAIS</t>
  </si>
  <si>
    <t xml:space="preserve">Dirigir, planear y garantizar el cumplimiento de los resultados operacionales, comerciales y financieros de la compañía identificar y recomendar la estrategia a corto, mediano y largo plazo, identificando y desarrollando nuevas oportunidades de negocio. Máxima autoridad de la organización.</t>
  </si>
  <si>
    <t xml:space="preserve">COVS10</t>
  </si>
  <si>
    <t xml:space="preserve">VICEPRESIDENTE COMERCIAL</t>
  </si>
  <si>
    <t xml:space="preserve">COMERCIAL</t>
  </si>
  <si>
    <t xml:space="preserve">VENTAS</t>
  </si>
  <si>
    <t xml:space="preserve">EJECUTIVOS SR</t>
  </si>
  <si>
    <t xml:space="preserve">Formular y fijar las políticas comerciales de la entidad, dirigidas a las diferentes regionales, sucursales y agencias que existen en todo el país. Planear, dirigir y controlar la promoción y difusión de los diferentes productos y la adecuada prestación de los servicios existentes.</t>
  </si>
  <si>
    <t xml:space="preserve">Presidente / Gerente general</t>
  </si>
  <si>
    <t xml:space="preserve">Varias Especialidades (10 años)</t>
  </si>
  <si>
    <t xml:space="preserve">SGSN10</t>
  </si>
  <si>
    <t xml:space="preserve">VICEPRESIDENTE SINIESTROS</t>
  </si>
  <si>
    <t xml:space="preserve">SERVICIOS FINANCIEROS Y SEGUROS</t>
  </si>
  <si>
    <t xml:space="preserve">SINIESTROS</t>
  </si>
  <si>
    <t xml:space="preserve">Define los parámetros operativos, estableciendo prioridades de recuperación de siniestros de terceros, reaseguros y coseguros. Mantiene contacto con otras compañías, buscando agilizar los procesos de resarcimiento para la empresa. Define también la posición de su compañía como líder o coaseguradora dentro de las propuestas de negocio. Acompaña la evolución de los procesos de resarcimiento / recuperación de los siniestros causados por terceros. Controla índices generales de siniestralidad de la Cia., priorizando la agilización de la atención de los pedidos de indemnización.</t>
  </si>
  <si>
    <t xml:space="preserve">Presidente</t>
  </si>
  <si>
    <t xml:space="preserve">EDRT10</t>
  </si>
  <si>
    <t xml:space="preserve">RECTOR</t>
  </si>
  <si>
    <t xml:space="preserve"> SERVICIOS EDUCATIVOS</t>
  </si>
  <si>
    <t xml:space="preserve">RECTORIA</t>
  </si>
  <si>
    <t xml:space="preserve">SERVICIOS EDUCATIVOS</t>
  </si>
  <si>
    <t xml:space="preserve">Planea, dirigir y soportar la gestión de docencia, investigación, proyección social y bienestar universitario, mediante una organización administrativa eficiente en el manejo de los recursos humanos, físicos, técnicos y financieros, que provea a los alumnos y profesores las mejores condiciones para su desarrollo académico.</t>
  </si>
  <si>
    <t xml:space="preserve">COSC12</t>
  </si>
  <si>
    <t xml:space="preserve">VICEPRESIDENTE SERVICIOS AL CLIENTE</t>
  </si>
  <si>
    <t xml:space="preserve">SERVICIO AL CLIENTE</t>
  </si>
  <si>
    <t xml:space="preserve">Dirige la función de Servicio al Cliente. Responsable por establecer políticas y procedimientos para proveer soporte técnico y no técnico a los clientes de acuerdo con las obligaciones contractuales. Puede ser responsable por desarrollar y vigilar la implementacion de estrategias de fidelizacion y satisfaccion.</t>
  </si>
  <si>
    <t xml:space="preserve">FISR10</t>
  </si>
  <si>
    <t xml:space="preserve">VICEPRESIDENTE GERENCIAMENTO RIESGO</t>
  </si>
  <si>
    <t xml:space="preserve">FINANCIERA</t>
  </si>
  <si>
    <t xml:space="preserve">SEGUROS / RIESGO FINANCIERO</t>
  </si>
  <si>
    <t xml:space="preserve">RIESGO</t>
  </si>
  <si>
    <t xml:space="preserve">Responsable de implementar y dirigir la evaluación y administración de todos los riesgos a los que pueden estar expuestos las instalaciones, inventarios y otras propiedades de la compañía,  tales como inspecciones de riesgos, los estados financieros y de planeacion.</t>
  </si>
  <si>
    <t xml:space="preserve">MAPR10</t>
  </si>
  <si>
    <t xml:space="preserve">VICEPRESIDENTE MANUFACTURA</t>
  </si>
  <si>
    <t xml:space="preserve">MANUFACTURA E INDUSTRIA</t>
  </si>
  <si>
    <t xml:space="preserve">PRODUCCION</t>
  </si>
  <si>
    <t xml:space="preserve">Responder por todas las operaciones de fabricación, mantenimiento y proyectos en una empresa o grupo de empresas. Informar al presidente de la compañía; tiene a su cargo los gerentes o superintendentes de las diversas plantas o áreas.</t>
  </si>
  <si>
    <t xml:space="preserve">MAGN10</t>
  </si>
  <si>
    <t xml:space="preserve">Otros Nombres: Vicepresidente de Manufactura, Vicepresidente de Producción, Vicepresidente de Operaciones de Planta. Responsable de las estrategias de manufactura de la empresa en el ámbito nacional o local, con base en las orientaciones de la Presidencia/Gerente General. Dirige los procesos productivos de los distintos centros o plantas de producción. Evalúa las oportunidades de desarrollo tecnológico y lleva a cabo proyectos de mejoramiento y expansión. Se requiere un profesional con postgrado en un área afín a su cargo y amplia experiencia en su campo. Reporta a: Presidente.</t>
  </si>
  <si>
    <t xml:space="preserve">CPAD10</t>
  </si>
  <si>
    <t xml:space="preserve">VICEPRESIDENTE EJECUTIVO</t>
  </si>
  <si>
    <t xml:space="preserve">Coordinar la ejecución de estrategias y políticas generales, dirigidas a obtener el mejor aprovechamiento de los recursos, el desarrollo de la institución y responder por la gestión de todas las áreas a su cargo, de tal forma que se logren los objetivos finales de la organización. En ausencia del Presidente, asume las funciones y representa a la entidad tanto interna como externamente.</t>
  </si>
  <si>
    <t xml:space="preserve">OPOP10</t>
  </si>
  <si>
    <t xml:space="preserve">VICEPRESIDENTE OPERACIONES</t>
  </si>
  <si>
    <t xml:space="preserve">OPERACIONES</t>
  </si>
  <si>
    <t xml:space="preserve">Responsable por la gestión y coordinación de operaciones de empresas que no poseen manufactura en su cadena de valor. Determina las estrategias e implementa procedimientos para alcanzar las metas y objetivos fijados en relación al costo, volumen de servicios.</t>
  </si>
  <si>
    <t xml:space="preserve">CMGC10</t>
  </si>
  <si>
    <t xml:space="preserve">VICEPRESIDENTE CATEGORÍA</t>
  </si>
  <si>
    <t xml:space="preserve">CONSUMO MASIVO</t>
  </si>
  <si>
    <t xml:space="preserve">GERENCIA CATEGORIA</t>
  </si>
  <si>
    <t xml:space="preserve">Mercadeo</t>
  </si>
  <si>
    <t xml:space="preserve">Responsable de implementar la estrategia para la Gerencia de Categoría. Lideriza, dirige y controla las actividades de la Gerencia de Categoría dentro de la organización. Mantiene estrecha relación con "Gestión del Cliente" para garantizar los lineamientos comerciales.</t>
  </si>
  <si>
    <t xml:space="preserve">JULE10</t>
  </si>
  <si>
    <t xml:space="preserve">VICEPRESIDENTE JURIDICO</t>
  </si>
  <si>
    <t xml:space="preserve">JURÍDICA</t>
  </si>
  <si>
    <t xml:space="preserve">LEGAL</t>
  </si>
  <si>
    <t xml:space="preserve">Asesorar y representar legalmente a la organización en todos los asuntos relacionados con el desarrollo del objetivo social de la misma y orientar a la compañía en decisiones o compromisos que impliquen riesgos o contingencias potenciales.</t>
  </si>
  <si>
    <t xml:space="preserve">FIIV10</t>
  </si>
  <si>
    <t xml:space="preserve">DIRETOR RELACIONES CON INVERSIONISTAS</t>
  </si>
  <si>
    <t xml:space="preserve">INVERSIONES</t>
  </si>
  <si>
    <t xml:space="preserve">Lidera y desarrolla la administración del programa de comunicación financiera de la empresa junto al mercado financiero y prensa, incluyendo bancos, analistas, periodistas, inversionistas institucionales, individuales y agencias de rating.</t>
  </si>
  <si>
    <t xml:space="preserve">MAGN11</t>
  </si>
  <si>
    <t xml:space="preserve">VICEPRESIDENTE INDUSTRIAL</t>
  </si>
  <si>
    <t xml:space="preserve">GENERAL</t>
  </si>
  <si>
    <t xml:space="preserve">INDUSTRIAL</t>
  </si>
  <si>
    <t xml:space="preserve">Responsable de las actividades relacionadas con la producción industrial, determinando estrategias e implementando procedimientos para lograr alcanzar las metas y objetivos de costos, volumen y calidad. También está a cargo de análisis técnicos y de encuestas.</t>
  </si>
  <si>
    <t xml:space="preserve">MAGN12</t>
  </si>
  <si>
    <t xml:space="preserve">VICEPRESIDENTE TÉCNICO</t>
  </si>
  <si>
    <t xml:space="preserve">Responsable de la planeación y el manejo de las actividades de ingeniería de procesos e ingeniería de proyectos, comprendiendo la adquisición o desarrollo de equipo nuevo para optimizar / mejorar el proceso de producción. También es responsable de asegurar la aplicación, lo que implica dirigir las actividades de ingeniería, calidad, proyectos y otras actividades relacionadas.</t>
  </si>
  <si>
    <t xml:space="preserve">SGSG10</t>
  </si>
  <si>
    <t xml:space="preserve">VICEPRESIDENTE UNIDAD NEGOCIO - GENERALES</t>
  </si>
  <si>
    <t xml:space="preserve">GENERALES</t>
  </si>
  <si>
    <t xml:space="preserve">Garantiza la integración de los segmentos de ventas y atención, en la unidad negocio seguros generales, optimizando recursos y relación, asegurando adherencia a las normas y  estrategia definida por la compañía, administrando el costo para alcanzar los resultados en su segmento. Representa a la empresa frente a las instituiciones, negocios y clientes. Examina el proceso de calidad de la compañía en la estructura de su área. Participa del proceso de contratación, manutención y aval de proveedores, actuando en el control de acciones correctivas y preventivas.</t>
  </si>
  <si>
    <t xml:space="preserve">FIGN10</t>
  </si>
  <si>
    <t xml:space="preserve">VICEPRESIDENTE FINANCIERO </t>
  </si>
  <si>
    <t xml:space="preserve">Establecer, formular y cumplir las políticas financieras contables, administrativas, económicas y de sistematización de la empresa, para garantizar el adecuado manejo del capital de trabajo de la misma.                                                  </t>
  </si>
  <si>
    <t xml:space="preserve">TIGN10</t>
  </si>
  <si>
    <t xml:space="preserve">VICEPRESIDENTE SISTEMAS</t>
  </si>
  <si>
    <t xml:space="preserve"> TECNOLOGÍA E INFORMÁTICA</t>
  </si>
  <si>
    <t xml:space="preserve">Planear, dirigir, supervisar y controlar todo lo referente a la tecnología informática y de sistemas de información de la entidad. Tiene bajo su dirección los procesos de investigación y desarrollo tecnológico, implantación y administración de recursos informáticos, establecimiento y mantenimiento de sistemas de información, procedimientos administrativos de soporte, procesamiento de datos y mantenimiento de equipos de cómputo y comunicaciones a fin de satisfacer las necesidades de soporte informático de los usuarios.</t>
  </si>
  <si>
    <t xml:space="preserve">FQID10</t>
  </si>
  <si>
    <t xml:space="preserve">VICEPRESIDENTE INVESTIGACIÓN CLÍNICA</t>
  </si>
  <si>
    <t xml:space="preserve">QUÍMICO Y FARMA</t>
  </si>
  <si>
    <t xml:space="preserve">INVESTIGACION Y DESARROLLO</t>
  </si>
  <si>
    <t xml:space="preserve">Farmacéutica</t>
  </si>
  <si>
    <t xml:space="preserve">Planea y dirige las actividades y staff de investigación clínica de la organización. Desarrolla e implementa las estrategias, políticas y procedimientos del departamento. Trabaja con investigación y desarrollo para determinar la factibilidad de los nuevos productos.</t>
  </si>
  <si>
    <t xml:space="preserve">FQCF10</t>
  </si>
  <si>
    <t xml:space="preserve">VICEPRESIDENTE MEDICO</t>
  </si>
  <si>
    <t xml:space="preserve">COMERCIAL FARMA</t>
  </si>
  <si>
    <t xml:space="preserve">Responsable de la definición de políticas para la realización de revisiones científicas del material de mercadotecnia, etiquetas, protocolos y estudios para todos los productos de la compañía. Actúa como representante de la compañía ante la comunidad médica.</t>
  </si>
  <si>
    <t xml:space="preserve">CODN20</t>
  </si>
  <si>
    <t xml:space="preserve">GERENTE UNIDAD NEGOCIO</t>
  </si>
  <si>
    <t xml:space="preserve">DESARROLLO NEGOCIOS</t>
  </si>
  <si>
    <t xml:space="preserve">Responsable de la administración de todos los procesos de una unidad de negocio, incluyendo planeación, organización, implementación y control de operaciones, para lograr la optimización del desempeño y la mejora continua de la unidad de negocio.</t>
  </si>
  <si>
    <t xml:space="preserve">CODN10</t>
  </si>
  <si>
    <t xml:space="preserve">VICEPRESIDENTE DESARROLLO NEGOCIOS</t>
  </si>
  <si>
    <t xml:space="preserve">Dirige al equipo de Desarrollo de Negocios. Responsable de identificar nuevas oportunidades de negocio con el objetivo de posicionar a la empresa en el mercado a un nivel competitivo, satisfacer y superar las expectativas de clientes externos, de acuerdo a las necesidades de nuevos mercados.</t>
  </si>
  <si>
    <t xml:space="preserve">FICC10</t>
  </si>
  <si>
    <t xml:space="preserve">VICEPRESIDENTE CREDITO</t>
  </si>
  <si>
    <t xml:space="preserve">CREDITO Y COBRANZAS</t>
  </si>
  <si>
    <t xml:space="preserve">Dirigir, controlar y supervisar el cumplimiento de las políticas financieras, contables, administrativas, económicas, de crédito y cobranzas y de sistematización de la empresa.                                                                 </t>
  </si>
  <si>
    <t xml:space="preserve">CPPL10</t>
  </si>
  <si>
    <t xml:space="preserve">VICEPRESIDENTE PLANEACION ESTRATÉGICA</t>
  </si>
  <si>
    <t xml:space="preserve">PLANEACION</t>
  </si>
  <si>
    <t xml:space="preserve">Responsable del desarrollo de estudios para la identificación de oportunidades y de la manera de conducir el negocio de la compañía. Formula estudios de factibilidad económica (niveles Corporativo, de Grupo y de Unidad de Negocio) y está a cargo de la planeacion estrategica.</t>
  </si>
  <si>
    <t xml:space="preserve">LSCE10</t>
  </si>
  <si>
    <t xml:space="preserve">VICEPRESIDENTE INTERNACIONAL</t>
  </si>
  <si>
    <t xml:space="preserve">LOGÍSTICA Y SUMINISTROS</t>
  </si>
  <si>
    <t xml:space="preserve">COMERCIO EXTERIOR</t>
  </si>
  <si>
    <t xml:space="preserve">Dirigir, coordinar y controlar todas las actividades y transacciones internacionales, así como de las relaciones con bancos corresponsales, entidades gubernamentales y clientes en el exterior a fin de garantizar un óptimo servicio y posicionar la imagen de la entidad; tiene a su cargo las relaciones de tipo comercial de alto nivel.</t>
  </si>
  <si>
    <t xml:space="preserve">SGRT10</t>
  </si>
  <si>
    <t xml:space="preserve">VICEPRESIDENTE COMERCIAL CANAL RETAIL</t>
  </si>
  <si>
    <t xml:space="preserve">COMERCIAL RETAIL</t>
  </si>
  <si>
    <t xml:space="preserve">Garantiza la integración de los segmentos de ventas y atención, optimizando recursos y relación, asegurando adherencia a las normas y  estrategia definida por la compañía, administrando el costo para alcanzar los resultados en su segmento. Representa a la empresa frente a las instituiciones, negocios y clientes. Examina el proceso de calidad de la compañía en la estructura de su área. Participa del proceso de contratación, manutención y aval de proveedores, actuando en el control de acciones correctivas y preventivas.</t>
  </si>
  <si>
    <t xml:space="preserve">SGAR10</t>
  </si>
  <si>
    <t xml:space="preserve">VICEPRESIDENTE SINIESTROS ARP</t>
  </si>
  <si>
    <t xml:space="preserve">ARP</t>
  </si>
  <si>
    <t xml:space="preserve">Dirige y controla el proceso de siniestros en el ramo de ARP, a nivel nacional, velando porque se cumplan con las disposiciones legales establecidas por la Superintendencia de Seguros, las políticas y lineamientos de la organización y los condicionados de las pólizas, con la finalidad de controlar la siniestralidad y ofrecer una respuesta oportuna a los asegurados.</t>
  </si>
  <si>
    <t xml:space="preserve">ATCN10</t>
  </si>
  <si>
    <t xml:space="preserve">VICEPRESIDENTE CONSULTORÍA TI</t>
  </si>
  <si>
    <t xml:space="preserve"> ALTA TECNOLOGÍA Y TELECOMUNICACIONES</t>
  </si>
  <si>
    <t xml:space="preserve">CONSULTORIA</t>
  </si>
  <si>
    <t xml:space="preserve">Alta Tecnología</t>
  </si>
  <si>
    <t xml:space="preserve">Responsable por la gerencia y dirección de múltiples y complejos proyectos. Puede asumir un rol de liderazgo a nivel de toda la organización, para un proceso o tecnología específica. Los incumbentes a menudo pueden tener responsabilidad por la generación de negocios.</t>
  </si>
  <si>
    <t xml:space="preserve">ATVT10</t>
  </si>
  <si>
    <t xml:space="preserve">VICEPRESIDENTE VENTAS ALTA TECNOLOGÍA (GENÉRICO)</t>
  </si>
  <si>
    <t xml:space="preserve">Responsable por el logro de los objetivos de ventas de una región ó zona muy significativa. Desarrolla e implementa todas las estrategias organizacionales y del negocio para el departamento, incluyendo la asignación de territorios ó productos, formulación de soluciones.</t>
  </si>
  <si>
    <t xml:space="preserve">SGSC10</t>
  </si>
  <si>
    <t xml:space="preserve">VICEPRESIDENTE SUSCRIPCIÓN</t>
  </si>
  <si>
    <t xml:space="preserve">SUSCRIPCION</t>
  </si>
  <si>
    <t xml:space="preserve">Dirige y controla el proceso de Suscripción en los ramos de Personas, Auto, Patrimoniales y Riesgos industriales, a nivel nacional, velando porque se cumplan con las disposiciones legales establecidas por la Superintendencia de Seguros, las políticas y lineamientos de la organización y los condicionados de las pólizas, con la finalidad de controlar la siniestralidad y ofrecer una respuesta oportuna a los asegurados.</t>
  </si>
  <si>
    <t xml:space="preserve">ATAT10</t>
  </si>
  <si>
    <t xml:space="preserve">VICEPRESIDENTE TECNICO TELECOMINICACIONES</t>
  </si>
  <si>
    <t xml:space="preserve">ALTA TECNOLOGÍA Y TELECOMUNICACIONES</t>
  </si>
  <si>
    <t xml:space="preserve">Planear y dirigir todo lo relacionado con el mantenimiento de la red nacional y de las estaciones de servicio. Definir estrategias a seguir para la elaboración de proyectos de construcción o ampliación de nuevas estaciones.</t>
  </si>
  <si>
    <t xml:space="preserve">EDRT20</t>
  </si>
  <si>
    <t xml:space="preserve">VICERECTOR ACADEMICO</t>
  </si>
  <si>
    <t xml:space="preserve">EJECUTIVOS </t>
  </si>
  <si>
    <t xml:space="preserve">Definir las políticas académicas de la institución, velando por la calidad de los programas que se ofrecen, así mismo, dirigir programas para la actualización docente, supervisar la creación de programas tanto de pregrado como de postgrado, certificar los reportes académicos ante el ICFES.</t>
  </si>
  <si>
    <t xml:space="preserve">Rector</t>
  </si>
  <si>
    <t xml:space="preserve">COSC22</t>
  </si>
  <si>
    <t xml:space="preserve">VICEPRESIDENTE SERVICIO AL CLIENTE</t>
  </si>
  <si>
    <t xml:space="preserve">Definir las políticas de trabajo y los planes de acción necesarios, en la búsqueda del mejoramiento continuo de los índices de gestión de calidad de atención del cliente externo.</t>
  </si>
  <si>
    <t xml:space="preserve">GHGN20</t>
  </si>
  <si>
    <t xml:space="preserve">VICEPRESIDENTE GESTION HUMANA</t>
  </si>
  <si>
    <t xml:space="preserve">GESTIÓN HUMANA</t>
  </si>
  <si>
    <t xml:space="preserve">RECURSOS HUMANOS</t>
  </si>
  <si>
    <t xml:space="preserve">Formular y controlar el cumplimiento de políticas de administración de Recursos Humanos. Asesorar al gerente en materia de selección, evaluación del desempeño, administración salarial, bienestar social y relaciones laborales a fin de garantizar el desarrollo del recurso humano.</t>
  </si>
  <si>
    <t xml:space="preserve">MKMP20</t>
  </si>
  <si>
    <t xml:space="preserve">VICEPRESIDENTE MERCADEO</t>
  </si>
  <si>
    <t xml:space="preserve">MERCADEO</t>
  </si>
  <si>
    <t xml:space="preserve">MARCAS Y PRODUCTOS</t>
  </si>
  <si>
    <t xml:space="preserve">Dirigir, planear y coordinar la ejecución de las estrategias de mercadeo para la compañía, garantizando que los productos y servicios sean de buena calidad y aceptación, procurar que su rentabilidad y permanencia sean adecuadas.</t>
  </si>
  <si>
    <t xml:space="preserve">JULE20</t>
  </si>
  <si>
    <t xml:space="preserve">GERENTE JURÍDICO CORPORATIVO</t>
  </si>
  <si>
    <t xml:space="preserve">Responsable de la orientación legal de la compañía, asegurando la conformidad con la legislación actual, vigilando los derechos y obligaciones. Guía el trabajo de los abogados especializados y/o despachos de consultoría, incluyendo contratos, marcas y patentes.</t>
  </si>
  <si>
    <t xml:space="preserve">Vicepresidente jurídico</t>
  </si>
  <si>
    <t xml:space="preserve">MAGN20</t>
  </si>
  <si>
    <t xml:space="preserve">GERENTE TÉCNICO</t>
  </si>
  <si>
    <t xml:space="preserve">INGENIERIA</t>
  </si>
  <si>
    <t xml:space="preserve">Responsable de establecer las especificaciones técnicas de los procesos, productos y/o servicios de la compañía para asegurar su aplicación, lo que implica dirigir las actividades de ingeniería, calidad, proyectos y otras actividades relacionadas.</t>
  </si>
  <si>
    <t xml:space="preserve">Gerente general</t>
  </si>
  <si>
    <t xml:space="preserve">FIGN20</t>
  </si>
  <si>
    <t xml:space="preserve">GERENTE ADMINISTRATIVO Y FINANCIERO</t>
  </si>
  <si>
    <t xml:space="preserve">Diseñar, direccionar, coordinar y controlar las políticas administrativas y financieras, supervisar y controlar los procesos productivos de los recursos financieros, humanos, de información y servicios generales para el cumplimiento de los objetivos empresariales.</t>
  </si>
  <si>
    <t xml:space="preserve">Vicepresidente administrativo</t>
  </si>
  <si>
    <t xml:space="preserve">ADGN20</t>
  </si>
  <si>
    <t xml:space="preserve">VICEPRESIDENTE ADMINISTRATIVO</t>
  </si>
  <si>
    <t xml:space="preserve">ADMINISTRATIVA</t>
  </si>
  <si>
    <t xml:space="preserve">Diseñar, dirigir, coordinar y controlar las políticas administrativas, supervisar y controlar la estructura organizacional, procesos productivos del personal, presupuestos y seguros. Así mismo vela por la optimización tecnológica o informática y busca el mejoramiento del área de servicios generales, garantizar el cumplimiento de los objetivos de la empresa.</t>
  </si>
  <si>
    <t xml:space="preserve">LSGN20</t>
  </si>
  <si>
    <t xml:space="preserve">VICEPRESIDENTE LOGÍSTICA</t>
  </si>
  <si>
    <t xml:space="preserve">Responsable de las estrategias de logística de la empresa a nivel nacional o local, con base en la orientaciones del Presidente / Gerente General. Define las políticas de gastos del área de logística; Señala las políticas para el suministro de materias primas, productos o servicios, manejo de los inventarios y suministro de productos a los clientes. Establece las políticas y normas para la selección de proveedores a nivel nacional e internacional. Se requiere un profesional con postgrado en un área afín a su cargo y amplia experiencia en su campo. Reporta a: Presidente.</t>
  </si>
  <si>
    <t xml:space="preserve">FQCH20</t>
  </si>
  <si>
    <t xml:space="preserve">GERENTE GRUPO PRODUCTOS - HOSPITAL /ESPECIALIDADES</t>
  </si>
  <si>
    <t xml:space="preserve">HOSPITALARIA</t>
  </si>
  <si>
    <t xml:space="preserve">Responsable de la planeación, coordinación y definición de los objetivos de venta, estrategias de mercadotecnia, análisis de rentabilidad, potencial de mercado, competencia, promoción y otras actividades de mercadotecnia para un grupo de productos Hospitalarios.</t>
  </si>
  <si>
    <t xml:space="preserve">FQCF20</t>
  </si>
  <si>
    <t xml:space="preserve">GERENTE MEDICO GRUPO PRODUCTOS</t>
  </si>
  <si>
    <t xml:space="preserve">Responsable de la implementación de procedimientos para la revisión científica del material de mercadotecnia, etiquetas, protocolos y estudios para un grupo o línea de productos. Puede actuar como representante de la compañía, de esta línea específica de productos.</t>
  </si>
  <si>
    <t xml:space="preserve">Vicepresidente médico</t>
  </si>
  <si>
    <t xml:space="preserve">CPPL20</t>
  </si>
  <si>
    <t xml:space="preserve">VICEPRESIDENTE PLANEACION</t>
  </si>
  <si>
    <t xml:space="preserve">Definir estrategias para la organización, evaluar opciones de crecimiento; coordinar las actividades de banca de inversión y seguir de cerca los intereses de la organización en otras empresas. Dirigir y coordinar la realización de proyectos desde el análisis de tecnología hasta el desarrollo de nuevos productos y/o servicios.</t>
  </si>
  <si>
    <t xml:space="preserve">SGRT20</t>
  </si>
  <si>
    <t xml:space="preserve">GTE SR COMERCIAL CANAL RETAIL</t>
  </si>
  <si>
    <t xml:space="preserve">Vicepresidente comercial canal retail</t>
  </si>
  <si>
    <t xml:space="preserve">Profesional</t>
  </si>
  <si>
    <t xml:space="preserve">Especializada (7 a 9 años)</t>
  </si>
  <si>
    <t xml:space="preserve">AAAU20</t>
  </si>
  <si>
    <t xml:space="preserve">VICEPRESIDENTE CONTRALOR</t>
  </si>
  <si>
    <t xml:space="preserve">AUDITORIA</t>
  </si>
  <si>
    <t xml:space="preserve">Coordinar, dirigir y controlar las normas procedimientos y flujo de información contable y financiera tendientes a proteger en forma adecuada los activos e intereses económicos de la entidad. Asesorar a los demás ejecutivos en cuanto a procedimientos, control y manejo de sus áreas para el buen funcionamiento de las mismas.</t>
  </si>
  <si>
    <t xml:space="preserve">HEPE20</t>
  </si>
  <si>
    <t xml:space="preserve">GERENTE PERFORACION</t>
  </si>
  <si>
    <t xml:space="preserve"> MINERIA, ENERGIA  E HIDROCARBUROS</t>
  </si>
  <si>
    <t xml:space="preserve">PERFORACION</t>
  </si>
  <si>
    <t xml:space="preserve">Diseñar, planear y coordinar las actividades del programa de perforación con el fin de alcanzar éxito económico en las operaciones y el logro de los objetivos empresariales.</t>
  </si>
  <si>
    <t xml:space="preserve">SGSC20</t>
  </si>
  <si>
    <t xml:space="preserve">Diseñar e implementar las políticas y estratégias de comercialización y suscripción de las diferentes ramas de seguros, desarrolla productos y busca optimizar los servicios a los clientes con el objetivo de alcanzar las metas establecidas por la dirección general. </t>
  </si>
  <si>
    <t xml:space="preserve">SGID20</t>
  </si>
  <si>
    <t xml:space="preserve">VICEPRESIDENTE TECNICO INDEMNIZACIONES</t>
  </si>
  <si>
    <t xml:space="preserve">INDEMNIZACIONES</t>
  </si>
  <si>
    <t xml:space="preserve">Asegurar el cumplimiento de los estándares corporativos relacionados con: servicio, constitutivos de reservas, pagos de indemnizaciones, ajustes, investigación y administración de asesores externos. Es responsable por la planeación dirección y control de las operaciones, así como la adecuada documentación de reclamos. Se encarga de asegurar el control y eficacia de las acciones de recobros y de la conservación y renta de salvamentos. Representa a la compañía en cualquier proceso legal originado en las actividades de reclamaciones.</t>
  </si>
  <si>
    <t xml:space="preserve">COVS30</t>
  </si>
  <si>
    <t xml:space="preserve">GERENTE COMERCIAL</t>
  </si>
  <si>
    <t xml:space="preserve">GERENTES SR</t>
  </si>
  <si>
    <t xml:space="preserve">Planear, dirigir y controlar una línea específica de productos, evaluar el grado de satisfacción del consumidor. Dar apoyo en la fijación de políticas de comercialización.                                                                 </t>
  </si>
  <si>
    <t xml:space="preserve">Vicepresidente comercial/Gerente general</t>
  </si>
  <si>
    <t xml:space="preserve">COSC33</t>
  </si>
  <si>
    <t xml:space="preserve">GTE TELEMARKETING</t>
  </si>
  <si>
    <t xml:space="preserve">TELEMARKETING</t>
  </si>
  <si>
    <t xml:space="preserve">Gerencia la ejecución de las actividades en la unidad de telemarketing pasivo, que brinda atención a clientes en asuntos ligados a los productos y servicios comercializados por la empresa. Gerencia, además, procesos de telemarketing activo, buscando conseguir nuevos clientes, de acuerdo con la política comercial preestablecida. Desarrolla el equipo de operadores, buscando capacitarlos para dar una correcta atención al cliente, así como para optimizar la política de expansión y conquista de nuevos clientes y el grado del relación cliente-empresa.</t>
  </si>
  <si>
    <t xml:space="preserve">Vicepresidente Servicio al cliente </t>
  </si>
  <si>
    <t xml:space="preserve">GHSE30</t>
  </si>
  <si>
    <t xml:space="preserve">GERENTE RECLUTAMIENTO Y SELECCIÓN</t>
  </si>
  <si>
    <t xml:space="preserve">SELECCION</t>
  </si>
  <si>
    <t xml:space="preserve">Responsable de las definiciones y estrategias del área de reclutamiento y selección, con el objetivo de atraer a profesionales competentes y preparados, identificando, interna y externamente, los recursos humanos adecuados para ocupar las posiciones solicitadas.</t>
  </si>
  <si>
    <t xml:space="preserve">Gerente Gestión Humana</t>
  </si>
  <si>
    <t xml:space="preserve">JUSG30</t>
  </si>
  <si>
    <t xml:space="preserve">SECRETARIO GENERAL</t>
  </si>
  <si>
    <t xml:space="preserve">SECRETARIA GENERAL</t>
  </si>
  <si>
    <t xml:space="preserve">Apoyar y coordinar los aspectos administrativos tanto de la Junta Directiva como de la Asamblea General de Accionistas, elaborar la documentación y actas correspondientes bajo las normas legales y estatutarias que rigen la entidad. </t>
  </si>
  <si>
    <t xml:space="preserve">FISR30</t>
  </si>
  <si>
    <t xml:space="preserve">GERENTE RIESGOS</t>
  </si>
  <si>
    <t xml:space="preserve">Planear, dirigir, coordinar y controlar las políticas de riesgo de mercado en el corto, mediano y largo plazo, teniendo en cuenta las variables y análisis técnicos y fundamentales del mercado, con el fin de recomendar los instrumentos de inversión para maximizar el valor de los accionistas.</t>
  </si>
  <si>
    <t xml:space="preserve">Vicepresidente de Gerenciamiento del riesgo</t>
  </si>
  <si>
    <t xml:space="preserve">TIIR30</t>
  </si>
  <si>
    <t xml:space="preserve">GTE INFRAESTRUCTURA</t>
  </si>
  <si>
    <t xml:space="preserve">INFRAESTRUCTURA REDES BASES DATOS</t>
  </si>
  <si>
    <t xml:space="preserve">REDES BASES DE DATOS</t>
  </si>
  <si>
    <t xml:space="preserve">Responde por el planeamiento, desarrollo y control de las redes de telecomunicaciones (voz, datos y mensajes). Dimensiona la capacidad de operación de la red dentro de los niveles de performance y calidad establecidos. Coordina la alocación de los recursos de telecomunicaciones de acuerdo con las necesidades de cada segmento de la empresa. Controla la calidad de los canales y la correcta observación de los estándares y procedimientos definidos. Evalúa riesgos y establece los planes de contingencia de la unidad.</t>
  </si>
  <si>
    <t xml:space="preserve">Vicepresidente sistemas / Gerente general</t>
  </si>
  <si>
    <t xml:space="preserve">GHGN30</t>
  </si>
  <si>
    <t xml:space="preserve">GERENTE GESTION HUMANA</t>
  </si>
  <si>
    <t xml:space="preserve">Planear, dirigir y evaluar las políticas de administración de personal, capacitación, desarrollo y bienestar. Asesorar a los demás ejecutivos en lo pertinente a su área y supervisar a los ejecutivos de recursos humanos de cada una de las plantas o filiales de su organización.</t>
  </si>
  <si>
    <t xml:space="preserve">IDPR30</t>
  </si>
  <si>
    <t xml:space="preserve">GERENTE DESARROLLO PRODUCTOS</t>
  </si>
  <si>
    <t xml:space="preserve">I &amp; D</t>
  </si>
  <si>
    <t xml:space="preserve">DESARROLLO DE PRODUCTOS</t>
  </si>
  <si>
    <t xml:space="preserve">PRODUCTOS</t>
  </si>
  <si>
    <t xml:space="preserve">Responsable de las actividades relacionadas con el desarrollo de un producto o línea de productos, así como de las mejoras a los productos y tecnologías existentes. Da seguimiento junto con la casa matriz a la evolución tecnológica y evalúa las posibilidad de implementacion.</t>
  </si>
  <si>
    <t xml:space="preserve">Gerente Investigación y Desarrollo</t>
  </si>
  <si>
    <t xml:space="preserve">MAPR30</t>
  </si>
  <si>
    <t xml:space="preserve">GERENTE PRODUCCION</t>
  </si>
  <si>
    <t xml:space="preserve">Planear, programar y controlar la producción desde la sección que recibe la materia prima hasta la que entrega a las bodegas el producto terminado.                                                                                            </t>
  </si>
  <si>
    <t xml:space="preserve">Vicepresidente manufactura / gerente técnico</t>
  </si>
  <si>
    <t xml:space="preserve">MAPM30</t>
  </si>
  <si>
    <t xml:space="preserve">GERENTE PROCESOS</t>
  </si>
  <si>
    <t xml:space="preserve">PROCESOS MANUFACTURA</t>
  </si>
  <si>
    <t xml:space="preserve">Responsable del desarrollo, implementación y seguimiento de las mejoras en los métodos / procesos de las líneas de producción. Optimiza el uso de mano de obra, tiempo normal, material, equipo y energía, soluciona problemas en el proceso de manufactura.</t>
  </si>
  <si>
    <t xml:space="preserve">Gerente producción / planta</t>
  </si>
  <si>
    <t xml:space="preserve">MAPP30</t>
  </si>
  <si>
    <t xml:space="preserve">GERENTE PLANEACION Y CONTROL PRODUCCIÓN</t>
  </si>
  <si>
    <t xml:space="preserve">PLANEACION PRODUCCION</t>
  </si>
  <si>
    <t xml:space="preserve">PLANEACION PRODUCION</t>
  </si>
  <si>
    <t xml:space="preserve">Responsable de la adecuada planeación de producción, manteniendo un estricto control de los materiales de producción y de los productos terminados o semiterminados. Maneja a los empleados en la entrega oportuna de materiales, la preparación de programas de producion.</t>
  </si>
  <si>
    <t xml:space="preserve">Vicepresidente de manufactura</t>
  </si>
  <si>
    <t xml:space="preserve">TIOS30</t>
  </si>
  <si>
    <t xml:space="preserve">GERENTE OPERACIÓN SISTEMAS</t>
  </si>
  <si>
    <t xml:space="preserve">TECNOLOGÍA E INFORMÁTICA</t>
  </si>
  <si>
    <t xml:space="preserve">OPERACIONES SISTEMAS</t>
  </si>
  <si>
    <t xml:space="preserve">Responsable de programar la carga de trabajo del procesamiento electrónico de información y de emitir los reportes solicitados por las diferentes áreas de la compañía. Le da continuidad a las operaciones del sistema, controlando y garantizando todas operaciones de sistemas de la entidad.</t>
  </si>
  <si>
    <t xml:space="preserve">OPOP30</t>
  </si>
  <si>
    <t xml:space="preserve">GERENTE OPERACIONES</t>
  </si>
  <si>
    <t xml:space="preserve">Planear, coordinar e implementar las actividades productivas de su área. Asesorar en la elaboración de presupuestos, estándares de calidad de la materia prima y del producto final, así como definir condiciones de trabajo en cuanto a seguridad industrial e higiene.</t>
  </si>
  <si>
    <t xml:space="preserve">Vicepresidente Operaciones</t>
  </si>
  <si>
    <t xml:space="preserve">FNOP30</t>
  </si>
  <si>
    <t xml:space="preserve">GERENTE OPERACIONES BANCARIAS</t>
  </si>
  <si>
    <t xml:space="preserve">Dirigir y controlar los procesos bancarios que se llevan a cabo, tanto en las divisiones como en las diferentes dependencias; para ello hace uso de las políticas de control existentes y cuando se requiere, crea nuevos mecanismos.</t>
  </si>
  <si>
    <t xml:space="preserve">Vicepresidente comercial</t>
  </si>
  <si>
    <t xml:space="preserve">Comunicarse</t>
  </si>
  <si>
    <t xml:space="preserve">CMGC30</t>
  </si>
  <si>
    <t xml:space="preserve">GERENTE CATEGORÍA</t>
  </si>
  <si>
    <t xml:space="preserve">Responsable por la consecución de los objetivos de volumen y cuota asignada para proyectos de creación y ejecución de los  planes de gestión de la categoría. Desarrolla categoría o canal de merchandising y promociones con estrategias de marketing y ventas.</t>
  </si>
  <si>
    <t xml:space="preserve">Vicepresidente categoría</t>
  </si>
  <si>
    <t xml:space="preserve">MKMP30</t>
  </si>
  <si>
    <t xml:space="preserve">GERENTE MERCADEO </t>
  </si>
  <si>
    <t xml:space="preserve">Planear estratégicamente su área, adelantándose siempre a las tendencias del mercado, analizar la competencia, lograr que los servicios sean de buena calidad y aceptación, procurar que su rentabilidad y permanencia sean adecuados.</t>
  </si>
  <si>
    <t xml:space="preserve">Gerente general / Vpte comercial ó de mercadeo</t>
  </si>
  <si>
    <t xml:space="preserve">JULE30</t>
  </si>
  <si>
    <t xml:space="preserve">GERENTE JURIDICO</t>
  </si>
  <si>
    <t xml:space="preserve">Asesorar a todas las áreas de la entidad en materia legal. Es el conducto regular para resolver las inquietudes jurídicas de todos los funcionarios. Supervisar el control jurídico y formular recomendaciones con el fin de garantizar que la entidad obre dentro del marco de la ley. Velar por los activos de la entidad y en ocasiones por la recuperación de cartera.</t>
  </si>
  <si>
    <t xml:space="preserve">IDGN30</t>
  </si>
  <si>
    <t xml:space="preserve">GERENTE INVESTIGACIÓN Y DESARROLLO</t>
  </si>
  <si>
    <t xml:space="preserve">Responsable de la coordinación e implementación de las actividades relacionadas con las áreas de Nuevos Productos y de Desarrollo de Tecnología, así como de las mejoras para los productos y tecnologías existentes. Da seguimiento de desarrollos informando a casa matriz.</t>
  </si>
  <si>
    <t xml:space="preserve">Gerente general / Presidente</t>
  </si>
  <si>
    <t xml:space="preserve">FIIV30</t>
  </si>
  <si>
    <t xml:space="preserve">GERENTE INVERSIONES</t>
  </si>
  <si>
    <t xml:space="preserve">Dirige las actividades relacionadas con la inversión con base en los análisis técnicos de riesgos y de rentabilidad esperada. Proporciona información a los inversores de los recursos y reportes especiales para al Banco Central</t>
  </si>
  <si>
    <t xml:space="preserve">Vicepresidente financiero</t>
  </si>
  <si>
    <t xml:space="preserve">MAIG30</t>
  </si>
  <si>
    <t xml:space="preserve">GERENTE TECNICO</t>
  </si>
  <si>
    <t xml:space="preserve">Planear, dirigir y controlar las actividades relacionadas con el mejoramiento de los productos existentes, así como el desarrollo de los nuevos. Generalmente tiene a su cargo la especificación de normas técnicas y el control de calidad y en ocasiones presenta asesoría a los clientes.</t>
  </si>
  <si>
    <t xml:space="preserve">Gerente de planta/presidente</t>
  </si>
  <si>
    <t xml:space="preserve">MAGN30</t>
  </si>
  <si>
    <t xml:space="preserve">GERENTE FABRICA O PLANTA</t>
  </si>
  <si>
    <t xml:space="preserve">Responder por el funcionamiento eficiente de la fábrica y oportuno suministro de los productos. Normalmente tiene a su cargo los jefes de producción, mantenimiento e ingeniería.</t>
  </si>
  <si>
    <t xml:space="preserve">CPGB30</t>
  </si>
  <si>
    <t xml:space="preserve">GERENTE GOBIERNO CORPORATIVO</t>
  </si>
  <si>
    <t xml:space="preserve">GOBIERNO</t>
  </si>
  <si>
    <t xml:space="preserve">Gerenciar la distribución de los derechos y responsabilidades entre los diferentes entes de empresas, tales como las juntas directivas, directores, gerentes,  accionistas y agentes económicos con intereses en la empresa. Provee también la estructura a través de la cual se establecen los objetivos de la empresa, los medios para alcanzarlos, y los procesos de seguimiento y control de desempeños. Implica además, programas de fortalecimiento y transparencia en la Administración. </t>
  </si>
  <si>
    <t xml:space="preserve">ADGN30</t>
  </si>
  <si>
    <t xml:space="preserve">GERENTE ADMINISTRATIVO</t>
  </si>
  <si>
    <t xml:space="preserve">Diseñar, dirigir, coordinar y controlar las políticas administrativas, supervisar y controlar los procesos productivos del personal, presupuesto y seguros. Velar por la optimización tecnológica y buscar el mejoramiento del área de servicios generales.</t>
  </si>
  <si>
    <t xml:space="preserve">FIGN30</t>
  </si>
  <si>
    <t xml:space="preserve">GERENTE FINANCIERO</t>
  </si>
  <si>
    <t xml:space="preserve">Dirigir, controlar y supervisar el cumplimiento de las políticas financieras, contables, administrativas, económicas, de crédito y cobranzas y de sistematización de la empresa.</t>
  </si>
  <si>
    <t xml:space="preserve">TIGN30</t>
  </si>
  <si>
    <t xml:space="preserve">GERENTE SISTEMAS</t>
  </si>
  <si>
    <t xml:space="preserve">Planear, dirigir y controlar los procesos de desarrollo y mantenimiento de sistemas. Recomendar nuevos equipos e inversiones. Intervenir en el diseño de los sistemas más importantes, controlar la operación de los equipos a su cargo y del personal encargado de programación y operaciones.</t>
  </si>
  <si>
    <t xml:space="preserve">FNTM30</t>
  </si>
  <si>
    <t xml:space="preserve">GERENTE FINANZAS</t>
  </si>
  <si>
    <t xml:space="preserve">TESORERIA MESA</t>
  </si>
  <si>
    <t xml:space="preserve">FINANZAS</t>
  </si>
  <si>
    <t xml:space="preserve">Responder por la calidad y eficiencia de las solicitudes y negocios referidos por la Casa Matriz.  Atender a clientes locales, mediante la planeación y dirección de las operaciones de finanzas a nivel nacional.   </t>
  </si>
  <si>
    <t xml:space="preserve">Vicepresidente Financiero / Presidente</t>
  </si>
  <si>
    <t xml:space="preserve">FNFD30</t>
  </si>
  <si>
    <t xml:space="preserve">GERENTE FIDUCIA ADMINISTRACION Y PAGO</t>
  </si>
  <si>
    <t xml:space="preserve">FIDUCIARIA</t>
  </si>
  <si>
    <t xml:space="preserve">Desarrollar planes y estrategias para asesorar a las empresas y personas naturales.  Incluye fiducias tales como : Seguros o fondos mutuos de inversión, donaciones, fiducia inmobiliaria o representante de accionistas.</t>
  </si>
  <si>
    <t xml:space="preserve">Gerente Financiero / Presidente</t>
  </si>
  <si>
    <t xml:space="preserve">FNFD31</t>
  </si>
  <si>
    <t xml:space="preserve">GERENTE FIDUCIA INVERSION</t>
  </si>
  <si>
    <t xml:space="preserve">Administrar, evaluar y controlar los fondos de los fideicomisos de inversión, así como los recursos propios de la fiduciaria, con el propósito de optimizar la colocación de los recursos en cuanto a riesgo y rentabilidad, conforme a las normas establecidas por la Superintendencia Bancaria.  Igualmente se encarga de coordinar la gestión comercial, desarrollando planes y estrategias de productos de inversión.  Fijar políticas de operación de las fiducias de inversión.</t>
  </si>
  <si>
    <t xml:space="preserve">FQFV30</t>
  </si>
  <si>
    <t xml:space="preserve">GERENTE FARMACOVIGILÂNCIA</t>
  </si>
  <si>
    <t xml:space="preserve">FARMACO VIGILANCIA</t>
  </si>
  <si>
    <t xml:space="preserve">Responsable por la gestión y monitoreo de la seguridad de los medicamentos de la empresa, a través del análisis de los relatos de eventos adversos y del proceso de submisión de estos, con el objetivo de asegurar conformidad (compliance) interna y regulatoria</t>
  </si>
  <si>
    <t xml:space="preserve">FQCF30</t>
  </si>
  <si>
    <t xml:space="preserve">GERENTE GRUPO PRODUCTOS  LÍNEA ÉTICA</t>
  </si>
  <si>
    <t xml:space="preserve">Responsable de la planeación, coordinación y definición de los objetivos de venta, estrategias de mercadotecnia, análisis de rentabilidad, potencial de mercado, competencia, promoción y otras actividades de mercadotecnia para el grupo de productos Éticos.</t>
  </si>
  <si>
    <t xml:space="preserve">Gerente médico Grupo d productos</t>
  </si>
  <si>
    <t xml:space="preserve">FNEP30</t>
  </si>
  <si>
    <t xml:space="preserve">GERENTE BANCA CORPORATIVA</t>
  </si>
  <si>
    <t xml:space="preserve">EMPRESARIAL</t>
  </si>
  <si>
    <t xml:space="preserve">Cumplir las metas y objetivos preestablecidos para el manejo de clientes corporativos o empresariales actuales y potenciales, mediante la planeación, dirección y control de estrategias orientadas al desarrollo de relaciones comerciales y crediticias con el fin de incrementar utilidades y disminuir riesgos.</t>
  </si>
  <si>
    <t xml:space="preserve">IDEM30</t>
  </si>
  <si>
    <t xml:space="preserve">GERENTE DESARROLLO EMPAQUES</t>
  </si>
  <si>
    <t xml:space="preserve">DESARROLLO DE EMPAQUES</t>
  </si>
  <si>
    <t xml:space="preserve">EMPAQUES</t>
  </si>
  <si>
    <t xml:space="preserve">Responsable del manejo de todas las actividades relacionadas con el desarrollo de empaques, asegurando la protección adecuada del producto, optimizando la relación costo-beneficio, manteniendo los estándares y la alineación con las regulaciones y lineamientos.</t>
  </si>
  <si>
    <t xml:space="preserve">CODN30</t>
  </si>
  <si>
    <t xml:space="preserve">GERENTE DESARROLLO NEGOCIOS</t>
  </si>
  <si>
    <t xml:space="preserve">Responsable de identificar nuevas oportunidades de negocio con el objetivo de posicionar a la empresa en el mercado a un nivel competitivo, satisfacer y superar las expectativas de clientes externos, de acuerdo al plan comercial de la compañía. Conduce estrategias generales.</t>
  </si>
  <si>
    <t xml:space="preserve">Vicepresidente Desarrollo de Negocios</t>
  </si>
  <si>
    <t xml:space="preserve">FICC30</t>
  </si>
  <si>
    <t xml:space="preserve">GERENTE CRÉDITO Y COBRANZA</t>
  </si>
  <si>
    <t xml:space="preserve">Responsable de implementar y administrar la política de crédito de la compañía, al analizar, autorizar o rechazar solicitudes de crédito de acuerdo al historial financiero de los clientes. También es responsable de cobrar todos los créditos y de manejar los tiempos de cobros.</t>
  </si>
  <si>
    <t xml:space="preserve">Vicepresidente crédito / Vicepresidente financiero</t>
  </si>
  <si>
    <t xml:space="preserve">CPPL30</t>
  </si>
  <si>
    <t xml:space="preserve">GERENTE PLANEACION</t>
  </si>
  <si>
    <t xml:space="preserve">Formular y controlar las políticas del área, coordinar la elaboración de planes estratégicos para el desarrollo corporativo. Dirigir y coordinar la realización de estudios de factibilidad técnico-económica. Evaluar los proyectos de inversión, realizar análisis de factores relacionados con el cumplimiento de planes y recomendar acciones a seguir.</t>
  </si>
  <si>
    <t xml:space="preserve">Vicepresidente planeación / Presidente</t>
  </si>
  <si>
    <t xml:space="preserve">LSCE30</t>
  </si>
  <si>
    <t xml:space="preserve">GERENTE NEGOCIOS INTERNACIONALES</t>
  </si>
  <si>
    <t xml:space="preserve">Planear, organizar, dirigir, supervisar y controlar todas las actividades relacionadas con la compra y venta de divisas y certificados de cambio, optimizando la posición monetaria de la entidad. Coordinar el manejo contable de las operaciones en moneda extranjera, y velar por el crecimiento, difusión y calidad de los productos del área.</t>
  </si>
  <si>
    <t xml:space="preserve">Vicepresidente internacional / Presidente</t>
  </si>
  <si>
    <t xml:space="preserve">LSCE31</t>
  </si>
  <si>
    <t xml:space="preserve">GERENTE OPERACIONES INTERNACIONALES</t>
  </si>
  <si>
    <t xml:space="preserve">Dirigir, supervisar y controlar las políticas y procedimientos determinados por la entidad para las operaciones de comercio exterior, con el fin de garantizar el cumplimiento de las normas expedidas por la organización y organismos de control del estado.</t>
  </si>
  <si>
    <t xml:space="preserve">FNBC30</t>
  </si>
  <si>
    <t xml:space="preserve">GERENTE REGIONAL</t>
  </si>
  <si>
    <t xml:space="preserve">BANCA COMERCIAL</t>
  </si>
  <si>
    <t xml:space="preserve">Dirige, coordina y supervisa el funcionamiento de las actividades bancarias de su región. Asegura excelentes relaciones con los clientes actuales y potenciales del banco o corporación; Planea, propone y dirige estrategias de mercadeo de los servicios bancarios en las oficinas de su zona. Se requiere un profesional con una experiencia de 8 a 10 años.</t>
  </si>
  <si>
    <t xml:space="preserve">MKMP33</t>
  </si>
  <si>
    <t xml:space="preserve">GTE CANALES ALTERNATIVOS</t>
  </si>
  <si>
    <t xml:space="preserve">CANALES</t>
  </si>
  <si>
    <t xml:space="preserve">Gerencia uno o mas canales alternativos de venta de la compañía, buscando maximizar los resultados y alcanzar las metas y objetivos de negocios. Identifica, desarrolla e implementa nuevas fórmulas operativas, con el objetivo de consolidar otras oportunidades de distribuición de los productos y servicos de la empresa. Implementa campañas de ventas, en los canales alternativos, buscando mantener al grupo de ventas motivado y reconocido.</t>
  </si>
  <si>
    <t xml:space="preserve">Gerente Mercadeo</t>
  </si>
  <si>
    <t xml:space="preserve">COSC31</t>
  </si>
  <si>
    <t xml:space="preserve">GTE CALL CENTER</t>
  </si>
  <si>
    <t xml:space="preserve">CALL CENTER</t>
  </si>
  <si>
    <t xml:space="preserve">Gerencia las actividades de relación con los clientes (productores y asegurados), buscando cumplir con los estándares de calidad establecidos por la organización. Mantiene el grupo de operadores constantemente actualizado con las modificaciones de productos y servicios, a través de programas de entrenamiento. Coordina el seguimiento de las solicitudes efectuadas por los productores y asegurados. Genera reportes referentes a las actividades de su área.</t>
  </si>
  <si>
    <t xml:space="preserve">FNBC31</t>
  </si>
  <si>
    <t xml:space="preserve">GERENTE BANCA PERSONAL</t>
  </si>
  <si>
    <t xml:space="preserve">BANCA PERSONAL</t>
  </si>
  <si>
    <t xml:space="preserve">Atender las necesidades de los clientes de banca individual mediante la planeación, dirección y control de una serie de actividades orientadas a la difusión, comercialización y mantenimiento de todos los productos y servicios del banco.</t>
  </si>
  <si>
    <t xml:space="preserve">AUDE30</t>
  </si>
  <si>
    <t xml:space="preserve">GERENTE DESARROLLO REDES</t>
  </si>
  <si>
    <t xml:space="preserve">VEHÍCULOS Y PARTES</t>
  </si>
  <si>
    <t xml:space="preserve">DESARROLLO </t>
  </si>
  <si>
    <t xml:space="preserve">Automotriz</t>
  </si>
  <si>
    <t xml:space="preserve">Responsable de gerenciar la planificación y análisis financiero de la red de concesionarios, con el objetivo de reducir costos, aumentar el margen de ganancias y velar por la calidad en el servicio de atención al cliente prestado. Gerencia estudios de víabilidad.</t>
  </si>
  <si>
    <t xml:space="preserve">Gerente comercial / Viecepresidente comercial</t>
  </si>
  <si>
    <t xml:space="preserve">AAAU30</t>
  </si>
  <si>
    <t xml:space="preserve">GERENTE AUDITORIA INTERNA</t>
  </si>
  <si>
    <t xml:space="preserve">Evaluar y diseñar los sistemas de control. Dar apoyo a la gerencia en la evaluación de estos sistemas y coordinar las funciones de los diferentes niveles de control que posee la organización.                                                      </t>
  </si>
  <si>
    <t xml:space="preserve">Contralor / Vicepresidente contralor</t>
  </si>
  <si>
    <t xml:space="preserve">GHRL30</t>
  </si>
  <si>
    <t xml:space="preserve">GERENTE RELACIONES LABORALES/SINDICALES</t>
  </si>
  <si>
    <t xml:space="preserve">RELACIONES LABORALES</t>
  </si>
  <si>
    <t xml:space="preserve">ASUNTOS LABORALES</t>
  </si>
  <si>
    <t xml:space="preserve">Responsable del cumplimiento apropiado de las leyes laborales, contratos colectivos de trabajo, acuerdos colectivos con los sindicatos y entidades grupales y de las reglas internas. Atiende los problemas relacionados con obreros / empleados, buscando la solucion de conflictos.</t>
  </si>
  <si>
    <t xml:space="preserve">Vicepresidente de Gestion humana</t>
  </si>
  <si>
    <t xml:space="preserve">MAAA30</t>
  </si>
  <si>
    <t xml:space="preserve">GERENTE MEDIO AMBIENTE</t>
  </si>
  <si>
    <t xml:space="preserve">ASUNTOS AMBIENTALES</t>
  </si>
  <si>
    <t xml:space="preserve">Responsable de asegurar que todas las instalaciones y plantas de la compañía cumplen con todas las provisiones legales aplicables en asuntos de control ambiental. Vigila y da seguimiento a la corrección de problemas operativos relativos a cuestiones ambientales.</t>
  </si>
  <si>
    <t xml:space="preserve">COAV30</t>
  </si>
  <si>
    <t xml:space="preserve">GERENTE ADMINISTRACIÓN VENTAS</t>
  </si>
  <si>
    <t xml:space="preserve">ADMINISTRACION Y PLANEACION VENTAS</t>
  </si>
  <si>
    <t xml:space="preserve">Responsable de manejar la administración de los contratos de venta y servicios y de la logística comercial; centro de enlace entre vendedores y clientes, responde a cuestionamientos de las órdenes de existencias y envíos. Generar reportes y estadísticas de ventas.</t>
  </si>
  <si>
    <t xml:space="preserve">Vicepresidente  comercial</t>
  </si>
  <si>
    <t xml:space="preserve">HEAD30</t>
  </si>
  <si>
    <t xml:space="preserve">DIRECTOR HSEQ</t>
  </si>
  <si>
    <t xml:space="preserve">MINERIA, ENERGIA  E HIDROCARBUROS</t>
  </si>
  <si>
    <t xml:space="preserve">ADMINISTRATIVO</t>
  </si>
  <si>
    <t xml:space="preserve">Dirigir la gestión de calidad e integridad de los proyectos de hidrocarburos con el fin de garantizar mejoramientos de las condiciones y la efectividad de los procesos de explotacion y exploración de la compañía</t>
  </si>
  <si>
    <t xml:space="preserve">Gerente exploración</t>
  </si>
  <si>
    <t xml:space="preserve">profesional</t>
  </si>
  <si>
    <t xml:space="preserve">De 6 a 8 años </t>
  </si>
  <si>
    <t xml:space="preserve">CTAD30</t>
  </si>
  <si>
    <t xml:space="preserve">GERENTE CONSTRUCCIONES</t>
  </si>
  <si>
    <t xml:space="preserve">CONSTRUCCIÓN E INSUMOS</t>
  </si>
  <si>
    <t xml:space="preserve">Gerenciar los procesos de construcción y montaje, y las áreas de producción, planificación y costos.</t>
  </si>
  <si>
    <t xml:space="preserve">De 8 a 10 años</t>
  </si>
  <si>
    <t xml:space="preserve">No requiere</t>
  </si>
  <si>
    <t xml:space="preserve">HEMT30</t>
  </si>
  <si>
    <t xml:space="preserve">GERENTE INGENIERIA</t>
  </si>
  <si>
    <t xml:space="preserve">MANTENIMIENTO</t>
  </si>
  <si>
    <t xml:space="preserve">Evaluar reservas de campo y perforación exploratoria para justificar el desarrollo de nuevas inversiones.  Dirigir los estudios de yacimientos para optimizar la recuperación de los campos en explotación.</t>
  </si>
  <si>
    <t xml:space="preserve">HEEX30</t>
  </si>
  <si>
    <t xml:space="preserve">GERENTE PROYECTOS - HIDROCARBUROS</t>
  </si>
  <si>
    <t xml:space="preserve">EXPLORACION</t>
  </si>
  <si>
    <t xml:space="preserve">Administrar los proyectos asignados para que se ejecuten dentro de los presupuestos, plazos y políticas. Propone nuevos proyectos para mejorar las condiciones de los procesos y el transporte de hidrocarburos.</t>
  </si>
  <si>
    <t xml:space="preserve">Gerente General / Presidente</t>
  </si>
  <si>
    <t xml:space="preserve">COVS40</t>
  </si>
  <si>
    <t xml:space="preserve">GERENTE CUENTA</t>
  </si>
  <si>
    <t xml:space="preserve">COMERCIAL </t>
  </si>
  <si>
    <t xml:space="preserve">GERENTES</t>
  </si>
  <si>
    <t xml:space="preserve">Responsable del proceso de ventas directas en cuentas pequeñas y esta a cargo de la expansión de las ventas, introduciendo nuevos productos y servicios a través de visitas a clientes actuales y potenciales. Requiere una experiencia de 2 a 3 años. Reporta a: Gerente General de Ventas</t>
  </si>
  <si>
    <t xml:space="preserve">Gerente de ventas</t>
  </si>
  <si>
    <t xml:space="preserve">COVS42</t>
  </si>
  <si>
    <t xml:space="preserve">GERENTE VENTAS </t>
  </si>
  <si>
    <t xml:space="preserve">Comercializar los productos o servicios que vende la empresa. Tiene a su cargo varios gerentes de distrito o sucursales o supervisores de ventas en los cuales delega el control de los vendedores o representantes de ventas. Es además el encargado de la planeación y ejecución del presupuesto de ventas y mantiene las relaciones comerciales con los distribuidores y clientes más importantes.</t>
  </si>
  <si>
    <t xml:space="preserve">Gerente de mercadeo / Gerente comercial</t>
  </si>
  <si>
    <t xml:space="preserve">CMVT40</t>
  </si>
  <si>
    <t xml:space="preserve">GERENTE TRADE MKARKETING</t>
  </si>
  <si>
    <t xml:space="preserve">TRADE MARKETING</t>
  </si>
  <si>
    <t xml:space="preserve">Responsable por estructurar los precios al por menor con margen comercial. También responde por la eficaz estrategia de marketing, con márgenes de rentabilidad para todos los negocios comerciales y cuentas clave. Fijar todos los márgenes comerciales, comisiones, etc y todas las actividades de gestión. Profesional con especialidad Comercial y más de 10 años de experiencia. </t>
  </si>
  <si>
    <t xml:space="preserve">FITS40</t>
  </si>
  <si>
    <t xml:space="preserve">GERENTE TESORERIA - TESORERO</t>
  </si>
  <si>
    <t xml:space="preserve">TESORERIA</t>
  </si>
  <si>
    <t xml:space="preserve">Administrar los fondos e inversiones de la compañía, los créditos, seguros, pagos a proveedores, cartera y las relaciones con los organismos financieros y bancarios, a fin de garantizar el manejo eficiente de los recursos monetarios de la empresa.</t>
  </si>
  <si>
    <t xml:space="preserve">Gerente / Vicepresidente financiero</t>
  </si>
  <si>
    <t xml:space="preserve">FNTJ40</t>
  </si>
  <si>
    <t xml:space="preserve">DIRECTOR TARJETA DE CREDITO</t>
  </si>
  <si>
    <t xml:space="preserve">TARJETAS</t>
  </si>
  <si>
    <t xml:space="preserve">Asignar nuevas tarjetas, con sus respectivos cupos, autorizar aumentos de cupo para tarjetas antiguas, coordinar la ejecución de programas de actualización de datos y determinar el envío de cuentas a la división jurídica, a fin de lograr calidad en el servicio al cliente.</t>
  </si>
  <si>
    <t xml:space="preserve">FNTJ41</t>
  </si>
  <si>
    <t xml:space="preserve">GERENTE TARJETA CREDITO</t>
  </si>
  <si>
    <t xml:space="preserve">Planear, dirigir, supervisar y coordinar los procesos de mercadeo para los servicios que prestan las tarjetas de crédito. Atender las relaciones con instituciones afines al ramo, diseñar estrategias para el saneamiento de cartera, el recaudo y mejoramiento de la seguridad. Mantener contacto con los clientes dando soluciones a reclamos y promocionando nuevos servicios.</t>
  </si>
  <si>
    <t xml:space="preserve">TIST40</t>
  </si>
  <si>
    <t xml:space="preserve">GERENTE HELPDESK</t>
  </si>
  <si>
    <t xml:space="preserve">SOPORTE TECNICO</t>
  </si>
  <si>
    <t xml:space="preserve">Responsable por coordinar las actividades específicas relacionadas con la Tecnología de la Información (TI) en la compañía hechas por teléfono, comprendiendo la definición, desarrollo, mantenimiento y operación de los sistemas, así como mantener el nivel </t>
  </si>
  <si>
    <t xml:space="preserve">Gerente Sistemas / Vicepresidente sistemas</t>
  </si>
  <si>
    <t xml:space="preserve">ADSG40</t>
  </si>
  <si>
    <t xml:space="preserve">GERENTE SERVICIOS GENERALES</t>
  </si>
  <si>
    <t xml:space="preserve">SERVICIOS GENERALES</t>
  </si>
  <si>
    <t xml:space="preserve">Planear, dirigir y coordinar los procesos de compras, manejo de almacén y distribución de papelería en todas las dependencias de la organización, supervisar el correcto funcionamiento de los servicios de cafetería, transporte, aseo, coordinar el archivo y las reparaciones locativas menores, así como los servicios de vigilancia y seguridad.</t>
  </si>
  <si>
    <t xml:space="preserve">Vicepresidente administrativo o recursos humanos</t>
  </si>
  <si>
    <t xml:space="preserve">EDIV40</t>
  </si>
  <si>
    <t xml:space="preserve">DIRECTOR INVESTIGACIÓN</t>
  </si>
  <si>
    <t xml:space="preserve">INVESTIGACION</t>
  </si>
  <si>
    <t xml:space="preserve">Coordina, controla y promueve las investigaciones que se desarrollan en la universidad por los estudiantes, profesionales, docentes con el ánimo de promover la actividad investigativa de los diferentes programas. Establece las pautas y normas para desarrollar proyectos, monografías y/ó tesis que garanticen la formación académica de los investigadores y su selección como trabajos que representen a la universidad en eventos investigativos. El cargo es ocupado por un profesional con 3 años de experiencia.</t>
  </si>
  <si>
    <t xml:space="preserve">Rector / Director administrativo</t>
  </si>
  <si>
    <t xml:space="preserve">EDPG40</t>
  </si>
  <si>
    <t xml:space="preserve">DIRECTOR POSTGRADO</t>
  </si>
  <si>
    <t xml:space="preserve">POSTGRADOS</t>
  </si>
  <si>
    <t xml:space="preserve">Coordinar los planes y programas de las especializaciones, velando por la inclusión de cátedras que respondan a las necesidades del mercado con el fin de garantizar calidad en los programas bajo su control.</t>
  </si>
  <si>
    <t xml:space="preserve">Decano</t>
  </si>
  <si>
    <t xml:space="preserve">EDCL40</t>
  </si>
  <si>
    <t xml:space="preserve">RECTOR COLEGIO</t>
  </si>
  <si>
    <t xml:space="preserve">COLEGIO</t>
  </si>
  <si>
    <t xml:space="preserve">Planea, dirigir y soportar la gestión de docencia, investigación y bienestar del colegio.Reponde por el eficiente manejo administrativo en  cuanto a recursos humanos, físicos, técnicos y financieros.
Reporta a Consejo Directivo</t>
  </si>
  <si>
    <t xml:space="preserve">COSC42</t>
  </si>
  <si>
    <t xml:space="preserve">GERENTE SERVICIO AL CLIENTE</t>
  </si>
  <si>
    <t xml:space="preserve">Dirigir, planear y controlar las estrategias de servicio de la compañía para garantizar la calidad del servicio al cliente de  una manera efectiva.  </t>
  </si>
  <si>
    <t xml:space="preserve">TISS41</t>
  </si>
  <si>
    <t xml:space="preserve">DIRECTOR DETENCION Y PREVENCION FRAUDES</t>
  </si>
  <si>
    <t xml:space="preserve">SEGURIDAD DE SISTEMAS</t>
  </si>
  <si>
    <t xml:space="preserve">SEGURIDAD SISTEMAS</t>
  </si>
  <si>
    <t xml:space="preserve">Responsable del manejo detección y control de fraudes en la compañía y de determinar la tecnología que facilite el manejo de estas situaciones. </t>
  </si>
  <si>
    <t xml:space="preserve">Gerente general / Gerente operaciones</t>
  </si>
  <si>
    <t xml:space="preserve">TISS40</t>
  </si>
  <si>
    <t xml:space="preserve">GERENTE SEGURIDAD SISTEMAS</t>
  </si>
  <si>
    <t xml:space="preserve">Responsable de la seguridad de los sistemas de la empresa, de los sitios de Internet y de la continuidad de la operación en caso de catástrofe. Protege el acceso de piratas informáticos que podría poner en peligro las operaciones de la empresa. También responsable del mantenimiento de las políticas de seguridad para las nuevas tecnologías.</t>
  </si>
  <si>
    <t xml:space="preserve">MASI40</t>
  </si>
  <si>
    <t xml:space="preserve">GERENTE SEGURIDAD INDUSTRIAL</t>
  </si>
  <si>
    <t xml:space="preserve">SEGURIDAD LABORAL INDUSTRIAL</t>
  </si>
  <si>
    <t xml:space="preserve">SEGURIDAD INDUSTRIAL</t>
  </si>
  <si>
    <t xml:space="preserve">Definir y administrar las políticas de seguridad de la compañía, en beneficio de los clientes internos y externos. Coordinar al personal de seguridad.</t>
  </si>
  <si>
    <t xml:space="preserve">ADSF40</t>
  </si>
  <si>
    <t xml:space="preserve">GERENTE SEGURIDAD FISICA</t>
  </si>
  <si>
    <t xml:space="preserve">SEGURIDAD FISICA Y PREVENCION</t>
  </si>
  <si>
    <t xml:space="preserve">SEGURIDAD FISICA</t>
  </si>
  <si>
    <t xml:space="preserve">Planear, dirigir y controlar los procedimientos y sistemas de seguridad y vigilancia para la prevención de robos, falsificación y actos delictivos en general. Controlarlos contratos de seguridad y vigilancia suscritos con la policía nacional y entidades especializadas.</t>
  </si>
  <si>
    <t xml:space="preserve">AGAG40</t>
  </si>
  <si>
    <t xml:space="preserve">GERENTE CULTIVO</t>
  </si>
  <si>
    <t xml:space="preserve">AGROINDUSTRIA Y PECUARIO</t>
  </si>
  <si>
    <t xml:space="preserve">SECTOR AGRICOLA</t>
  </si>
  <si>
    <t xml:space="preserve">Dirigir la operación de la finca o cultivo, integrando las áreas de producción, postcosecha, y  áreas de apoyo (entendiendo  como  áreas de apoyo recursos humanos, mantenimiento, investigación y desarrollo, estadística, almacén), de manera que los procesos productivos y de postcosecha , fluyan de una manera armónica, eficiente, con un alto contenido de calidad y  oportunidad.</t>
  </si>
  <si>
    <t xml:space="preserve">SLHP40</t>
  </si>
  <si>
    <t xml:space="preserve">DIRECTOR CIENTÍFICO (CLÍNICA U HOSPITAL)</t>
  </si>
  <si>
    <t xml:space="preserve">SERVICIOS DE SALUD</t>
  </si>
  <si>
    <t xml:space="preserve">SALUD</t>
  </si>
  <si>
    <t xml:space="preserve">Planea, dirige y controla todas las actividades científicas del personal médico, de enfermería y áreas de especialización. Promueve la investigación; implementa programas para la optimización del recurso humano. Coordina con las diferentes universidades los programas de educación de postgrados. El cargo es desempeñado por un profesional graduado en medicina con postgrado en un área especifica y/o cursos de complementación y una experiencia superior a 5-7 años.</t>
  </si>
  <si>
    <t xml:space="preserve">Gerente General</t>
  </si>
  <si>
    <t xml:space="preserve">SLHP41</t>
  </si>
  <si>
    <t xml:space="preserve">DIRECTOR MEDICO SERVICIOS SALUD</t>
  </si>
  <si>
    <t xml:space="preserve">Velar por la atención y prestación del servicio médico al usuario sea de la más alta calidad, creando los controles suficientes para el manejo del costo médico y definir los parámetros de funcionamiento del área médica.</t>
  </si>
  <si>
    <t xml:space="preserve">SLHP42</t>
  </si>
  <si>
    <t xml:space="preserve">MEDICO SUB ESPECIALISTA</t>
  </si>
  <si>
    <t xml:space="preserve">Realizar la consulta médica en su rama de especialidad, llevar la historia clínica por paciente y realizar el seguimiento requerido. En este caso el médico puede especializarse en dos o mas ramas.</t>
  </si>
  <si>
    <t xml:space="preserve">Director médico / Jefe unidad</t>
  </si>
  <si>
    <t xml:space="preserve">SGRI41</t>
  </si>
  <si>
    <t xml:space="preserve">DIRECTOR INGENIERIA FINANCIERA</t>
  </si>
  <si>
    <t xml:space="preserve">RIESGOS</t>
  </si>
  <si>
    <t xml:space="preserve">Se encarga de la elaboración de estudios técnicos y del dictamen de riesgos específicos en seguros técnicos (maquinaria, contratistas, lucro cesante, etc.). Realiza interventora sobre obras e instalaciones. Asesora y soporta al Gerente de Seguros en aspectos técnicos.  </t>
  </si>
  <si>
    <t xml:space="preserve">SGRI40</t>
  </si>
  <si>
    <t xml:space="preserve">GERENTE PREVENCIÓN</t>
  </si>
  <si>
    <t xml:space="preserve">Gerencia las actividades relacionadas al aval técnico de los riesgos de su área para el mercado de pequeños y grandes riesgos, proporcionando la información necesaria para la aceptación o declinación de la Cia. en las propuestas de riesgo. Gerencia el análisis de los riesgos, verificando tanto la documentación pertinente como las condiciones técnicas propuestas. Responde por la calidad de los servicios contratados, elaborando reportes de pérdidas.</t>
  </si>
  <si>
    <t xml:space="preserve">LSAR40</t>
  </si>
  <si>
    <t xml:space="preserve">GERENTE REGULATORIO</t>
  </si>
  <si>
    <t xml:space="preserve">ASUNTOS REGULATORIOS</t>
  </si>
  <si>
    <t xml:space="preserve">REGISTROS</t>
  </si>
  <si>
    <t xml:space="preserve">Maneja todo el proceso de registro para asegurar la aprobación de nuevos productos, permisos de manufactura, permisos de importación y de mejoras a productos. Planea y coordina, con mercadotecnia, investigación y desarrollo, finanzas y otros departamentos.</t>
  </si>
  <si>
    <t xml:space="preserve">Gerente Logística</t>
  </si>
  <si>
    <t xml:space="preserve">COVS41</t>
  </si>
  <si>
    <t xml:space="preserve">GERENTE REGIONAL (ZONA GEOGRAFICA DENTRO</t>
  </si>
  <si>
    <t xml:space="preserve">Lograr los objetivos comerciales mediante el diseño, planeación y dirección de estrategias de mercadeo de los productos y servicios de la zona; administra los recursos humanos, económicos y técnicos de una región del país que comprende varios departamentos. Establecer metas económicas y velar por relaciones adecuadas con clientes actuales y potenciales garantizando calidad en el servicio y rentabilidad para la entidad.</t>
  </si>
  <si>
    <t xml:space="preserve">TIIR40</t>
  </si>
  <si>
    <t xml:space="preserve">DIRECTOR INGENIERIA E INFRAESTRUCTURA</t>
  </si>
  <si>
    <t xml:space="preserve">Implementar y mantener la red de la empresa, lo que implica la instalación y puesta en marcha de los nodos, enlaces, etc. Planificar y realizar el mantenimiento preventivo y correctivo de la infraestructura necesaria para la operación y crecimiento de la red y sus servicios. </t>
  </si>
  <si>
    <t xml:space="preserve">SGSN40</t>
  </si>
  <si>
    <t xml:space="preserve">GERENTE  NACIONAL SINIESTROS</t>
  </si>
  <si>
    <t xml:space="preserve">Reclamos &amp; Suscripcion</t>
  </si>
  <si>
    <t xml:space="preserve">Dirige y controla el proceso de siniestros en los ramos de Personas, Auto, Patrimoniales y Riesgos industriales, a nivel nacional, velando porque se cumplan con las disposiciones legales establecidas por la Superintendencia de Seguros, las políticas y lineamientos de la organización y los condicionados de las pólizas, con la finalidad de controlar la siniestralidad y ofrecer una respuesta oportuna a los asegurados.</t>
  </si>
  <si>
    <t xml:space="preserve">Vicepresidente Siniestros</t>
  </si>
  <si>
    <t xml:space="preserve">SGRE40</t>
  </si>
  <si>
    <t xml:space="preserve">GERENTE REASEGURO</t>
  </si>
  <si>
    <t xml:space="preserve">REASEGUROS</t>
  </si>
  <si>
    <t xml:space="preserve">Reaseguros - Recuperos</t>
  </si>
  <si>
    <t xml:space="preserve">Dirige el proceso de negociación y contratación de reaseguros, de acuerdo a los lineamientos establecidos por la Organización, con la finalidad de ofrecer a las compañías la posibilidad de suscripción automática en la totalidad de los ramos que comercializa, así como la protección contra catástrofes y riesgos desconocidos.</t>
  </si>
  <si>
    <t xml:space="preserve">SGTC40</t>
  </si>
  <si>
    <t xml:space="preserve">TECNICO</t>
  </si>
  <si>
    <t xml:space="preserve">Diseña, monitorea y controla la medición de riesgos a suscribir en los diversos ramos a nivel nacional, con la finalidad de garantizar un resultado técnico positivo y mantener un crecimiento sostenido de la cartera, de acuerdo a las condiciones de coberturas definidas en las pólizas y precios del mercado, en cumplimiento a las políticas, normas y procedimientos de la organización.</t>
  </si>
  <si>
    <t xml:space="preserve">Gerente Financiero / Vicepresidente Financiero</t>
  </si>
  <si>
    <t xml:space="preserve">MKPB40</t>
  </si>
  <si>
    <t xml:space="preserve">GERENTE PUBLICIDAD</t>
  </si>
  <si>
    <t xml:space="preserve">PUBLICIDAD</t>
  </si>
  <si>
    <t xml:space="preserve">Planear, dirigir y controlar todas las actividades de propaganda y promoción de la empresa; mantener en relación y contacto permanente con todos los medios de propaganda y publicidad o agencias del ramo según el caso; asesorar a la Dirección en lo referente a políticas de publicidad y propaganda. En algunas compañías se encarga de las comunicaciones internas.</t>
  </si>
  <si>
    <t xml:space="preserve">TIPE40</t>
  </si>
  <si>
    <t xml:space="preserve">GERENTE PROYECTOS SISTEMAS</t>
  </si>
  <si>
    <t xml:space="preserve">PROYECTOS ERP</t>
  </si>
  <si>
    <t xml:space="preserve">Planea, coordina, dirige y hace el seguimiento de las actividades relacionadas con el diseño, extensión, montaje, instalación, pruebas, reformas, contratación y control de los proyectos que desarrolla la compañía, efectuando los respectivos ajustes a cada uno de ellos, manteniendo los planes de expansión, modernización y/o reposición de los equipos de la compañía y de los clientes de la misma. Se requiere un Ingeniero Electrónico, con una experiencia no menor a 6 años. Reporta a:  Vicepresidente de Tecnología.</t>
  </si>
  <si>
    <t xml:space="preserve">Vicepresidente de Sistemas</t>
  </si>
  <si>
    <t xml:space="preserve">ADPR40</t>
  </si>
  <si>
    <t xml:space="preserve">GERENTE PROYECTOS</t>
  </si>
  <si>
    <t xml:space="preserve">PROYECTOS</t>
  </si>
  <si>
    <t xml:space="preserve">Administrar los proyectos asignados para que se ejecuten dentro de los presupuestos, plazos de tiempo y políticas de la empresa. Proponer y diseñar nuevos proyectos para mejorar las condiciones y la efectividad de los procesos de la compañía en general.                    </t>
  </si>
  <si>
    <t xml:space="preserve">CTOB40</t>
  </si>
  <si>
    <t xml:space="preserve">DIRECTOR PROYECTO</t>
  </si>
  <si>
    <t xml:space="preserve">OBRA</t>
  </si>
  <si>
    <t xml:space="preserve">PROYECTO</t>
  </si>
  <si>
    <t xml:space="preserve">Suministrar oportunamente a la Gerencia de Ingeniería la presentación de las ofertas asignadas junto con los cuadros de cantidades y la información necesaria para la evaluación del precio unitario de las propuestas asignadas. Velar por el cumplimiento de los cronogramas establecidos para el dibujo de los planos de ingeniería fabricación y montaje de las obras asignadas.</t>
  </si>
  <si>
    <t xml:space="preserve">LSDP40</t>
  </si>
  <si>
    <t xml:space="preserve">GERENTE DESARROLLO PROVEEDORES</t>
  </si>
  <si>
    <t xml:space="preserve">DESARROLLO PROVEEDORES</t>
  </si>
  <si>
    <t xml:space="preserve">PROVEEDORES</t>
  </si>
  <si>
    <t xml:space="preserve">Responsable de identificar y desarrollar a los proveedores de acuerdo con las políticas de la calidad de la compañía, facilitando el alcance de los estándares preestablecidos para todos los proveedores, asegurándose que el proceso productivo.</t>
  </si>
  <si>
    <t xml:space="preserve">Gerente logística</t>
  </si>
  <si>
    <t xml:space="preserve">FIPS40</t>
  </si>
  <si>
    <t xml:space="preserve">GERENTE PRESUPUESTO</t>
  </si>
  <si>
    <t xml:space="preserve">PRESUPUESTOS</t>
  </si>
  <si>
    <t xml:space="preserve">Planear, Dirigir, Coordinar y controlar la elaboración de presupuestos a mediano y largo plazo, basado en los programas del negocio.</t>
  </si>
  <si>
    <t xml:space="preserve">FIPS401</t>
  </si>
  <si>
    <t xml:space="preserve">DIRECTOR OFERTAS Y PRESUPUESTO</t>
  </si>
  <si>
    <t xml:space="preserve">DIRECTOR</t>
  </si>
  <si>
    <t xml:space="preserve">Dirigir, Coordinar y controlar la elaboración de oferta y presupuestos a mediano y largo plazo, garantizando el cumplimiento de la metas propuesta en cuento oferta desarrolladas y obtenidas</t>
  </si>
  <si>
    <t xml:space="preserve">Gerencia </t>
  </si>
  <si>
    <t xml:space="preserve">Especializada (4 a 6 años)</t>
  </si>
  <si>
    <t xml:space="preserve">LSPL40</t>
  </si>
  <si>
    <t xml:space="preserve">GERENTE PLANEACION LOGÍSTICA</t>
  </si>
  <si>
    <t xml:space="preserve">PLANEACION LOGISTICA</t>
  </si>
  <si>
    <t xml:space="preserve">Responsable de la planeación de procesos logísticos, calculando los niveles adecuados de inventarios, definiendo las rutas óptimas de transporte, etc. Desarrolla y Controla los procesos internos y externos, para poder satisfacer las necesidades de la compra.</t>
  </si>
  <si>
    <t xml:space="preserve">FIPC40</t>
  </si>
  <si>
    <t xml:space="preserve">GERENTE INVESTIGACION ECONOMICA</t>
  </si>
  <si>
    <t xml:space="preserve">PLANEACION Y CONTROL FINANCIERO</t>
  </si>
  <si>
    <t xml:space="preserve">PLANEACION FINANCIERA</t>
  </si>
  <si>
    <t xml:space="preserve">Dirigir informes sobre el comportamiento de los índices económicos del sector y realizar el análisis respectivo, con el propósito de asesorar a los directivos de la organización en la determinación de estrategias a corto y mediano plazo en el campo económico.</t>
  </si>
  <si>
    <t xml:space="preserve">FIPC41</t>
  </si>
  <si>
    <t xml:space="preserve">GERENTE PLANEACION CONTROL FINANCIERO</t>
  </si>
  <si>
    <t xml:space="preserve">Planear y administrar los recursos financieros, garantizando el cumplimiento de los objetivos del presupuesto. Desarrollar y adecuar los procedimientos contables para que cumplan con la normativa tributaria y fiscal, respondiendo por el diseño de planes de optimización en estos campos.</t>
  </si>
  <si>
    <t xml:space="preserve">ADOM40</t>
  </si>
  <si>
    <t xml:space="preserve">GERENTE ORGANIZACION Y METODOS</t>
  </si>
  <si>
    <t xml:space="preserve">ORGANIZACIÓN Y METODOS</t>
  </si>
  <si>
    <t xml:space="preserve">OYM</t>
  </si>
  <si>
    <t xml:space="preserve">Elaborar los programas y planes del área de organización y métodos, con el propósito de mantener actualizados todos los manuales de las diferentes actividades de la organización. Dirigir y coordinar estudios de las diferentes áreas de la empresa, investigar las necesidades de diseños o mejoras en los procesos administrativos existentes. Realizar sugerencias para racionalizar el uso de recursos, definir la estructura organizacional y mejorar la eficiencia administrativa en la compañía.</t>
  </si>
  <si>
    <t xml:space="preserve">Vicepresidente administrativo / de Sistemas</t>
  </si>
  <si>
    <t xml:space="preserve">FNOF40</t>
  </si>
  <si>
    <t xml:space="preserve">GERENTE SUCURSAL</t>
  </si>
  <si>
    <t xml:space="preserve">OFICINA</t>
  </si>
  <si>
    <t xml:space="preserve">Responder por el funcionamiento, ejecución y desarrollo de las actividades de la oficina, así como de la promoción y prestación de los servicios que ésta ofrece. Mantener estrecha relación con los clientes y aplicar las políticas de crédito establecidas por la dirección.</t>
  </si>
  <si>
    <t xml:space="preserve">Gerente de zona / Gerente regional</t>
  </si>
  <si>
    <t xml:space="preserve">FNOF41</t>
  </si>
  <si>
    <t xml:space="preserve">GERENTE SUCURSAL PRINCIPAL</t>
  </si>
  <si>
    <t xml:space="preserve">Planear, dirigir y controlar todos los aspectos administrativos, operativos y comerciales basado en las políticas y procedimientos dictados por la dirección general. En la medida de sus atribuciones concede créditos y mantiene una estrecha relación con los clientes para promover servicios y ampliar la cartera de clientes bajo parámetros de calidad.</t>
  </si>
  <si>
    <t xml:space="preserve">Gerente regional / Gerente de zona</t>
  </si>
  <si>
    <t xml:space="preserve">SGMC40</t>
  </si>
  <si>
    <t xml:space="preserve">GERENTE MESA CONTROL</t>
  </si>
  <si>
    <t xml:space="preserve">MESA CONTROL</t>
  </si>
  <si>
    <r>
      <rPr>
        <sz val="8"/>
        <rFont val="Arial"/>
        <family val="2"/>
        <charset val="1"/>
      </rPr>
      <t xml:space="preserve">Gerencia la mesa de control de seguros y mantener relación con los distribuidores autorizados </t>
    </r>
    <r>
      <rPr>
        <sz val="8"/>
        <color rgb="FF000000"/>
        <rFont val="Arial"/>
        <family val="2"/>
        <charset val="1"/>
      </rPr>
      <t xml:space="preserve">de la organización y área vinculadoas con el desarrollo de los distribuidores, control eficiente de documentación, archivo y validación de documentos, para validar comisiones de pago, llenado de formatos.</t>
    </r>
  </si>
  <si>
    <t xml:space="preserve">Vicepresidente Financiero</t>
  </si>
  <si>
    <t xml:space="preserve">MKMP43</t>
  </si>
  <si>
    <t xml:space="preserve">DIRECTOR DE LÍNEA O MARCA</t>
  </si>
  <si>
    <t xml:space="preserve">Dirigir, Planear y Controlar las actividades de mercadeo, apoyando las diversas estrategias en relación con: producto, plaza, promoción y precio
</t>
  </si>
  <si>
    <t xml:space="preserve">Gerente Comercial</t>
  </si>
  <si>
    <t xml:space="preserve">SGMD40</t>
  </si>
  <si>
    <t xml:space="preserve">GERENTE EXÁMENES MÉDICOS</t>
  </si>
  <si>
    <t xml:space="preserve">MEDICOS</t>
  </si>
  <si>
    <t xml:space="preserve">Girigir en la entidad de seguros de vida la realizacion de verificacion de exames medicos por convenios, haciendo capacitacion medica preventiva y ocupacional, capacitaciones en areas de higiene y seguridad ocupacional, prevención de enfermedades ocupacionales, chequeos médicos preventivos, auditorías médicas. </t>
  </si>
  <si>
    <t xml:space="preserve">SGMD41</t>
  </si>
  <si>
    <t xml:space="preserve">GERENTE PRESTADORES MÉDICOS</t>
  </si>
  <si>
    <t xml:space="preserve">Gerenciar el proceso del enlace entre el paciente asegurado y la compañía aseguradora. Dirigir convenios de gastos médicos mayores, menores, accidentes y automóviles con aseguradoras nacionales, y de gastos médicos mayores con aseguradoras extranjeras. Se hacen los trámites ante la compañía aseguradora para obtener la autorización de la realización de cirugía y/o procedimiento con al menos siete días hábiles de anticipación; la ventaja es que se conocen las condiciones en que la compañía expide la autorización, previendo los montos de deducible y coaseguro, si procedieran; los montos tabulados al médico tratante y a su equipo; así como el monto autorizado para gastos hospitalarios, etc., Trámites de autorización de pago directo. Trámites de urgencias</t>
  </si>
  <si>
    <t xml:space="preserve">FQCH42</t>
  </si>
  <si>
    <t xml:space="preserve">DIRECTOR MEDICO COMERCIAL</t>
  </si>
  <si>
    <t xml:space="preserve">MEDICO</t>
  </si>
  <si>
    <t xml:space="preserve">Realizar estudios clínicos, elaborar y aprobar literaturas médicas y colaborar en el entrenamiento de la fuerza de ventas. 
Planear y dirigir diferentes programas de actualización como seminarios y conferencias con el fin de proyectar la imagen de la empresa y sus productos ante el cuerpo médico y demás organismos del ramo, garantizando una adecuada penetración y/o mantenimiento de los productos farmacéuticos en el mercado.</t>
  </si>
  <si>
    <t xml:space="preserve">Presidente o gerente general</t>
  </si>
  <si>
    <t xml:space="preserve">LSMT40</t>
  </si>
  <si>
    <t xml:space="preserve">GERENTE MATERIALES</t>
  </si>
  <si>
    <t xml:space="preserve">MATERIALES</t>
  </si>
  <si>
    <t xml:space="preserve">Responder por el manejo de las existencias destinadas a la producción, mantenimiento y mecánica, supervisar las compras e importaciones y mantener los niveles que surtan las necesidades. Coordinar las funciones de pedido, recibo, almacenamiento y despacho.</t>
  </si>
  <si>
    <t xml:space="preserve">MKMP41</t>
  </si>
  <si>
    <t xml:space="preserve">GERENTE GRUPO PRODUCTOS</t>
  </si>
  <si>
    <t xml:space="preserve">Tener a su cargo un grupo de productos para los cuales se deben establecer y/o recomendar los objetivos estratégicos, presupuestos y planes de mercadeo. Desarrollar y controlar las promociones y publicidad de sus productos. Asesorar el área de ventas y analizar los resultados de la investigación de mercados.</t>
  </si>
  <si>
    <t xml:space="preserve">MKMP42</t>
  </si>
  <si>
    <t xml:space="preserve">GERENTE PRODUCTO ESPECIALIZADO</t>
  </si>
  <si>
    <t xml:space="preserve">Desarrollar una línea de producto específica. Participar en la elaboración  del plan de mercadeo y los presupuestos a corto, mediano y largo plazo. Supervisar las investigaciones de mercadeo y vigilar las campañas promocionales. Hacer recomendaciones técnicas para el manejo de los productos y eventualmente brindar asistencia directamente a los principales clientes.</t>
  </si>
  <si>
    <t xml:space="preserve">MAMT40</t>
  </si>
  <si>
    <t xml:space="preserve">GERENTE MANTENIMIENTO</t>
  </si>
  <si>
    <t xml:space="preserve">Dirigir, coordinar y controlar las diversas tareas de las secciones mecánicas, eléctricas y electrónicas así como el funcionamiento de toda la maquinaria y equipo de la planta, grupos móviles y talleres de reparación. Establecer sistemas de inventario y control de consumo de repuestos e insumos. Organizar el personal de mantenimiento, proporcionando las herramientas necesarias para su óptimo desempeño.</t>
  </si>
  <si>
    <t xml:space="preserve">Gerente general / Vicepresidente manufactura</t>
  </si>
  <si>
    <t xml:space="preserve">JULE40</t>
  </si>
  <si>
    <t xml:space="preserve">CONSULTOR/COORDINADOR/ESPEC. JURÍDICO</t>
  </si>
  <si>
    <t xml:space="preserve">Responsable por asesorar y aconsejar todas las áreas de la compañía en aspectos legales tales como asuntos comerciales, inversiones extranjeras, transferencia de tecnología, asuntos laborales y corporativos, etc. Prepara y/o revisa contratos y pactos.</t>
  </si>
  <si>
    <t xml:space="preserve">JULE41</t>
  </si>
  <si>
    <t xml:space="preserve">DIRECTOR JURIDICO</t>
  </si>
  <si>
    <t xml:space="preserve">Representar y asesorar a la organización en todos los asuntos relacionados con el desarrollo social de la misma desde el punto de vista legal. Defender y proteger los intereses ante hechos litigiosos o controversias judiciales. Se entiende con asesores externos de la compañía.</t>
  </si>
  <si>
    <t xml:space="preserve">LSMT42</t>
  </si>
  <si>
    <t xml:space="preserve">GERENTE CONTROL INVENTARIOS</t>
  </si>
  <si>
    <t xml:space="preserve">INVENTARIOS</t>
  </si>
  <si>
    <t xml:space="preserve">Responsable de supervisar las actividades de un grupo de empleados encargados de actualizar los registros y mantener el control de materiales productivos y productos terminados. También es responsable de mantener actualizado el sistema de control de inventarios.</t>
  </si>
  <si>
    <t xml:space="preserve">SGIN40</t>
  </si>
  <si>
    <t xml:space="preserve">GTE INGENIEROS INSPECCIÓN</t>
  </si>
  <si>
    <t xml:space="preserve">INSPECCION</t>
  </si>
  <si>
    <t xml:space="preserve">Inspección</t>
  </si>
  <si>
    <t xml:space="preserve">Gerencia las actividades relacionadas al aval técnico de los riesgos de su área para el mercado de pequeño y grandes riesgos, proporcionando la información necesaria para la aceptación o declinación de la Cia. en las propuestas de riesgo. Gerencia el análisis de los riesgos, verificando tanto la documentación pertinente como las condiciones técnicas y de precios propuestas. Responde por la calidad de los servicios contratados, elaborando reportes de pérdidas. Mantiene contacto con otras compañías para la negociación de coseguros. Responde por la aceptación y precios de los negocios, conforme a las normas y condiciones establecidas por la Cia.</t>
  </si>
  <si>
    <t xml:space="preserve">Gerente Riesgos</t>
  </si>
  <si>
    <t xml:space="preserve">ADII41</t>
  </si>
  <si>
    <t xml:space="preserve">GERENTE INFRAESTRUCTURA FISICA</t>
  </si>
  <si>
    <t xml:space="preserve">INFRAESTRUCTURA E INMUEBLES</t>
  </si>
  <si>
    <t xml:space="preserve">Planear, dirigir y controlar todos los recursos físicos de la entidad en lo que respecta a materiales y logística; Su gestión tiene el fin de garantizar un adecuado y racional manejo de los recursos, así como optimizar el funcionamiento de todas las dependencias y oficinas.</t>
  </si>
  <si>
    <t xml:space="preserve">ADII42</t>
  </si>
  <si>
    <t xml:space="preserve">GERENTE INMUEBLES</t>
  </si>
  <si>
    <t xml:space="preserve">Planear, dirigir y controlar los proyectos de construcción de inmuebles orientados a la ampliación de servicios de la entidad. Coordinar la realización de reparaciones locativas, remodelaciones de oficinas ó sucursales y mantenimiento de los bienes inmuebles de la entidad, de acuerdo con necesidades preestablecidas, siguiendo las políticas de la dirección y guardando lineamientos de la imagen corporativa.</t>
  </si>
  <si>
    <t xml:space="preserve">FIIP40</t>
  </si>
  <si>
    <t xml:space="preserve">GERENTE IMPUESTOS</t>
  </si>
  <si>
    <t xml:space="preserve">IMPUESTOS</t>
  </si>
  <si>
    <t xml:space="preserve">Planear y dirigir labores relacionadas con la preparación y presentación de la declaración de renta. En general, asesorar a la empresa en todos los asuntos de carácter fiscal.</t>
  </si>
  <si>
    <t xml:space="preserve">SGSG40</t>
  </si>
  <si>
    <t xml:space="preserve">GERENTE SEGUROS GENERALES</t>
  </si>
  <si>
    <t xml:space="preserve">Dirigir las actividades de todos los ramos de seguros como el técnico, incendios, cumplimiento, transportes, automóviles, aviación, navegación etc.</t>
  </si>
  <si>
    <t xml:space="preserve">LSGN40</t>
  </si>
  <si>
    <t xml:space="preserve">GERENTE LOGISTICA</t>
  </si>
  <si>
    <t xml:space="preserve">Planificar, dirigir y controlar las actividades de logística, planificación y distribución física de la empresa. Establecer las necesidades de material para los procesos productivos, control de stocks, rotación de productos y distribución de espacios. Participar en las negociaciones con grandes proveedores, clientes transportistas y las líneas de negocios de la compañía en caso de no haber manufactura.</t>
  </si>
  <si>
    <t xml:space="preserve">FNOP40</t>
  </si>
  <si>
    <t xml:space="preserve">Planea, dirige y controla operaciones de la sucursal. Responde por las operaciones de los préstamos personales y comerciales, depósitos, compra y venta de seguros, operación de Fondos de Inversión, Administración de Fiducia y otras actividades relacionadas. Supervisa y vigila informes financieros que se presentan mensualmente. Administra cuentas corporativas, personales y comerciales.</t>
  </si>
  <si>
    <t xml:space="preserve">TIGN40</t>
  </si>
  <si>
    <t xml:space="preserve">GERENTE OPERACIONES / PROCESAMIENTO INFORMACIÓN</t>
  </si>
  <si>
    <t xml:space="preserve">Planear, programar y controlar la producción de sistemas; velar por el óptimo funcionamiento de la plataforma tecnológica. Responder por que las aplicaciones se mantengan continuamente en producción y brindar soporte al usuario en la operación de sistemas garantizando su oportunidad y calidad en los sistemas de información.</t>
  </si>
  <si>
    <t xml:space="preserve">TIGN41</t>
  </si>
  <si>
    <t xml:space="preserve">GERENTE SOPORTE Y TECNOLOGIA</t>
  </si>
  <si>
    <t xml:space="preserve">Responder por los criterios, procedimientos y políticas de seguimiento de los productos y servicios a nivel tecnológico. Interpretar y ejecutar la propuesta realizada por la gerencia de planeación. Dar soporte técnico/tecnológico a nivel de servicios de red y participar en la generación de nuevos productos, futuras tecnologías y mejoramiento de la actual.</t>
  </si>
  <si>
    <t xml:space="preserve">FIPC411</t>
  </si>
  <si>
    <t xml:space="preserve">DIRECTOR FINANCIERO </t>
  </si>
  <si>
    <t xml:space="preserve">DIRECTORES</t>
  </si>
  <si>
    <t xml:space="preserve">Dirigir y hacer seguimiento a la Gestión Financiera de la organización con el fin de garantizar  la  confiabilidad y oportunidad de la información financiera, la  consecución de los recursos económicos necesarios, a través del manejo racional y óptimo de los fondos requeridos y asegurando el cumplimiento de los objetivos propuestos </t>
  </si>
  <si>
    <t xml:space="preserve">FNFD40</t>
  </si>
  <si>
    <t xml:space="preserve">DIRECTOR FONDO COMUN</t>
  </si>
  <si>
    <t xml:space="preserve">Responder por el manejo de la operación diaria de portafolios. Coordinar, manejar y controlar todo lo relacionado con el fondo común; debe buscar dentro de las políticas de crédito de la fiduciaria las mejores alternativas de inversión en el mercado, procurando la mejor rentabilidad.
Volumen del fondo entre: 10000 y 20000 millones de pesos.</t>
  </si>
  <si>
    <t xml:space="preserve">Vicepresidente financiero / Gerente general</t>
  </si>
  <si>
    <t xml:space="preserve">FNFD41</t>
  </si>
  <si>
    <t xml:space="preserve">GERENTE PRODUCTO O NEGOCIO FIDUCIARIO</t>
  </si>
  <si>
    <t xml:space="preserve">Asesorar y atender los clientes inversionistas de los diferentes proyectos en un producto específico de la fiduciaria.  Representar a la fiduciaria en el manejo de los productos asignados.  Consigue nuevos clientes para su negocio y administra uno o varios negocios.</t>
  </si>
  <si>
    <t xml:space="preserve">FQID40</t>
  </si>
  <si>
    <t xml:space="preserve">GERENTE INVESTIGACIÓN CLÍNICA</t>
  </si>
  <si>
    <t xml:space="preserve">Responsable del diseño, planeación e implementación de las pruebas / proyectos de investigación clínica de mediana complejidad. Conduce visitas de observación en el campo. Asegura que se cumplan los protocolos y los objetivos generales de investigación. Medico especializado.</t>
  </si>
  <si>
    <t xml:space="preserve">Vicepresidente Investigación Clínica</t>
  </si>
  <si>
    <t xml:space="preserve">FQCH41</t>
  </si>
  <si>
    <t xml:space="preserve">GERENTE PRODUCTO - HOSPITAL /ESPECIALIDADES</t>
  </si>
  <si>
    <t xml:space="preserve">Responsable de la planeación, coordinación y definición de los objetivos de venta, estrategias de mercadotecnia, análisis de rentabilidad, potencial de mercado, competencia, promoción y otras actividades de mercadotecnia para uno o más productos Hospitalarios.</t>
  </si>
  <si>
    <t xml:space="preserve">
Gerente Grupo productos - Hospital / Especialidades</t>
  </si>
  <si>
    <t xml:space="preserve">FQCF41</t>
  </si>
  <si>
    <t xml:space="preserve">GERENTE PRODUCTO JR. LÍNEA ÉTICA</t>
  </si>
  <si>
    <t xml:space="preserve">Responsable de la planeación, coordinación y definición de los objetivos de venta, estrategias de mercadotecnia, análisis de rentabilidad, potencial de mercado, competencia, promoción y otras actividades de mercadotecnia para un o mas productos Éticos.</t>
  </si>
  <si>
    <t xml:space="preserve">Gerente grupo de productos línea ética</t>
  </si>
  <si>
    <t xml:space="preserve">FQGC40</t>
  </si>
  <si>
    <t xml:space="preserve">DIRECTOR TÉCNICO</t>
  </si>
  <si>
    <t xml:space="preserve">GARANTIA Y CONTROL DE CALIDAD</t>
  </si>
  <si>
    <t xml:space="preserve">FARMA</t>
  </si>
  <si>
    <t xml:space="preserve">Responderá por el control y registro de marcas, tramites ante el invita y entes regulatorios, realizar estudios de viabilidad estudios nuevos, liberación de materias primas, material de empaque, producto terminado y auditoria a terceros.</t>
  </si>
  <si>
    <t xml:space="preserve">FQDI40</t>
  </si>
  <si>
    <t xml:space="preserve">GERENTE DIAGNOSTICA</t>
  </si>
  <si>
    <t xml:space="preserve">DIAGNOSTICA</t>
  </si>
  <si>
    <t xml:space="preserve">Químico Farmacéutico con experiencia mínima de 3 años en cargos similares en el área de Investigación y Desarrollo en Laboratorios farmacéuticos, responde por el desarrollo y formulación de nuevos productos en las líneas farma y químico, elaboración de documentación e información técnica, estudios de estabilidad, desarrollo y validación de técnicas analíticas y de diagnostico, desarrollo de lotes pilotos y procedimientos de manufactura, manejo de equipos de análisis de laboratorio. </t>
  </si>
  <si>
    <t xml:space="preserve">FQCF40</t>
  </si>
  <si>
    <t xml:space="preserve">GERENTE DIVISIÓN FARMA</t>
  </si>
  <si>
    <t xml:space="preserve">Participa en la definición de políticas de comercialización de los productos como el diseño de la estrategia comercial a seguir, con el ánimo de garantizar la venta de los productos y servicios de la compañía; el cargo requiere un Administrador o profesional en carreras afines y conocimientos sólidos en mercadeo y un mínimo de 5 años de experiencia.</t>
  </si>
  <si>
    <t xml:space="preserve">FQCH40</t>
  </si>
  <si>
    <t xml:space="preserve">GERENTE DIVISIÓN HOSPITALARIA</t>
  </si>
  <si>
    <t xml:space="preserve">FQNT40</t>
  </si>
  <si>
    <t xml:space="preserve">GERENTE DIVISIÓN NUTRICIÓN</t>
  </si>
  <si>
    <t xml:space="preserve">NUTRICION</t>
  </si>
  <si>
    <t xml:space="preserve">GHED40</t>
  </si>
  <si>
    <t xml:space="preserve">GERENTE CAPACITACIÓN Y DESARROLLO</t>
  </si>
  <si>
    <t xml:space="preserve">ENTRENAMIENTO Y DESARROLLO</t>
  </si>
  <si>
    <t xml:space="preserve">Otros Nombres: Gerente Desarrollo de Personal, Gerente Desarrollo Organizacional. Responsable por desarrollar programas sobre clima organizacional, evaluación de desempeño, capacitación y entrenamiento para el desarrollo del personal de la compañía; este cargo es desempeñado por Psicólogos, Administradores de Empresas, Ingenieros Industriales, con experiencia superior a 10 años. Reporta a: Vicepresidente de Gestión Humana</t>
  </si>
  <si>
    <t xml:space="preserve">LSTD40</t>
  </si>
  <si>
    <t xml:space="preserve">GERENTE DISTRIBUCIÓN</t>
  </si>
  <si>
    <t xml:space="preserve">TRANSPORTE Y DISTRIBUCION</t>
  </si>
  <si>
    <t xml:space="preserve">DESPACHOS</t>
  </si>
  <si>
    <t xml:space="preserve">Maneja las actividades de distribución, que comprenden la recepción, expedición, control de inventarios y distribución, con el objetivo de satisfacer las necesidades de clientes internos y externos dentro de términos y costos compatibles. Planea y atiende las necesidades de espacio y almacenamiento, evalúa la eficiencia de los medios de transporte y propone mejoras para poder optimizar el proceso de distribución. Requiere de una experiencia entre 10 años y el dominio de un segundo idioma. Reporta a: Vicepresidente de Logística y Operaciones, Gerente General.</t>
  </si>
  <si>
    <t xml:space="preserve">Vicepresidente de Logística y Operaciones / Gerente General.</t>
  </si>
  <si>
    <t xml:space="preserve">TIDE40</t>
  </si>
  <si>
    <t xml:space="preserve">GERENTE INVESTIGACION DLLO. TECNOLOGICO</t>
  </si>
  <si>
    <t xml:space="preserve">DESARROLLO SISTEMAS</t>
  </si>
  <si>
    <t xml:space="preserve">Proyectar los planes estratégicos y tácticos para el desarrollo del área de informática, coordinar y evaluar la elaboración de estudios en la organización para las diferentes áreas de la empresa.</t>
  </si>
  <si>
    <t xml:space="preserve">FICC40</t>
  </si>
  <si>
    <t xml:space="preserve">GERENTE CREDITO</t>
  </si>
  <si>
    <t xml:space="preserve">Mantener relaciones de trabajo con clientes usuarios de crédito y establecer controles para el cumplimiento de las normas y políticas en la administración del crédito que maneja la organización; supervisar la evaluación de algunos proyectos y realiza el análisis de compañías o clientes que requieren créditos de gran cuantía.</t>
  </si>
  <si>
    <t xml:space="preserve">FNCR41</t>
  </si>
  <si>
    <t xml:space="preserve">GERENTE CREDITO PERSONAS</t>
  </si>
  <si>
    <t xml:space="preserve">CREDITO </t>
  </si>
  <si>
    <t xml:space="preserve">CREDITO PERSONAS</t>
  </si>
  <si>
    <t xml:space="preserve">Responsable de implementar y administrar la política de crédito de personas, al analizar, autorizar o rechazar solicitudes de crédito de acuerdo al historial financiero de los clientes corporativos. Experiencia de más de 10 años.</t>
  </si>
  <si>
    <t xml:space="preserve">FNCR40</t>
  </si>
  <si>
    <t xml:space="preserve">GERENTE CREDITO CORPORATIVO</t>
  </si>
  <si>
    <t xml:space="preserve">CREDITO CORPORATIVO</t>
  </si>
  <si>
    <t xml:space="preserve">Responsable de implementar y administrar la política de crédito corporativo, al analizar, autorizar o rechazar solicitudes de crédito de acuerdo al historial financiero de los clientes corporativos. Experiencia de más de 10 años.</t>
  </si>
  <si>
    <t xml:space="preserve">Vicepresidente Finanaciero</t>
  </si>
  <si>
    <t xml:space="preserve">FICO40</t>
  </si>
  <si>
    <t xml:space="preserve">GERENTE COSTOS</t>
  </si>
  <si>
    <t xml:space="preserve">COSTOS</t>
  </si>
  <si>
    <t xml:space="preserve">Responsable por administrar las actividades relacionadas con el desarrollo y organización de los sistemas de costo de la compañía, incluyendo el análisis del costo real de los productos y sus respectivos márgenes de contribución.</t>
  </si>
  <si>
    <t xml:space="preserve">Gerente Financiero</t>
  </si>
  <si>
    <t xml:space="preserve">CTDI40</t>
  </si>
  <si>
    <t xml:space="preserve">DIRECTOR DISEÑO</t>
  </si>
  <si>
    <t xml:space="preserve">DISEÑO</t>
  </si>
  <si>
    <t xml:space="preserve">CONTRUCCION</t>
  </si>
  <si>
    <t xml:space="preserve">Dirigir, coordina toda los diseños, presupuesta y planea la obra (arquitectónico, hidráulico, planeación, urbanístico) (Gerente de Proyecto)</t>
  </si>
  <si>
    <t xml:space="preserve">SGCP40</t>
  </si>
  <si>
    <t xml:space="preserve">GERENTE CONTROL PERDIDAS </t>
  </si>
  <si>
    <t xml:space="preserve">CONTROL PERDIDAS</t>
  </si>
  <si>
    <t xml:space="preserve">Gerencia las actividades relacionadas con la evaluacion tenica de riesgo en su area de operacion para el mercado de bajo y alto riesgo, dando soporte a las companias sobre la aceptacion o rechazo de propuestas de seguro. Gerencia el analisis del riesgo, verificando la documentacion correspondiente, las condiciones tecnicas de la propuesta y los precios propuestos. Es responsable por la calidad de los servicios contratados verificando los resportes de ocurrencia. Mantiene relaciones con las otras companias aseguradoras para negociacion de coaseguros y con las IRB para la negociacion del mismo. Respinsable por la aceptacion de los convenios en concordancia con las normas y condiciones establecidas por la Compania.</t>
  </si>
  <si>
    <t xml:space="preserve">FICT40</t>
  </si>
  <si>
    <t xml:space="preserve">CONTRALOR</t>
  </si>
  <si>
    <t xml:space="preserve">CONTABILIDAD</t>
  </si>
  <si>
    <t xml:space="preserve">Elaborar y controlar presupuestos, así como mantener un adecuado sistema de información contable y financiera para los cuales debe establecer normas, procedimientos y registros, con el fin de proteger los activos de la empresa y garantizar eficiencia en las operaciones.</t>
  </si>
  <si>
    <t xml:space="preserve">Presidente / Vicepresidente contralor</t>
  </si>
  <si>
    <t xml:space="preserve">FICT41</t>
  </si>
  <si>
    <t xml:space="preserve">GERENTE CONTABILIDAD</t>
  </si>
  <si>
    <t xml:space="preserve">Garantizar la correcta y oportuna generación de la información contable y financiera (estados financieros), con el propósito de asesorar a las directivas de la organización en la toma de decisiones.                                  </t>
  </si>
  <si>
    <t xml:space="preserve">Vicepresidente financiero / Contralor</t>
  </si>
  <si>
    <t xml:space="preserve">FICT501</t>
  </si>
  <si>
    <t xml:space="preserve">DIRECTOR CONTABILIDAD</t>
  </si>
  <si>
    <t xml:space="preserve">Dirigir, coordinar, hacer seguimiento y controlar el proceso de contabilidad con el fin de garantizar estados financieros oportunos y confiables.  </t>
  </si>
  <si>
    <t xml:space="preserve">Gerente financiero</t>
  </si>
  <si>
    <t xml:space="preserve">Dos puestos previos (4 a 6 años)</t>
  </si>
  <si>
    <t xml:space="preserve">Básico</t>
  </si>
  <si>
    <t xml:space="preserve">GHCI40</t>
  </si>
  <si>
    <t xml:space="preserve">GERENTE COMUNICACIÓN INTERNA</t>
  </si>
  <si>
    <t xml:space="preserve">COMUNICACION INTERNA</t>
  </si>
  <si>
    <t xml:space="preserve">COMUNICACIÓN INTERNA</t>
  </si>
  <si>
    <t xml:space="preserve">Responsable de la implementación del programa de comunicación interna a través de la publicación de boletines y publicaciones especiales tales como revistas internas, memorandos y folletos. Responsable de la publicación de información en tableros de anuncio.</t>
  </si>
  <si>
    <t xml:space="preserve">Gerente de Gestión Humana</t>
  </si>
  <si>
    <t xml:space="preserve">LSCP40</t>
  </si>
  <si>
    <t xml:space="preserve">GERENTE COMPRAS</t>
  </si>
  <si>
    <t xml:space="preserve">COMPRAS</t>
  </si>
  <si>
    <t xml:space="preserve">Dirigir, coordinar y controlar los procedimientos relacionados con la adquisición de materias primas, suministros, equipos y servicios. Estudiar las ofertas y cotizaciones, recomendar al comité de compras y responder por los contratos con los proveedores.</t>
  </si>
  <si>
    <t xml:space="preserve">GHCB40</t>
  </si>
  <si>
    <t xml:space="preserve">GERENTE  COMPENSACIÓN</t>
  </si>
  <si>
    <t xml:space="preserve">COMPENSACION Y BENEFICIOS</t>
  </si>
  <si>
    <t xml:space="preserve">Responsable de la administración y mantenimiento de las políticas y procedimientos de Salarios y Beneficios</t>
  </si>
  <si>
    <t xml:space="preserve">LSCE40</t>
  </si>
  <si>
    <t xml:space="preserve">GERENTE IMPORTACIONES</t>
  </si>
  <si>
    <t xml:space="preserve">Planear y dirigir todo el proceso relacionado con las importaciones. Coordinar y supervisar la nacionalización de los bienes importados. Conocer los procedimientos necesarios para el trámite de las importaciones.   </t>
  </si>
  <si>
    <t xml:space="preserve">Presidente/Gerente General</t>
  </si>
  <si>
    <t xml:space="preserve">LSCE41</t>
  </si>
  <si>
    <t xml:space="preserve">GERENTE IMPORTACIONES Y EXPORTACIONES</t>
  </si>
  <si>
    <t xml:space="preserve">Dirigir y asegurar la oportuna y efectiva realización de los procesos de importación y exportación  de materias primas requeridas por la empresa y productos para los clientes. Define  políticas y normas de acuerdo con las reglamentaciones del comercio internacional. 
Reporta a Gerente General</t>
  </si>
  <si>
    <t xml:space="preserve">SGRT40</t>
  </si>
  <si>
    <t xml:space="preserve">GTE COMERCIAL CANAL RETAIL</t>
  </si>
  <si>
    <t xml:space="preserve">Gerente SR comercial canal retail</t>
  </si>
  <si>
    <t xml:space="preserve">FQDC40</t>
  </si>
  <si>
    <t xml:space="preserve">DIRECTOR CIENTÍFICO (LABORATORIOS)</t>
  </si>
  <si>
    <t xml:space="preserve">DIRECCION CIENTIFICA</t>
  </si>
  <si>
    <t xml:space="preserve">Participa en el desarrollo de políticas sociales y de salud; Dirige y asesora investigaciones, Prepara documentos que dan la referencia de los medicamentos del laboratorio; Responsable y Dirige grupos de trabajo para evaluar los diferentes medicamentos que se pondrán en el mercado; Representa al laboratorio ante la comunidad al Preparar la documentación del medicamento y garantizar su calidad.</t>
  </si>
  <si>
    <t xml:space="preserve">FQDM40</t>
  </si>
  <si>
    <t xml:space="preserve">DIRECTOR MEDICO</t>
  </si>
  <si>
    <t xml:space="preserve">DIRECCION MEDICA</t>
  </si>
  <si>
    <t xml:space="preserve">Coordina y realiza el análisis de la investigación médica proveniente de casa matriz y para apoyar la comercialización de proyectos éticos; el cargo requiere un médico para ser desempeñado.</t>
  </si>
  <si>
    <t xml:space="preserve">FQAR40</t>
  </si>
  <si>
    <t xml:space="preserve">GERENTE ASUNTOS REGULATORIOS</t>
  </si>
  <si>
    <t xml:space="preserve">Responsable de las actividades de calificación y certificación de productos con las agencias regulatorias del gobierno como INVIMA e ICA, asegurando que cumplen con los requerimientos legales del mercado local. El cargo es desempeñado por un profesional con 10 años de experiencia en el área.</t>
  </si>
  <si>
    <t xml:space="preserve">SGCV40</t>
  </si>
  <si>
    <t xml:space="preserve">GERENTE CONVENIOS</t>
  </si>
  <si>
    <t xml:space="preserve">CONVENIOS</t>
  </si>
  <si>
    <t xml:space="preserve">COMERCIAL ARP</t>
  </si>
  <si>
    <t xml:space="preserve">Gerenciar el proceso del enlace entre el paciente asegurado y la compañía aseguradora. Dirigir convenios de gastos mayores, menores, accidentes y automóviles con aseguradoras nacionales, y de gastos médicos mayores con aseguradoras extranjeras. Se hacen los trámites ante la compañía aseguradora para obtener la autorización de la realización del procedimiento; conocer las condiciones en que la compañía expide la autorización, previendo los montos de deducible y coaseguro, si procedieran; los montos tabulados a la entidad tratante y a su equipo; así como el monto autorizado para gastos, etc., Trámites de autorización de pago directo. Trámites de siniestros.</t>
  </si>
  <si>
    <t xml:space="preserve">FNBC40</t>
  </si>
  <si>
    <t xml:space="preserve">GERENTE ZONA</t>
  </si>
  <si>
    <t xml:space="preserve">Coordinar los procesos administrativos y comerciales para un grupo de oficinas que están bajo su responsabilidad. Establecer planes y determinar estrategias de mercadeo para lograr las metas propuestas por la dirección general.</t>
  </si>
  <si>
    <t xml:space="preserve">SGCS40</t>
  </si>
  <si>
    <t xml:space="preserve">GERENTE COASEGUROS</t>
  </si>
  <si>
    <t xml:space="preserve">COASEGUROS</t>
  </si>
  <si>
    <t xml:space="preserve">Gerenciar y controlar los procesos de Coaseguros con las demás compañías aseguradoras; con el fin de asegurar la correcta distribución y respaldo de los riesgos asumidos por la compañía por siniestros con terceros.</t>
  </si>
  <si>
    <t xml:space="preserve">COCV40</t>
  </si>
  <si>
    <t xml:space="preserve">GERENTE CAPACITACIÓN VENTAS SR.</t>
  </si>
  <si>
    <t xml:space="preserve">CAPACITACION VENTAS</t>
  </si>
  <si>
    <t xml:space="preserve">Responsable de manejar las actividades para la identificación de necesidades, de la definición, coordinación y programación de cursos de entrenamiento de comportamiento para la fuerza de ventas, de orientar y motivar el incremento en la eficiencia del equipo.</t>
  </si>
  <si>
    <t xml:space="preserve">Gerente comercial</t>
  </si>
  <si>
    <t xml:space="preserve">SGBS40</t>
  </si>
  <si>
    <t xml:space="preserve">GERENTE BANCASEGUROS</t>
  </si>
  <si>
    <t xml:space="preserve">BANCASEGUROS</t>
  </si>
  <si>
    <t xml:space="preserve">Bancaseguros</t>
  </si>
  <si>
    <r>
      <rPr>
        <sz val="8"/>
        <rFont val="Arial"/>
        <family val="2"/>
        <charset val="1"/>
      </rPr>
      <t xml:space="preserve">Gerencia el proceso de mercadeo mediante la utilización de los establecimientos de crédito para la promoción y venta de cierta clase de productos de seguros. </t>
    </r>
    <r>
      <rPr>
        <sz val="8.5"/>
        <color rgb="FF000000"/>
        <rFont val="Arial"/>
        <family val="2"/>
        <charset val="1"/>
      </rPr>
      <t xml:space="preserve">Sistemática de actuación en banca comercial. Procesos de comercialización en entidades aseguradoras. Interpretación y aplicación de políticas de productos </t>
    </r>
  </si>
  <si>
    <t xml:space="preserve">AUSC40</t>
  </si>
  <si>
    <t xml:space="preserve">GERENTE SERVICIOS/GARANTÍA</t>
  </si>
  <si>
    <t xml:space="preserve">Asegura el cumplimiento de la calidad y agilidad en la prestación de los servicios de Post Venta y en el abastecimiento de partes al mercado con el objetivo de garantizar la satisfacción de los consumidores y concesionarios con un menor costo de garantía.</t>
  </si>
  <si>
    <t xml:space="preserve">Gerente servicio al cliente / Gerente comercial</t>
  </si>
  <si>
    <t xml:space="preserve">MAAA40</t>
  </si>
  <si>
    <t xml:space="preserve">DIRECTOR GESTION AMBIENTAL</t>
  </si>
  <si>
    <t xml:space="preserve">Es el responsable del sistema de administracion ambiental, la legislación ambiental y todo lo relacionado con la certificación ISO 14000. Mitiga el impacto ambiental, mediante  tutorías continuas. En algunas empresas maneja residuos y procesos.   </t>
  </si>
  <si>
    <t xml:space="preserve">Gerente Medio Ambiente</t>
  </si>
  <si>
    <t xml:space="preserve">MAGC40</t>
  </si>
  <si>
    <t xml:space="preserve">GERENTE ASEGURAMIENTO CALIDAD</t>
  </si>
  <si>
    <t xml:space="preserve">ASEGURAMIENTO</t>
  </si>
  <si>
    <t xml:space="preserve">Establecer las políticas de calidad de la compañía, dirigir y controlar  los procesos en busca del mejoramiento continuo cumpliendo con los estándares de calidad y la Normatividad legal ya sea ambiental, B.P.M, H.A.C.C.P. entre otras. Establecer sistemas de calidad dando cumplimiento a las Normas ISO.</t>
  </si>
  <si>
    <t xml:space="preserve">MAGC41</t>
  </si>
  <si>
    <t xml:space="preserve">GERENTE CONTROL CALIDAD</t>
  </si>
  <si>
    <t xml:space="preserve">Planear, Dirigir y liderar los procesos relacionados con la calidad, establecidos por la compañía. Garantizar el cumplimiento de los estándares de calidad de los diversos procesos relacionados con los productos y servicios de la compañía.</t>
  </si>
  <si>
    <t xml:space="preserve">MAGC400</t>
  </si>
  <si>
    <t xml:space="preserve">DIRECTOR CALIDAD</t>
  </si>
  <si>
    <t xml:space="preserve">Dirigir y liderar los procesos relacionados con la calidad, establecidos por la compañía. Garantizar el cumplimiento de los estándares de calidad de los diversos procesos relacionados con los productos y servicios de la compañía.</t>
  </si>
  <si>
    <t xml:space="preserve">Vicepresidencia / Gerencia </t>
  </si>
  <si>
    <t xml:space="preserve">SGAR40</t>
  </si>
  <si>
    <t xml:space="preserve">GTE PROC. EMISIONES ARP</t>
  </si>
  <si>
    <t xml:space="preserve">Responsable del gerenciamiento del procesamiento, emisión y expedición de los documentos a los productores y clientes de la Cia en el área de ARP. Coordina al equipo de técnicos, aclarando dudas a los productores, en cuanto a las normas de aceptación, reclamos y modificaciones de propuestas. Provee el envío a los productores de formularios, normas, regulaciones generales, instrucciones, etc. efectuando su registro en el sistema.</t>
  </si>
  <si>
    <t xml:space="preserve">ATVT40</t>
  </si>
  <si>
    <t xml:space="preserve">CONSULTOR CONTRATOS, LICIT. Y PROPUESTAS - ESPEC./S</t>
  </si>
  <si>
    <t xml:space="preserve">Aplica conocimientos y destrezas altamente desarrollados en gerencia y negociación de contratos, licitaciones y propuestas. Conocimiento y destreza adquiridos durante varios años de participación en ambientes de ventas complejas. </t>
  </si>
  <si>
    <t xml:space="preserve">Vicepresidente consultoría TI</t>
  </si>
  <si>
    <t xml:space="preserve">FQAQ40</t>
  </si>
  <si>
    <t xml:space="preserve">GERENTE DIVISIÓN AGROQUÍMICA</t>
  </si>
  <si>
    <t xml:space="preserve">AGROQUIMICA</t>
  </si>
  <si>
    <t xml:space="preserve">SGAT40</t>
  </si>
  <si>
    <t xml:space="preserve">GERENTE TÉCNICO ACTUARIAL</t>
  </si>
  <si>
    <t xml:space="preserve">ACTUARIA</t>
  </si>
  <si>
    <t xml:space="preserve">Actuarial</t>
  </si>
  <si>
    <t xml:space="preserve">Responsable por la estrategia de formulación metodológica de los cálculos actuariales, para el análisis global de las diferentes carteras de la compañía, buscando minimizar los riesgos involucrados, tanto de volúmenes como de valores.</t>
  </si>
  <si>
    <t xml:space="preserve">ATAT48</t>
  </si>
  <si>
    <t xml:space="preserve">DIRECTOR DESARROLLO</t>
  </si>
  <si>
    <t xml:space="preserve">Aprobar y diseñar las nuevas estructuras de microondas, se encarga de la verificación y coordinación de procesos de construcción, licitación de obras civiles y dotación de lugares de operación.  </t>
  </si>
  <si>
    <t xml:space="preserve">Vicepresidente / Gerente técnico</t>
  </si>
  <si>
    <t xml:space="preserve">MCCM40</t>
  </si>
  <si>
    <t xml:space="preserve">DIRECTOR MEDIO COMUNICACIÓN</t>
  </si>
  <si>
    <t xml:space="preserve"> MEDIOS</t>
  </si>
  <si>
    <t xml:space="preserve">COMUNICACON</t>
  </si>
  <si>
    <t xml:space="preserve">Tomar las decisiones sobre el tiempo de información que debe salir en el medio que dirige, teniendo en cuenta las políticas ideológicas de la junta directiva.
Es quien dirige la ideología del medio de comunicación y asegura por medio de sus directores de área que el enfoque de la información esté acorde con los lineamientos organizacionales.</t>
  </si>
  <si>
    <t xml:space="preserve">ATAT41</t>
  </si>
  <si>
    <t xml:space="preserve">DIRECTOR NACIONAL CENTROS SERVICIO</t>
  </si>
  <si>
    <t xml:space="preserve">Mantener los centros de ventas y servicios al cliente, mejorando los procesos de atención.  Atender clientes, responder por la caja, prestar servicio técnico y controlar inventario asignado, orientando su labor hacia la mejora en la calidad.  </t>
  </si>
  <si>
    <t xml:space="preserve">Vicepresidente / Gerente servicio al cliente</t>
  </si>
  <si>
    <t xml:space="preserve">ATAT42</t>
  </si>
  <si>
    <t xml:space="preserve">DIRECTOR NACIONAL SERVICIOS</t>
  </si>
  <si>
    <t xml:space="preserve">Realiza el proceso de retención de clientes, créditos, legalizaciones, activaciones brindando a los usuarios una respuesta rápida y oportuna.</t>
  </si>
  <si>
    <t xml:space="preserve">ATAT43</t>
  </si>
  <si>
    <t xml:space="preserve">DIRECTOR OPERACIONES (TELECOMUNICACIONES)</t>
  </si>
  <si>
    <t xml:space="preserve">Responsable por el mantenimiento preventivo y correctivo a nivel de las estaciones celulares, coordinar contratos de estaciones y mantenimiento de red.  </t>
  </si>
  <si>
    <t xml:space="preserve">ATAT44</t>
  </si>
  <si>
    <t xml:space="preserve">DIRECTOR PLANEACION TECNICA</t>
  </si>
  <si>
    <t xml:space="preserve">Planear a largo plazo el área técnica, administrar los datos de switch, generar planes a corto, mediano y largo plazo para el adecuado funcionamiento de la red Nacional.  Responder por la investigación y desarrollo de nuevas tecnologías. </t>
  </si>
  <si>
    <t xml:space="preserve">ATAT49</t>
  </si>
  <si>
    <t xml:space="preserve">DIRECTOR TERMINALES CELULARES</t>
  </si>
  <si>
    <t xml:space="preserve">Controlar los equipos celulares, atención postventa, administrar el convenio de teléfonos celulares y desarrollo de productos.  Realizar la evaluación técnica de los celulares antes de la venta.   </t>
  </si>
  <si>
    <t xml:space="preserve">Vicepresidente / Gerente de Servicio al Cliente.</t>
  </si>
  <si>
    <t xml:space="preserve">ATAT45</t>
  </si>
  <si>
    <t xml:space="preserve">DIRECTOR TRANSMISIONES</t>
  </si>
  <si>
    <t xml:space="preserve">Planear, supervisar y mantener en perfecto funcionamiento el sistema de microondas, establecer planes  de contingencia y velar por un mantenimiento que permita la operación óptima del equipo.  </t>
  </si>
  <si>
    <t xml:space="preserve">ATAT40</t>
  </si>
  <si>
    <t xml:space="preserve">GERENTE ESTADISTICAS E INFORMACION</t>
  </si>
  <si>
    <t xml:space="preserve">Desarrolla y ejecuta los procesos de recopilación y procesamiento de la información técnica y financiera requerida por la vicepresidencia técnica.   </t>
  </si>
  <si>
    <t xml:space="preserve">ATAT46</t>
  </si>
  <si>
    <t xml:space="preserve">GERENTE FRAUDES</t>
  </si>
  <si>
    <t xml:space="preserve">Apoya al director de fraudes en todo lo relacionado en la detección y control de fraudes en la compañía y en la determinación de la tecnología que se necesita en el manejo de estas situaciones.</t>
  </si>
  <si>
    <t xml:space="preserve">SGID40</t>
  </si>
  <si>
    <t xml:space="preserve">GERENTE INDEMNIZACION</t>
  </si>
  <si>
    <t xml:space="preserve">Asegurar la excelencia del servicio en la atención de reclamos, verificando que este se realice bajo el cumplimiento de normas legales y políticas de la compañía, mediante la planeación, organización y dirección en la gestión. Determinar que los reclamos se realicen bajo las políticas y normas legales mediante la planeación, orientación y control de la gestión en la sucursal.</t>
  </si>
  <si>
    <t xml:space="preserve">Presidente / vicepresidente</t>
  </si>
  <si>
    <t xml:space="preserve">ATAT47</t>
  </si>
  <si>
    <t xml:space="preserve">GERENTE OPERACIONES TELECOMUNICACIONES</t>
  </si>
  <si>
    <t xml:space="preserve">Responder por el funcionamiento adecuado de las operaciones técnicas a nivel nacional; la activación de tele puertos, mantenimiento de telecomunicaciones, control de gestión de instalación, seguimiento y montaje de los equipos.</t>
  </si>
  <si>
    <t xml:space="preserve">SGRE41</t>
  </si>
  <si>
    <t xml:space="preserve">GERENTE REASEGUROS</t>
  </si>
  <si>
    <t xml:space="preserve">Coordinar y dirigir los procesos de reaseguros, manteniendo comunicación con empresas especializadas y compañías de seguros, tanto a nivel nacional como internacional y asegurar  que los pagos se efectúen apropiadamente.</t>
  </si>
  <si>
    <t xml:space="preserve">SGSC40</t>
  </si>
  <si>
    <t xml:space="preserve">GERENTE SUSCRIPCION</t>
  </si>
  <si>
    <t xml:space="preserve">Planear, coordinar y controlar las suscripciones así como el mantenimiento y desarrollo de negocios rentables, cumpliendo con los estándares de suscripción y servicios establecidos previamente por la compañía.</t>
  </si>
  <si>
    <t xml:space="preserve">Vicepresidente suscripción</t>
  </si>
  <si>
    <t xml:space="preserve">CTAD40</t>
  </si>
  <si>
    <t xml:space="preserve">GERENTE TÉCNICO - CONSTRUCCIONES</t>
  </si>
  <si>
    <t xml:space="preserve">Gerenciar los procesos técnicos de construcción de las obras, para que se enmarquen dentro de las especificaciones de calidad y de diseño de los proyectos, manteniendo controlados los costos y el cronograma de entrega.</t>
  </si>
  <si>
    <t xml:space="preserve">De 4 a  6 años</t>
  </si>
  <si>
    <t xml:space="preserve">MCCM41</t>
  </si>
  <si>
    <t xml:space="preserve">SUBDIRECTOR MEDIO COMUNICACIÓN</t>
  </si>
  <si>
    <t xml:space="preserve">En conjunto con el director maneja la información de acuerdo con las políticas e ideologías del medio.  Tiene a su cargo los directores de sección o de área y determina la manera como se manejan temas específicos.</t>
  </si>
  <si>
    <t xml:space="preserve">COVS50</t>
  </si>
  <si>
    <t xml:space="preserve">DIRECTOR / JEFE COMERCIAL</t>
  </si>
  <si>
    <t xml:space="preserve">JEFES</t>
  </si>
  <si>
    <t xml:space="preserve">Dirigir, Coordinar y hacer cumplir las políticas y procedimientos, relacionados con el mercadeo y ventas de los productos y / o servicios ofrecidos por la compañía.</t>
  </si>
  <si>
    <t xml:space="preserve">De 5 a 7 años</t>
  </si>
  <si>
    <t xml:space="preserve">COVS51</t>
  </si>
  <si>
    <t xml:space="preserve">GERENTE COMERCIAL ZONA</t>
  </si>
  <si>
    <t xml:space="preserve">Coordinar y supervisar el desarrollo de las actividades comerciales de un grupo de oficinas. Es el responsable de la programación de los productos y servicios por medio de una permanente orientación comercial que refuerce su posición en el mercado.</t>
  </si>
  <si>
    <t xml:space="preserve">Gerente de zona</t>
  </si>
  <si>
    <t xml:space="preserve">COVS52</t>
  </si>
  <si>
    <t xml:space="preserve">GERENTE DISTRITO O SUCURSAL</t>
  </si>
  <si>
    <t xml:space="preserve">Responder por la venta y distribución de los productos o servicios que le han sido recomendados. Tener a cargo una sucursal o distrito para administrar la oficina, controlar la bodega local y dirigir los vendedores de su distrito.         </t>
  </si>
  <si>
    <t xml:space="preserve">Gerente de ventas / Gerente comercial</t>
  </si>
  <si>
    <t xml:space="preserve">FNOP51</t>
  </si>
  <si>
    <t xml:space="preserve">JEFE DEPARTAMENTO EXTRANJERO</t>
  </si>
  <si>
    <t xml:space="preserve">Dirige y controla todas las operaciones que se realizan en el departamento, además de prestar asesoría en los negocios de comercio exterior a los clientes. Atiende a clientes que soliciten los servicios del banco para sus negocios con el exterior; diligencia solicitudes de cartas de crédito sobre exterior; diligencia reintegros por exportación. Controla y gestiona los vencimientos de clientes, registra las operaciones contables en moneda extranjera.</t>
  </si>
  <si>
    <t xml:space="preserve">FNTM50</t>
  </si>
  <si>
    <t xml:space="preserve">JEFE MESA DINERO</t>
  </si>
  <si>
    <t xml:space="preserve">Planea, controla y dirige las actividades relacionadas con la compra y venta de dinero dentro del mercado financiero. Coordina la elaboración de presupuestos o proyecciones de flujos de efectivo de la entidad, las operaciones de compra y venta en moneda local y extranjera. Administra los riesgos que se generan al buscar utilidades bajos las normas legales vigentes. Se requiere un profesional del área financiera con una experiencia de 3 a 5 años en cargos similares.</t>
  </si>
  <si>
    <t xml:space="preserve">FNFD50</t>
  </si>
  <si>
    <t xml:space="preserve">JEFE SECCIÓN FIDUCIARIA</t>
  </si>
  <si>
    <t xml:space="preserve">Controla las inversiones del banco y constituye y cancela valores en custodia y garantía; además, coordina y supervisa las actividades realizadas por su personal; entrega títulos valores. Mantiene comunicaciones con la Bolsa para averiguar cotizaciones de diferentes papeles. Revisa las contabilizaciones hechas por los auxiliares del departamento. Realiza el cuadre contable de las operaciones efectuadas en el día.</t>
  </si>
  <si>
    <t xml:space="preserve">Gerente producto negocio fiduciario</t>
  </si>
  <si>
    <t xml:space="preserve">FITS50</t>
  </si>
  <si>
    <t xml:space="preserve">JEFE TESORERIA</t>
  </si>
  <si>
    <t xml:space="preserve">Ejecutar y manejar los fondos de la organización, efectuar colocaciones, proyectar flujos, garantizar la calidad de la información financiera que resulta de las operaciones que se llevan a cabo en Tesorería y buscar las mejores opciones en rentabilidad para la compañía.</t>
  </si>
  <si>
    <t xml:space="preserve">Gerente tesorería / Gerente financiero</t>
  </si>
  <si>
    <t xml:space="preserve">COSC53</t>
  </si>
  <si>
    <t xml:space="preserve">JEFE TELEMARKETING - ACTIVO</t>
  </si>
  <si>
    <t xml:space="preserve">Coordina los procesos de telemarketing activo, buscando conseguir nuevos clientes, de acuerdo con la política comercial preestablecida. Desarrolla el equipo de operadores, buscando capacitarlos para dar una correcta atención al cliente, así como para optimizar la política de expansión y conquista de nuevos clientes y el grado del relación cliente-empresa.</t>
  </si>
  <si>
    <t xml:space="preserve">Gerente Telemarketing</t>
  </si>
  <si>
    <t xml:space="preserve">TITC50</t>
  </si>
  <si>
    <t xml:space="preserve">JEFE TELECOMUNICACIONES</t>
  </si>
  <si>
    <t xml:space="preserve">TELECOMUNICACIONES</t>
  </si>
  <si>
    <t xml:space="preserve">Planear, administrar, supervisar y controlar las telecomunicaciones de la organización. Asegurar la disponibilidad permanente de la red de comunicaciones de la entidad y relacionarse con clientes o empresas asociadas del ramo que permitan hacer más eficiente el proceso de comunicación.</t>
  </si>
  <si>
    <t xml:space="preserve">Gerente de sistemas</t>
  </si>
  <si>
    <t xml:space="preserve">SGTC50</t>
  </si>
  <si>
    <t xml:space="preserve">JEFE TÉCNICO</t>
  </si>
  <si>
    <t xml:space="preserve">Coordina la medición de riesgos a suscribir, en los diversos ramos a nivel nacional, con la finalidad de garantizar un resultado técnico positivo y mantener un crecimiento sostenido de la cartera, de acuerdo a las condiciones de coberturas definidas en las pólizas y precios del mercado, en cumplimiento a las políticas, normas y procedimientos de la organización.</t>
  </si>
  <si>
    <t xml:space="preserve">Gerente técnico</t>
  </si>
  <si>
    <t xml:space="preserve">FNTJ50</t>
  </si>
  <si>
    <t xml:space="preserve">DIRECTOR TARJETA CRÉDITO</t>
  </si>
  <si>
    <t xml:space="preserve">Promueve las tarjetas débito, crédito, y de redes de cajeros automáticos en cada una de las sucursales en coordinación con el Gerente de Oficina. Dirige y controla las diferentes operaciones relacionadas, el presupuesto y disponibilidad fijadas. Propone y coordina las políticas de seguridad, recaudo y saneamiento de cartera por el concepto de los diferentes tipos de tarjetas. Requiere una experiencia de 3 a 5 años en ramas administrativas relacionadas.</t>
  </si>
  <si>
    <t xml:space="preserve">Gerente tarjeta de crédito</t>
  </si>
  <si>
    <t xml:space="preserve">FNTJ51</t>
  </si>
  <si>
    <t xml:space="preserve">JEFE TARJETA CREDITO</t>
  </si>
  <si>
    <t xml:space="preserve">Ejerce el control de los Tarjetahabientes, reportando oportunamente los cambios importantes, en la información, coordina la solución de reclamos y realiza actividades encaminadas a brindar servicio al cliente.   </t>
  </si>
  <si>
    <t xml:space="preserve">SGSC50</t>
  </si>
  <si>
    <t xml:space="preserve">JEFE DPTO SUSCRIPCIÓN</t>
  </si>
  <si>
    <t xml:space="preserve">Supervisa y controla el proceso de suscripción de cualquier ramo, a fin que se cumpla con las disposiciones legales establecidas por la Superintendencia de Seguros, con las políticas y lineamientos de la organización y los condicionados de las pólizas, a fin de mantener el control de la siniestralidad y ofrecer una adecuada atención a los asegurados.</t>
  </si>
  <si>
    <t xml:space="preserve">Gerente suscripción</t>
  </si>
  <si>
    <t xml:space="preserve">TIST50</t>
  </si>
  <si>
    <t xml:space="preserve">JEFE SOPORTE TECNICO</t>
  </si>
  <si>
    <t xml:space="preserve">Responde por el mantenimiento, administración y control de todos los equipos de procesamiento de datos. Brindar soporte a los usuarios del área de sistemas en el manejo de la tecnología disponible.</t>
  </si>
  <si>
    <t xml:space="preserve">ADSG50</t>
  </si>
  <si>
    <t xml:space="preserve">JEFE MANTENIMIENTO EDIFICACIONES</t>
  </si>
  <si>
    <t xml:space="preserve">Responsable por los servicios de manutención eléctrica, mecánica, hidráulica, carpintería y albañilería, substituyendo, cambiando, limpiando, arreglando e instalando piezas, componentes y equipos. Trabajan siguiendo normas de seguridad, higiene, calidad y protección al medio ambiente.</t>
  </si>
  <si>
    <t xml:space="preserve">Gerente de servicios generales</t>
  </si>
  <si>
    <t xml:space="preserve">EDDC50</t>
  </si>
  <si>
    <t xml:space="preserve">DECANO TIPO A</t>
  </si>
  <si>
    <t xml:space="preserve">DECANATURA</t>
  </si>
  <si>
    <t xml:space="preserve">Desarrollar los planes y políticas de tipo académico, para garantizar un excelente nivel de educación superior, velando porque la facultad que dirige incluya los contenidos más completos, actualizados, generando profesionales que respondan a las necesidades del mercado. Supervisar la labor de los docentes del área.</t>
  </si>
  <si>
    <t xml:space="preserve">Rector / Vicerrector académico</t>
  </si>
  <si>
    <t xml:space="preserve">EDCL50</t>
  </si>
  <si>
    <t xml:space="preserve">DIRECTOR ACADEMICO  - COLEGIO</t>
  </si>
  <si>
    <t xml:space="preserve">Dirigir y hacer cumplir las políticas académicas de la institución, velando por la calidad de los programas que se ofrecen, así mismo dirigir programas para la actualización de los docentes.</t>
  </si>
  <si>
    <t xml:space="preserve">Rector Colegio</t>
  </si>
  <si>
    <t xml:space="preserve">EDAM50</t>
  </si>
  <si>
    <t xml:space="preserve">DIRECTOR ADMISIONES - EDUCACIÓN</t>
  </si>
  <si>
    <t xml:space="preserve">ADMISIONES</t>
  </si>
  <si>
    <t xml:space="preserve">Dirigir, coordinar y desarrollar el ingreso de los nuevos estudiantes que aspiran ser miembros de la comunidad universitaria, tanto a nivel pregrado como post-grado.</t>
  </si>
  <si>
    <t xml:space="preserve">EDBB50</t>
  </si>
  <si>
    <t xml:space="preserve">DIRECTOR BIBLIOTECA</t>
  </si>
  <si>
    <t xml:space="preserve">BIBLIOTECA</t>
  </si>
  <si>
    <t xml:space="preserve">Planear, dirigir y supervisar los procesos, programas y proyectos relacionados con la selección y adquisición de materiales que garanticen un óptimo servicio de la Biblioteca. </t>
  </si>
  <si>
    <t xml:space="preserve">EDFC50</t>
  </si>
  <si>
    <t xml:space="preserve">DIRECTOR CARRERA</t>
  </si>
  <si>
    <t xml:space="preserve">FACULTAD</t>
  </si>
  <si>
    <t xml:space="preserve">Dirige, programa, controla, promociona y evalúa los procesos académicos, administrativos e investigativos de la carrera o área a su cargo. Además, vigila y ejecuta planes y programas docentes. El cargo es ejercido por un profesional con un postgrado afín a su campo y una experiencia de 4 años.</t>
  </si>
  <si>
    <t xml:space="preserve">EDCJ50</t>
  </si>
  <si>
    <t xml:space="preserve">DIRECTOR CONSULTORIO JURÍDICO</t>
  </si>
  <si>
    <t xml:space="preserve">CONSULTORIO JURIDICO</t>
  </si>
  <si>
    <t xml:space="preserve">Coordina las prácticas de los estudiantes y desarrolla aquellos programas que vayan encaminados al aprendizaje práctico de los estudiantes y beneficien a la comunidad que acude al consultorio jurídico Es desempeñado por un abogado con al menos 2 años de experiencia.</t>
  </si>
  <si>
    <t xml:space="preserve">EDAM51</t>
  </si>
  <si>
    <t xml:space="preserve">JEFE ADMISIONES Y REGISTRO</t>
  </si>
  <si>
    <t xml:space="preserve">Dirige el proceso de promoción, selección y admisión de los aspirantes a ingresar a la universidad tanto en pregrado como en postgrado; se requiere un profesional en Administración de Empresas o Ingeniería Industrial con una experiencia no menor a dos años.</t>
  </si>
  <si>
    <t xml:space="preserve">Director administrativo</t>
  </si>
  <si>
    <t xml:space="preserve">COSC52</t>
  </si>
  <si>
    <t xml:space="preserve">JEFE SERVICIO AL CLIENTE</t>
  </si>
  <si>
    <t xml:space="preserve">Coordinar la labor de los representantes de servicio al cliente, llevar estadísticas sobre la gestión de los funcionarios, responder inquietudes de carácter técnico que no pueden ser resueltas por los representantes. Planear, coordinar y hacer seguimiento a los programas de servicio.</t>
  </si>
  <si>
    <t xml:space="preserve">GHSE50</t>
  </si>
  <si>
    <t xml:space="preserve">JEFE SELECCION</t>
  </si>
  <si>
    <t xml:space="preserve">Realizar los procesos de reclutamiento y selección técnica de personal de acuerdo con las necesidades de las diferentes áreas de la organización; en algunas ocasiones participar en programas de inducción, entrenamiento y evaluación del desempeño.</t>
  </si>
  <si>
    <t xml:space="preserve">Gerente recursos humanos / Gerente general</t>
  </si>
  <si>
    <t xml:space="preserve">FISR51</t>
  </si>
  <si>
    <t xml:space="preserve">JEFE SEGUROS</t>
  </si>
  <si>
    <t xml:space="preserve">SEGUROS</t>
  </si>
  <si>
    <t xml:space="preserve">Responsable de minimizar el riesgo de pérdidas y pasivos de la compañía, utilizando diferentes clases de seguros. Optimiza los costos y condiciones de las pólizas y da seguimiento a la cobranza de daños.</t>
  </si>
  <si>
    <t xml:space="preserve">TISS50</t>
  </si>
  <si>
    <t xml:space="preserve">JEFE SEGURIDAD SISTEMAS</t>
  </si>
  <si>
    <t xml:space="preserve">Desarrollar y aplicar medidas de seguridad de los sistemas y del sitio de Internet, protegiéndolos del acceso de hackers que pudieran afectar las operaciones de la compañía. También es responsable de difundir y actualizar acciones de seguridad para las nuevas tecnologías. Ingeniero de 5 a 8 años de experiencia y 3 específica.</t>
  </si>
  <si>
    <t xml:space="preserve">Gerente seguridad sistemas</t>
  </si>
  <si>
    <t xml:space="preserve">GHBS51</t>
  </si>
  <si>
    <t xml:space="preserve">JEFE SALUD OCUPACIONAL</t>
  </si>
  <si>
    <t xml:space="preserve">BIENESTAR / SALUD OCUPACIONAL</t>
  </si>
  <si>
    <t xml:space="preserve">SEGURIDAD LABORAL</t>
  </si>
  <si>
    <t xml:space="preserve">Otros Nombres: Jefe de Seguridad Industrial, Coordinador de Seguridad Industrial. Desarrolla e implementa Programas de salud ocupacional y seguridad industrial. Apoya el entrenamiento de la brigada de emergencia de la compañía. Evalúa los factores de riesgo y desarrolla las medidas de prevención para mitigar dichos riesgos; consigue los equipos necesarios para la atención de emergencias. Se requiere un profesional en Salud o Administración con énfasis en salud ocupacional y seguridad industrial, con una experiencia de 3 años en labores relacionadas. Reporta a: Gerente de Gestión Humana, Gerente de Personal.</t>
  </si>
  <si>
    <t xml:space="preserve">Gerente de Gestión Humana/ Gerente de Personal.</t>
  </si>
  <si>
    <t xml:space="preserve">MASI51</t>
  </si>
  <si>
    <t xml:space="preserve">JEFE SEGURIDAD INDUSTRIAL</t>
  </si>
  <si>
    <t xml:space="preserve">Determinar, implementar y dar cumplimiento de las normas de seguridad; velar por la preservación y mantenimiento de los equipos de seguridad industrial.</t>
  </si>
  <si>
    <t xml:space="preserve">Gerente recursos humanos / Gerente administrativo</t>
  </si>
  <si>
    <t xml:space="preserve">MASI50</t>
  </si>
  <si>
    <t xml:space="preserve">JEFE SEGURIDAD LABORAL</t>
  </si>
  <si>
    <t xml:space="preserve">Responsable por la ejecución de las políticas de seguridad e higiene industrial. Promueve auditorias con el objetivo de garantizar el cumplimiento de estándares organizacionales y gubernamentales para asegurar la higiene y seguridad en el trabajo. Orienta los comites paritarios.</t>
  </si>
  <si>
    <t xml:space="preserve">Gerente seguridad industrial</t>
  </si>
  <si>
    <t xml:space="preserve">TXDS50</t>
  </si>
  <si>
    <t xml:space="preserve">JEFE DISEÑO</t>
  </si>
  <si>
    <t xml:space="preserve"> TEXTILES CONFECCIONES Y CALZADO</t>
  </si>
  <si>
    <t xml:space="preserve">SECTOR TEXTILES/CONFECCIÓN</t>
  </si>
  <si>
    <t xml:space="preserve">Analizar, investigar y coordinar con las diseñadoras las colecciones, tendencias y la competencia del mercado para desarrollar nuevos productos.</t>
  </si>
  <si>
    <t xml:space="preserve">Gerente General / Gerente Producción</t>
  </si>
  <si>
    <t xml:space="preserve">SLAU50</t>
  </si>
  <si>
    <t xml:space="preserve">AUDITOR ODONTOLOGIA / MEDICO</t>
  </si>
  <si>
    <t xml:space="preserve">Controlar, evaluar y asesorar a los prestatarios del servicio de la salud oral / servicios médicos, en el cumplimiento de sus funciones, así como en la razonable utilización de este.   </t>
  </si>
  <si>
    <t xml:space="preserve">Gerente auditoría</t>
  </si>
  <si>
    <t xml:space="preserve">SLHP50</t>
  </si>
  <si>
    <t xml:space="preserve">CIRUJANO ESPECIALIZADO</t>
  </si>
  <si>
    <t xml:space="preserve">Diagnostica y trata enfermedades, trastornos físicos; ordena pruebas de laboratorio, rayos X y otros diagnósticos e interpreta sus resultados; prescribe medicamentos y tratamientos especializados y remite y ejecuta la cirugía a sus pacientes. Realiza investigación médica; estudia la naturaleza, causa y desarrollo de enfermedades humanas y cambios funcionales causados por enfermedades; hace el seguimiento de la evolución de las enfermedades de sus pacientes y asistirlos en su proceso de recuperación. Elabora protocolos de tratamiento de enfermedades y quirúrgicos; conduce análisis microscópicos y químicos de pruebas y muestras de laboratorio.</t>
  </si>
  <si>
    <t xml:space="preserve">SLHP51</t>
  </si>
  <si>
    <t xml:space="preserve">CIRUJANO GENERAL</t>
  </si>
  <si>
    <t xml:space="preserve">Diagnostica y trata enfermedades, trastornos físicos; ordena pruebas de laboratorio, rayos x y otros diagnósticos e interpreta sus resultados; prescribe medicamentos y tratamientos especializados y remite pacientes a cirugía. Realiza investigación médica; estudia la naturaleza, causa y desarrollo de enfermedades humanas y cambios funcionales causados por enfermedades; hace el seguimiento de la evolución de las enfermedades de sus pacientes y los asiste en su proceso de recuperación.</t>
  </si>
  <si>
    <t xml:space="preserve">SLEF50</t>
  </si>
  <si>
    <t xml:space="preserve">ENFERMERA JEFE</t>
  </si>
  <si>
    <t xml:space="preserve">ENFERMERIA</t>
  </si>
  <si>
    <t xml:space="preserve">Planear y coordinar los turnos de enfermería, velando por un adecuado servicio al cliente y atendiendo casos especiales.</t>
  </si>
  <si>
    <t xml:space="preserve">Médico jefe</t>
  </si>
  <si>
    <t xml:space="preserve">Un puesto previo (2 a 3 años)</t>
  </si>
  <si>
    <t xml:space="preserve">SLAD51</t>
  </si>
  <si>
    <t xml:space="preserve">JEFE ADMISIONES</t>
  </si>
  <si>
    <t xml:space="preserve">Dirigir y controla el proceso de admisiones de los usuarios de los servicios de salud, garantizando el cumplimiento de los procedimientos establecidos por la Institución.</t>
  </si>
  <si>
    <t xml:space="preserve">SLHP52</t>
  </si>
  <si>
    <t xml:space="preserve">JEFE ATENCIÓN MÉDICA</t>
  </si>
  <si>
    <t xml:space="preserve">Dirige, evalúa y supervisa el desarrollo de las actividades asistenciales del hospital. Participa en la selección del personal médico; programa actividades de atención medica del hospital, cuentas y presupuesto; planea el desarrollo de los programas de salud del área; propone medidas correctivas para garantizar el adecuado funcionamiento del área. Planea, dirige y controla las asesorías en lo referente a la atención médica en los diferentes centros de salud. Requiere de especialización en el área específica con una experiencia de 3 años.</t>
  </si>
  <si>
    <t xml:space="preserve">De  3 a 5 años</t>
  </si>
  <si>
    <t xml:space="preserve">SLHP53</t>
  </si>
  <si>
    <t xml:space="preserve">JEFE DEPARTAMENTO MÉDICO</t>
  </si>
  <si>
    <t xml:space="preserve">Planea, dirige y controla la prestación de servicios de salud del hospital ó clínica. Desarrolla sistemas de evaluación para controlar la calidad de los servicios de salud prestados a los pacientes. Controla el uso de servicios de diagnóstico, equipos e instalaciones para garantizar el uso efectivo de recursos.</t>
  </si>
  <si>
    <t xml:space="preserve">SLAD50</t>
  </si>
  <si>
    <t xml:space="preserve">JEFE INFORMACIÓN Y ESTADÍSTICA</t>
  </si>
  <si>
    <t xml:space="preserve">Lleva la información estadística general de la entidad, que permite observar el funcionamiento del mismo. Recibe y revisa las historias clínicas, con base en un diagnóstico. Realiza una codificación; lleva tarjetas índice por salas; diligencia servicios por enfermedad y los formatos para llevar estadísticas según los tratamientos. Elabora informes por salas, edades, días, egresos, estado del egreso. Requiere ser profesional y/ó Tecnólogo con 2 años de experiencia.</t>
  </si>
  <si>
    <t xml:space="preserve">Gerente Administrativo</t>
  </si>
  <si>
    <t xml:space="preserve">SLHP54</t>
  </si>
  <si>
    <t xml:space="preserve">JEFE SANEAMIENTO AMBIENTAL</t>
  </si>
  <si>
    <t xml:space="preserve">Planea y dirige los programas de saneamiento básico de alimentos, salud ocupacional, zoonosis y afines. Coordina y Dirige las labores Administrativas del departamento. Requiere ser profesional en el área, con 3 años de experiencia.</t>
  </si>
  <si>
    <t xml:space="preserve">Gerente administrativo - hospitalaría</t>
  </si>
  <si>
    <t xml:space="preserve">SLHP55</t>
  </si>
  <si>
    <t xml:space="preserve">JEFE UNIDAD SALUD</t>
  </si>
  <si>
    <t xml:space="preserve">Profesional encargado de administrar los recursos y el personal de las diferentes unidades del hospital o clínica.   </t>
  </si>
  <si>
    <t xml:space="preserve">SGRI50</t>
  </si>
  <si>
    <t xml:space="preserve">JEFE PREVENCIÓN</t>
  </si>
  <si>
    <t xml:space="preserve">Responde por las actividades de inspección de riesgos del ramo elemental, por la programación del cronograma de visitas de los técnicos de prevención. Coordina el trabajo para la aceptación de pólizas, aprobando los certificados emitidos, proporcionando sugerencias de seguridad, reducción de tasas, etc. Presta soporte técnico a las unidades comerciales y productores, en asuntos específicos, participando también de negociaciones con reasegurados para la fijación de nuevas tasas. Elabora políticas técnicas de riesgo, con certificados técnicos para el área de siniestros, valuando costos diversos.</t>
  </si>
  <si>
    <t xml:space="preserve">Gerente Prevención</t>
  </si>
  <si>
    <t xml:space="preserve">FNCR52</t>
  </si>
  <si>
    <t xml:space="preserve">JEFE INVESTIGACIONES CRÉDITO</t>
  </si>
  <si>
    <t xml:space="preserve">RIESGO DE CREDITO</t>
  </si>
  <si>
    <t xml:space="preserve">Evalúa la situación financiera del cliente, para establecer el riesgo crediticio y recomendar las cuantías, modalidades del crédito o rentabilidad de las operaciones crediticias. Coordina, dirige y revisa  los estudios de crédito para ser presentados al Director de Crédito o al Comité de Crédito; requiere una experiencia de 2 a 3 años en el área.</t>
  </si>
  <si>
    <t xml:space="preserve">Gerente de Creditos</t>
  </si>
  <si>
    <t xml:space="preserve">FISR50</t>
  </si>
  <si>
    <t xml:space="preserve">JEFE RIESGOS</t>
  </si>
  <si>
    <t xml:space="preserve">Desarrolla e implementa estrategias para acelerar el administración, control y prevención del riesgo y asegurar el cumplimiento de las normas relacionadas a la administración de los mismos, con el propósito de incrementar la eficiencia del proceso de crédito. Verifica la posición crediticia para detectar clientes que presenten irregularidades, o aquellas cuentas que no cumplan con las condiciones bajo las cuales fueron otorgadoslos préstamos y vigila porque se tomen las medidas correctivas.</t>
  </si>
  <si>
    <t xml:space="preserve">LSAR50</t>
  </si>
  <si>
    <t xml:space="preserve">JEFE REGULACIÓN Y REGISTRO</t>
  </si>
  <si>
    <t xml:space="preserve">Responsable del proceso de registro para la aprobación de nuevos productos, permisos de manufactura, permisos de importación y de mejoras a productos. Se pone en contacto con el gobierno para las condiciones regulatorias. El cargo es desempeñado por un profesional con una experiencia de 5 años en cargos afines. Reporta a: Gerente de Logística y Operaciones.</t>
  </si>
  <si>
    <t xml:space="preserve">Gerente de Logística y Operaciones.</t>
  </si>
  <si>
    <t xml:space="preserve">TIIR50</t>
  </si>
  <si>
    <t xml:space="preserve">JEFE /COORDINADOR/ESPEC. INFRAESTRUCTURA</t>
  </si>
  <si>
    <t xml:space="preserve">Responsable por coordinar las actividades relacionadas con la infraestructura (redes, telecomunicaciones, software básico, hardware de los servidores) y las bases de datos, incluyendo la definición, desarrollo y mantenimiento de los procedimientos, así como supervisar el estudio e implementación de nuevos procesos y técnicas para el área.</t>
  </si>
  <si>
    <t xml:space="preserve">Gerente Infraestructura</t>
  </si>
  <si>
    <t xml:space="preserve">TIIR51</t>
  </si>
  <si>
    <t xml:space="preserve">JEFE INFRAESTRUCTURA</t>
  </si>
  <si>
    <t xml:space="preserve">Elabora y desarrolla proyectos para la instalación o reestructuración de sistemas de telecomunicaciones. Coordina proyectos en ambiente de telecomunicaciones, evaluando y observando los trabajos de equipos internos y/ o empresas contratadas. Evalúa el nivel de tráfico/ fluxo y la utilización de equipos y sistemas existentes.</t>
  </si>
  <si>
    <t xml:space="preserve">GHGN50</t>
  </si>
  <si>
    <t xml:space="preserve">JEFE GESTION HUMANA</t>
  </si>
  <si>
    <t xml:space="preserve">Planear y coordinar políticas y procedimientos de administración de personal, administración de salarios, nomina, liquidación de prestaciones, registro de novedades de personal capacitación, desarrollo y bienestar.</t>
  </si>
  <si>
    <t xml:space="preserve">SGSN50</t>
  </si>
  <si>
    <t xml:space="preserve">JEFE DPTO SINIESTROS</t>
  </si>
  <si>
    <t xml:space="preserve">Supervisa el proceso de siniestros de cualquier ramo, a fin que se cumpla con las disposiciones legales establecidas por la Superintendencia de Seguros, con las políticas y lineamientos de la organización y los condicionados de las pólizas, a fin de mantener el control de la siniestralidad y ofrecer una adecuada atención a los asegurados.</t>
  </si>
  <si>
    <t xml:space="preserve">Gerente Nacional siniestros</t>
  </si>
  <si>
    <t xml:space="preserve">SGRE50</t>
  </si>
  <si>
    <t xml:space="preserve">JEFE REASEGURO</t>
  </si>
  <si>
    <t xml:space="preserve">Gerente Reaseguro</t>
  </si>
  <si>
    <t xml:space="preserve">MKPB50</t>
  </si>
  <si>
    <t xml:space="preserve">JEFE /COORDINADOR/ESPEC. PUBLICIDAD</t>
  </si>
  <si>
    <t xml:space="preserve">Responsable de las actividades de producción y difusión de las campañas comerciales a clientes de la compañía, con base en las políticas establecidas por la Dirección de Mercadotecnia.</t>
  </si>
  <si>
    <t xml:space="preserve">Gerente Publicidad</t>
  </si>
  <si>
    <t xml:space="preserve">TIPE50</t>
  </si>
  <si>
    <t xml:space="preserve">JEFE PROYECTOS SISTEMAS</t>
  </si>
  <si>
    <t xml:space="preserve">Dirigir el equipo de analistas, programadores, operadores y digitadores y coordinar las actividades de desarrollo y/o adquisición y de mantenimiento de Hardware y Software. Colaborar en el desarrollo y mantenimiento de sistemas específicos para que se ajusten a los requerimientos de la organización. Definir y formular los procedimientos funcionales o lógicos de los sistemas mediante el uso de equipos para ese fin, con el objeto de administrar y controlar los proyectos del área.</t>
  </si>
  <si>
    <t xml:space="preserve">Gerente Proyectos sistemas</t>
  </si>
  <si>
    <t xml:space="preserve">TIPE51</t>
  </si>
  <si>
    <t xml:space="preserve">JEFE SAP</t>
  </si>
  <si>
    <t xml:space="preserve">Coordinar los grupos de trabajos necesarios y administrar los recursos físicos y lógicos para la interpretación de nuevas necesidades de los usuarios, desarrollo de aplicaciones y la implantación de productos informáticos especializados.</t>
  </si>
  <si>
    <t xml:space="preserve">Gerente de SAP / Sistemas</t>
  </si>
  <si>
    <t xml:space="preserve">ADPR50</t>
  </si>
  <si>
    <t xml:space="preserve">JEFE PROYECTO</t>
  </si>
  <si>
    <t xml:space="preserve">Gestionar los proyectos externos e internos de la organización, garantizando el correcto desarrollo del proyecto en tiempos, calidad, costos, funcionalidad y satisfacción del cliente interno o externo. </t>
  </si>
  <si>
    <t xml:space="preserve">Gerente de planta</t>
  </si>
  <si>
    <t xml:space="preserve">MAPR50</t>
  </si>
  <si>
    <t xml:space="preserve">JEFE PRODUCCION</t>
  </si>
  <si>
    <t xml:space="preserve">Planear, programar y controlar la producción desde la sección que recibe la materia prima hasta la que entrega a las bodegas el producto terminado.</t>
  </si>
  <si>
    <t xml:space="preserve">Gerente de planta / gerente general</t>
  </si>
  <si>
    <t xml:space="preserve">FNOP62</t>
  </si>
  <si>
    <t xml:space="preserve">JEFE PROCESOS</t>
  </si>
  <si>
    <t xml:space="preserve">PROCESOS</t>
  </si>
  <si>
    <t xml:space="preserve"> Liderar, gestionar y controlar levantamientos y mejora de procesos,  contribuyendo a la eficiencia operacional de la organización. </t>
  </si>
  <si>
    <t xml:space="preserve">Gerente Gestión Humana y/o Tecnologia </t>
  </si>
  <si>
    <t xml:space="preserve">FIPS50</t>
  </si>
  <si>
    <t xml:space="preserve">JEFE PRESUPUESTO</t>
  </si>
  <si>
    <t xml:space="preserve">Desarrollar todas las labores relacionadas con la preparación y presentación de la declaración de renta; además se encarga de las declaraciones necesarias y de presentar la documentación que sea requerida por la Administración de Impuestos. En general, asesora a la empresa en todos los asuntos de carácter fiscal.</t>
  </si>
  <si>
    <t xml:space="preserve">MAPP50</t>
  </si>
  <si>
    <t xml:space="preserve">JEFE  PLANEACION Y CONTROL PRODUCCIÓN</t>
  </si>
  <si>
    <t xml:space="preserve">Coordina los requerimientos de materiales de acuerdo a los programas de producción, mantiene los controles de inventario de materia prima, productos terminados y semiterminados. Mantiene la coordinación de los programas de producción en diferentes áreas.</t>
  </si>
  <si>
    <t xml:space="preserve">Gerente planeación y control producción</t>
  </si>
  <si>
    <t xml:space="preserve">MAPP51</t>
  </si>
  <si>
    <t xml:space="preserve">JEFE PLANEACION PRODUCCION</t>
  </si>
  <si>
    <t xml:space="preserve">Dirigir, supervisar y evaluar los procesos de producción expidiendo las órdenes correspondientes a los supervisores de cada sección. Se encarga de proyectos especiales referentes a la producción, control y análisis de eficiencia.</t>
  </si>
  <si>
    <t xml:space="preserve">Jefe de producción</t>
  </si>
  <si>
    <t xml:space="preserve">FIPC50</t>
  </si>
  <si>
    <t xml:space="preserve">JEFE PLANEACION FINANCIERA</t>
  </si>
  <si>
    <t xml:space="preserve">Asegurar el cumplimiento del plan financiero, garantizando así el cumplimiento de los objetivos del presupuesto. Adecuar los procedimientos contables para que cumplan con la normativa tributaria y fiscal.</t>
  </si>
  <si>
    <t xml:space="preserve">SGPR50</t>
  </si>
  <si>
    <t xml:space="preserve">JEFE PATRIMONIALES</t>
  </si>
  <si>
    <t xml:space="preserve">PROPERTY</t>
  </si>
  <si>
    <t xml:space="preserve">Patrimonial</t>
  </si>
  <si>
    <t xml:space="preserve">Coordina y controla el proceso de reclamos y suscripción de pólizas del ramo Patrimonial en relación a la Pérdidas Totales, Colectivos, Cuentas especiales, entre otros aspectos, en congruencia con las políticas establecidas y los condicionados de las pólizas, a fin de controla la siniestralidad y ofrecer una respuesta oportuna a los asegurados.</t>
  </si>
  <si>
    <t xml:space="preserve">ADOM50</t>
  </si>
  <si>
    <t xml:space="preserve">JEFE ORGANIZACION Y METODOS</t>
  </si>
  <si>
    <t xml:space="preserve">Elaborar y actualizar los manuales técnicos de procedimientos administrativos por medio del análisis y diseño organizacional, comparar y evaluar los procedimientos propuestos con los existentes, y así racionalizar el uso de los recursos involucrados. </t>
  </si>
  <si>
    <t xml:space="preserve">Gte sistemas / Gte org y métodos / Vp administrar</t>
  </si>
  <si>
    <t xml:space="preserve">TIOS50</t>
  </si>
  <si>
    <t xml:space="preserve">JEFE CENTRO COMPUTO</t>
  </si>
  <si>
    <t xml:space="preserve">Responde por el adecuado funcionamiento de los recursos del centro de cómputo. Vigilar que la producción sea continúa y coordinar el arreglo de las fallas que se presenten en el sistema.</t>
  </si>
  <si>
    <t xml:space="preserve">TIOS51</t>
  </si>
  <si>
    <t xml:space="preserve">JEFE PROCESAMIENTO DATOS</t>
  </si>
  <si>
    <t xml:space="preserve">Planear, coordinar y controlar las áreas de operación del computador, transcripción de datos y control de información de entrada y salida de datos. Establecer procedimientos y elaborar programas de trabajo para las diferentes áreas.</t>
  </si>
  <si>
    <t xml:space="preserve">FNOP54</t>
  </si>
  <si>
    <t xml:space="preserve">DIRECTOR  DE OPERACIONES</t>
  </si>
  <si>
    <t xml:space="preserve">Coordinar, dirigir y supervisar las operaciones que se realizan en una división o zona; dar soluciones a las inconsistencias que se puedan presentar en la información generada en su área de influencia.</t>
  </si>
  <si>
    <t xml:space="preserve">Subgerente de operaciones</t>
  </si>
  <si>
    <t xml:space="preserve">OPOP50</t>
  </si>
  <si>
    <t xml:space="preserve">JEFE /COORDINADOR OPERACIONES</t>
  </si>
  <si>
    <t xml:space="preserve">Supervisa las operaciones de múltiples distritos o de un producto/área de servicio. Es responsable por la planeación y operación de su área de actuación, garantizando que sean consistentes con el plan de la compañía.</t>
  </si>
  <si>
    <t xml:space="preserve">Gerente Operaciones</t>
  </si>
  <si>
    <t xml:space="preserve">FNOP53</t>
  </si>
  <si>
    <t xml:space="preserve">JEFE GIROS Y REMESAS</t>
  </si>
  <si>
    <t xml:space="preserve">Encargado de verificar el adecuado trámite de giros y remesas basado en procedimientos y normas establecidas. Coordina y controla el trámite operativo, contable y administrativo de su área.</t>
  </si>
  <si>
    <t xml:space="preserve">FNBC50</t>
  </si>
  <si>
    <t xml:space="preserve">SUBGERENTE OFICINA - JEFE OPERATIVO </t>
  </si>
  <si>
    <t xml:space="preserve">Es responsable de la coordinación general de las operaciones bancarias y relaciones banco - cliente, asistiendo al Gerente en las operaciones de crédito delegadas a la sucursal. Debe ser un Profesional en las áreas de Administración de empresas, Economía ó afines con entrenamiento en gestión bancaria.</t>
  </si>
  <si>
    <t xml:space="preserve">Gerente sucursal principal</t>
  </si>
  <si>
    <t xml:space="preserve">CTOB51</t>
  </si>
  <si>
    <t xml:space="preserve">DIRECTOR OBRA</t>
  </si>
  <si>
    <t xml:space="preserve">Manejo administrativo de la obra (pagos, compras, etc.). Controla almacén y proveedores, lleva tiempos. </t>
  </si>
  <si>
    <t xml:space="preserve">Director de proyecto</t>
  </si>
  <si>
    <t xml:space="preserve">MKMP50</t>
  </si>
  <si>
    <t xml:space="preserve">JEFE /COORDINADOR/ESPEC. MARKETING</t>
  </si>
  <si>
    <t xml:space="preserve">Coordina la planeación, coordinación y definición de los objetivos de ventas, estrategias de mercadotecnia, campañas de publicidad, análisis de utilidades, potencial del mercado, competencia, promoción y publicidad y otras actividades de mercadotecnia.</t>
  </si>
  <si>
    <t xml:space="preserve">CMGC50</t>
  </si>
  <si>
    <t xml:space="preserve">JEFE CATEGORÍA</t>
  </si>
  <si>
    <t xml:space="preserve">Planear,coordinar y controlar estrategias de comunicación directa con los consumidores, los lineamientos para el desarrollo de promociones, analisis de negocio y las recomendaciones propias de la gestion del cleinte</t>
  </si>
  <si>
    <t xml:space="preserve">Gerente categoría</t>
  </si>
  <si>
    <t xml:space="preserve">MKMP52</t>
  </si>
  <si>
    <t xml:space="preserve">JEFE MERCADEO</t>
  </si>
  <si>
    <t xml:space="preserve">Coordinar logística del área, elaborar estrategias de mercadeo, analizar la competencia, lograr que los servicios sean de buena calidad y aceptación, pretender una permanencia adecuada en el mercado de cada uno de sus productos.</t>
  </si>
  <si>
    <t xml:space="preserve">Gerente de Mercadeo</t>
  </si>
  <si>
    <t xml:space="preserve">SGMD50</t>
  </si>
  <si>
    <t xml:space="preserve">JEFE PRESTADORES MÉDICOS</t>
  </si>
  <si>
    <t xml:space="preserve">Dirigir convenios de gastos médicos mayores, menores, accidentes y automóviles con aseguradoras nacionales, y de gastos médicos mayores con aseguradoras extranjeras. Se hacen los trámites ante la compañía aseguradora para obtener la autorización de la realización de cirugía y/o procedimiento con al menos siete días hábiles de anticipación; la ventaja es que se conocen las condiciones en que la compañía expide la autorización, previendo los montos de deducible y coaseguro, si procedieran; los montos tabulados al médico tratante y a su equipo; así como el monto autorizado para gastos hospitalarios, etc., Trámites de autorización de pago directo. Trámites de urgencias</t>
  </si>
  <si>
    <t xml:space="preserve">Gerente Prestadores médicos</t>
  </si>
  <si>
    <t xml:space="preserve">SGMD51</t>
  </si>
  <si>
    <t xml:space="preserve">Realizar la verificacion de exames medicos por convenios, haciendo capacitacion medica preventiva y ocupacional, capacitaciones en areas de higiene y seguridad ocupacional, prevención de enfermedades ocupacionales, chequeos médicos preventivos, auditorías médicas. </t>
  </si>
  <si>
    <t xml:space="preserve">Gerente Examenes médicos / Gerente Prestadores médicos</t>
  </si>
  <si>
    <t xml:space="preserve">MKMP51</t>
  </si>
  <si>
    <t xml:space="preserve">GERENTE PRODUCTO </t>
  </si>
  <si>
    <t xml:space="preserve">Planear, desarrollar, implementar y controlar el plan de mercadeo y los presupuestos a corto, mediano y largo plazo. Supervisar las investigaciones de mercados y vigilar la ejecución de las promociones. Revisar y analizar periódicamente las estadísticas de ventas.</t>
  </si>
  <si>
    <t xml:space="preserve">FQPD52</t>
  </si>
  <si>
    <t xml:space="preserve">JEFE PRODUCCIÓN - CREMAS</t>
  </si>
  <si>
    <t xml:space="preserve">Manufactura</t>
  </si>
  <si>
    <t xml:space="preserve">Responsable de las actividades de producción de productos en crema, determinando la necesidad de recursos e instalaciones, conduciendo la ejecución de programas productivos, costos, calidad y volumen, asegurando que se cumplan los plazos y las especificaciones de producto.</t>
  </si>
  <si>
    <t xml:space="preserve">FQPD53</t>
  </si>
  <si>
    <t xml:space="preserve">JEFE PRODUCCIÓN - LÍQUIDOS</t>
  </si>
  <si>
    <t xml:space="preserve">Responsable de las actividades de producción de productos líquidos, determinando la necesidad de recursos e instalaciones, conduciendo la ejecución de programas productivos, costos, calidad y volumen, asegurando que se cumplan los plazos y las especificaciones de producto especializado.</t>
  </si>
  <si>
    <t xml:space="preserve">MAMT50</t>
  </si>
  <si>
    <t xml:space="preserve">JEFE MANTENIMIENTO</t>
  </si>
  <si>
    <t xml:space="preserve">Planea, coordina, dirige y controla el mantenimiento predictivo, preventivo y  correctivo de todos los equipos productivos e instalaciones de la compañía. Establece necesidades de repuestos según las existencias y necesidades; evalúa y propone mejoras y cambio de maquinaria y equipo según su condición actual. Controla las hojas de vida de los equipos y maquinas de producción; lleva a cabo programas y planes de mejora orientados a lograr el mayor rendimiento de los equipos. Desarrolla y/o modifica equipos de mantenimiento. Se requiere un Ingeniero Mecánico con una experiencia mayor de 5 años en áreas afines. Reporta a: Gerente de Planta</t>
  </si>
  <si>
    <t xml:space="preserve">Gerente de Planta.</t>
  </si>
  <si>
    <t xml:space="preserve">MAMT51</t>
  </si>
  <si>
    <t xml:space="preserve">JEFE MANTENIMIENTO ELECTRICO</t>
  </si>
  <si>
    <t xml:space="preserve">Responder por la dirección y control de programas de mantenimiento (eléctrico) preventivo y correctivo las instalaciones.</t>
  </si>
  <si>
    <t xml:space="preserve">Gte recursos físicos, Gte planta ó Gte producción</t>
  </si>
  <si>
    <t xml:space="preserve">JULE50</t>
  </si>
  <si>
    <t xml:space="preserve">JEFE DIVISION JURIDICA</t>
  </si>
  <si>
    <t xml:space="preserve">Coordinar las actividades relacionadas con trámites ante entes gubernamentales de orden nacional, departamental o municipal; vigilar el cumplimiento de las disposiciones legales que regulan la actividad de la empresa.</t>
  </si>
  <si>
    <t xml:space="preserve">Director jurídico</t>
  </si>
  <si>
    <t xml:space="preserve">MAGC53</t>
  </si>
  <si>
    <t xml:space="preserve">JEFE CONTROL CALIDAD</t>
  </si>
  <si>
    <t xml:space="preserve">LABORATORIO</t>
  </si>
  <si>
    <t xml:space="preserve">Estudiar y desarrollar métodos de análisis y control de calidad de insumos y productos. Proponer medidas correctivas de los productos, controlar la producción y administrar el laboratorio de control de calidad de la empresa.</t>
  </si>
  <si>
    <t xml:space="preserve">MAGC54</t>
  </si>
  <si>
    <t xml:space="preserve">JEFE LABORATORIO</t>
  </si>
  <si>
    <t xml:space="preserve">Realizar ensayos y mediciones sobre las características de calidad que son necesarias para que el proceso productivo se realice con las normas de calidad requeridas.</t>
  </si>
  <si>
    <t xml:space="preserve">Jefe de control de calidad</t>
  </si>
  <si>
    <t xml:space="preserve">MAGC51</t>
  </si>
  <si>
    <t xml:space="preserve">JEFE LABORATORIO/CONTROL CALIDAD</t>
  </si>
  <si>
    <t xml:space="preserve">Responsable del manejo de métodos y procedimientos relacionados con la transformación química y física de sustancias, realización de análisis, exámenes de laboratorio de materiales, materias primas, productos terminados y en proceso, etc., desarrollando modelos.</t>
  </si>
  <si>
    <t xml:space="preserve">Jefe laboratorio</t>
  </si>
  <si>
    <t xml:space="preserve">IDGN50</t>
  </si>
  <si>
    <t xml:space="preserve">JEFE INVESTIGACION Y DESARROLLO</t>
  </si>
  <si>
    <t xml:space="preserve">Dirigir y Controlar el análisis sensorial, procesos industriales, conservación, realizar la evaluación de los proyectos, mercadeo y legislación de alimentos. Identificar  investigaciones de oportunidades, diseño  y desarrollo de nuevos productos.</t>
  </si>
  <si>
    <t xml:space="preserve">MKIM51</t>
  </si>
  <si>
    <t xml:space="preserve">GERENTE INVESTIGACION MERCADOS</t>
  </si>
  <si>
    <t xml:space="preserve">INVESTIGACION DE MERCADOS</t>
  </si>
  <si>
    <t xml:space="preserve">Diseñar las estrategias necesarias para descubrir segmentos de mercados para la consolidación de los nuevos productos. Desarrollar las actividades tendientes a mejorar el posicionamiento en el mercado de los productos existentes.</t>
  </si>
  <si>
    <t xml:space="preserve">MKIM50</t>
  </si>
  <si>
    <t xml:space="preserve">JEFE /COORDINADOR/ESPEC. INVESTIGACIÓN MERCADO</t>
  </si>
  <si>
    <t xml:space="preserve">Coordina las actividades relacionadas con la investigación de mercado con el objeto de apoyar y guiar a la compañía con relación al mercado, proporcionando información para el proceso de investigación de la competencia. También puede coordinar las negociaciones de investigacion de mercado.</t>
  </si>
  <si>
    <t xml:space="preserve">Gerente investigación de mercados</t>
  </si>
  <si>
    <t xml:space="preserve">MKIM52</t>
  </si>
  <si>
    <t xml:space="preserve">JEFE INVESTIGACION MERCADOS</t>
  </si>
  <si>
    <t xml:space="preserve">Recopilar datos e información estadística necesaria que le permita identificar clientes, pronosticar ventas, establecer la posición de las compañías competidoras y asegurar al Departamento de Mercadeo y Ventas en el lanzamiento de nuevos productos o campañas publicitarias y promoción de los existentes.</t>
  </si>
  <si>
    <t xml:space="preserve">FIIV50</t>
  </si>
  <si>
    <t xml:space="preserve">JEFE /COORDINADOR/ESPEC. RELACIONES CON INVERSIONISTAS</t>
  </si>
  <si>
    <t xml:space="preserve">Asiste la administración del programa de comunicación financiera de la empresa junto al mercado financiero y prensa, incluyendo bancos, analistas, periodistas, inversionistas institucionales, individuales y agencias de rating.</t>
  </si>
  <si>
    <t xml:space="preserve">Gerente Inversiones</t>
  </si>
  <si>
    <t xml:space="preserve">FIIV51</t>
  </si>
  <si>
    <t xml:space="preserve">JEFE INVERSIONES</t>
  </si>
  <si>
    <t xml:space="preserve">Coordina las actividades de inversión de la compañía, realizando y orientando la realización de estudios técnicos que facilitan la toma de decisiones asegurando la rentabilidad esperada y la disminución de riesgos.</t>
  </si>
  <si>
    <t xml:space="preserve">LSMT52</t>
  </si>
  <si>
    <t xml:space="preserve">JEFE PLANEACION Y CONTROL INVENTARIOS</t>
  </si>
  <si>
    <t xml:space="preserve">Mantener y determinar los niveles óptimos de los materiales requeridos, planear las requisiciones y controlar los inventarios.</t>
  </si>
  <si>
    <t xml:space="preserve">Gerente de materiales</t>
  </si>
  <si>
    <t xml:space="preserve">CTOB50</t>
  </si>
  <si>
    <t xml:space="preserve">DIRECTOR OBRA - INTERVENTOR</t>
  </si>
  <si>
    <t xml:space="preserve">INTERVENTORIA</t>
  </si>
  <si>
    <t xml:space="preserve">Dirige, supervisa y controla todas las actividades del personal. Provee todas las condiciones y materiales necesarios para el cumplimiento de la programación y normas técnicas requeridas en el desarrollo de la obra. Se requiere Ingeniero Civil con experiencia de 5 años.</t>
  </si>
  <si>
    <t xml:space="preserve">SGIN50</t>
  </si>
  <si>
    <t xml:space="preserve">JEFE INGENIEROS INSPECCIÓN</t>
  </si>
  <si>
    <t xml:space="preserve">Responde por las actividades de inspección de riesgos del ramo elemental, por la programación del cronograma de visitas de los ingenieros de riesgo. Coordina el trabajo para la aceptación de pólizas, aprobando los certificados emitidos, proporcionando sugerencias de seguridad, reducción de tasas, etc. Presta soporte técnico a las unidades comerciales y productores, en asuntos específicos, participando también de negociaciones con reasegurados para la fijación de nuevas tasas. Elabora políticas técnicas de riesgo, con certificados técnicos para el área de siniestros, valuando costos diversos.</t>
  </si>
  <si>
    <t xml:space="preserve">Gerente ingenieros inspección</t>
  </si>
  <si>
    <t xml:space="preserve">FNAD50</t>
  </si>
  <si>
    <t xml:space="preserve">DIRECTOR INMUEBLES</t>
  </si>
  <si>
    <t xml:space="preserve">INMUEBLES</t>
  </si>
  <si>
    <t xml:space="preserve">Se encarga de coordinar y controlar todos los aspectos jurídicos y comerciales relacionados con arrendamientos, contratos, estado del inmueble y la documentación de ‚este en la banca.  Maneja bienes entregados en dación en pago para su posterior negociación. </t>
  </si>
  <si>
    <t xml:space="preserve">CTOB55</t>
  </si>
  <si>
    <t xml:space="preserve">DIRECTOR TRAMITES</t>
  </si>
  <si>
    <t xml:space="preserve">INMOBILIARIO</t>
  </si>
  <si>
    <t xml:space="preserve">Dirigir y controlar los procesos de trámites pertinentes a la venta de los inmuebles, con el objetivo de  asegurar el cumplimiento de las metas  económicas, basándose en los plazos  establecidos.</t>
  </si>
  <si>
    <t xml:space="preserve">Gerencia Comercial </t>
  </si>
  <si>
    <t xml:space="preserve">MAIG50</t>
  </si>
  <si>
    <t xml:space="preserve">JEFE INGENIERIA</t>
  </si>
  <si>
    <t xml:space="preserve">Desarrolla proyectos de ingeniería para el mejor funcionamiento de la planta y de los procesos y métodos de trabajo aplicados por los trabajadores. Tiene bajo su dependencia Técnicos e Ingenieros Industriales y Mecánicos. Se requiere Ingeniero Industrial o Mecánico con una experiencia superior a 5 años en áreas afines.Reporta a: Gerente de Planta.</t>
  </si>
  <si>
    <t xml:space="preserve">MAIG51</t>
  </si>
  <si>
    <t xml:space="preserve">JEFE INGENIERIA INDUSTRIAL</t>
  </si>
  <si>
    <t xml:space="preserve">Diseñar y desarrollar programas de métodos y estándares de trabajo. Se encarga del análisis de procesos, flujos y racionalización. Colaborar en el establecimiento e implementación de programas de incentivos y productividad.</t>
  </si>
  <si>
    <t xml:space="preserve">Gerente de planta / Jefe de producción</t>
  </si>
  <si>
    <t xml:space="preserve">ADII50</t>
  </si>
  <si>
    <t xml:space="preserve">JEFE PROYECTOS</t>
  </si>
  <si>
    <t xml:space="preserve">Planear y coordinar los diseños para la construcción de nuevos inmuebles. Definir la ubicación y organización de puestos de trabajo, maquinaria y equipo, respondiendo a estándares de calidad en el servicio externo y comodidad al usuario interno.  </t>
  </si>
  <si>
    <t xml:space="preserve">Director inmuebles / Gte recursos físicos</t>
  </si>
  <si>
    <t xml:space="preserve">MAGN50</t>
  </si>
  <si>
    <t xml:space="preserve">JEFE PLANTA</t>
  </si>
  <si>
    <t xml:space="preserve">Maneja una planta de producción, para lo que coordina actividades de producción, como mantenimiento, garantía de calidad e ingeniería, practicando las políticas establecidas por la alta gerencia, conforme a cronogramas, volumen, calidad y costos. También responde por las áreas de soporte a la planta. El cargo es desempeñado por un profesional con 5 años de experiencia en cargos similares y en compañías manufactureras.Reporta a: Gerente de Planta.</t>
  </si>
  <si>
    <t xml:space="preserve">FIIP50</t>
  </si>
  <si>
    <t xml:space="preserve">JEFE IMPUESTOS</t>
  </si>
  <si>
    <t xml:space="preserve">HTRS50</t>
  </si>
  <si>
    <t xml:space="preserve">JEFE RESERVAS Y/O HABITACIONES</t>
  </si>
  <si>
    <t xml:space="preserve">HOTELERIA TURISMO Y RECREACIÓN</t>
  </si>
  <si>
    <t xml:space="preserve">RESERVAS</t>
  </si>
  <si>
    <t xml:space="preserve">HOTELERIA</t>
  </si>
  <si>
    <t xml:space="preserve">Otros Nombres: Coordinador de Admisiones, Jefe de Sección de Alojamiento. Planea, dirige y controla el servicio de alimentos y bebidas, almacén, suministros y compras; supervisa el personal del área. El cargo exige un hotelero profesional con 3 años de experiencia y dominio del inglés.</t>
  </si>
  <si>
    <t xml:space="preserve">Gerente de alimentos y bebidas</t>
  </si>
  <si>
    <t xml:space="preserve">CPGB50</t>
  </si>
  <si>
    <t xml:space="preserve">JEFE GOBIERNO CORPORATIVO</t>
  </si>
  <si>
    <t xml:space="preserve">Realizar acciones que conduzcan a programas y proyectos de distribución de los derechos y responsabilidades entre los diferentes entes de empresas, tales como las juntas directivas, directores, gerentes,  accionistas y agentes económicos con intereses en la empresa y transparencia en la Administración. </t>
  </si>
  <si>
    <t xml:space="preserve">Gerente gobierno corporativo</t>
  </si>
  <si>
    <t xml:space="preserve">ADGN51</t>
  </si>
  <si>
    <t xml:space="preserve">GERENTE ADMINISTRATIVO (ZONA GEOGRAFICA)</t>
  </si>
  <si>
    <t xml:space="preserve">Responder en las oficinas de su regional de la coordinación, supervisión y control de todas las labores administrativas y de las tareas operativas que de ella se deriven garantizando el adecuado funcionamiento de las sucursales.</t>
  </si>
  <si>
    <t xml:space="preserve">Gerente regional</t>
  </si>
  <si>
    <t xml:space="preserve">ADGN50</t>
  </si>
  <si>
    <t xml:space="preserve">JEFE ./COORDINADOR ADMINISTRATIVO</t>
  </si>
  <si>
    <t xml:space="preserve">Coordina las actividades administrativas generales de la compañía relacionadas generalmente con el manejo de equipo e instalaciones, contratación y seguimiento de servicios externos (Recepción, Seguridad de la Propiedad, Mantenimiento de la Propiedad, </t>
  </si>
  <si>
    <t xml:space="preserve">FNOP50</t>
  </si>
  <si>
    <t xml:space="preserve">JEFE CAPTACIONES</t>
  </si>
  <si>
    <t xml:space="preserve">Coordina las actividades de captación, llevando la contabilización, actualización de clientes con certificados de depósito a término y demás mecanismos concernientes al proceso de captación.  Se requiere Profesional y experiencia de 2 años en actividades relacionadas.</t>
  </si>
  <si>
    <t xml:space="preserve">FIGN50</t>
  </si>
  <si>
    <t xml:space="preserve">JEFE FINANCIERO</t>
  </si>
  <si>
    <t xml:space="preserve">Coordinar, controlar y supervisar la ejecución de las políticas financieras, contables, económicas de crédito y cobranzas de la empresa.</t>
  </si>
  <si>
    <t xml:space="preserve">Vicepresidente Financiero/ Gerente general</t>
  </si>
  <si>
    <t xml:space="preserve">TIGN50</t>
  </si>
  <si>
    <t xml:space="preserve">JEFE INVESTIGACION TECNOLOGICA</t>
  </si>
  <si>
    <t xml:space="preserve">Realizar estudios que permitan identificar las necesidades tecnológicas de la organización y las soluciones requeridas. Evaluar la viabilidad de proyectos y recomendar la forma de implementación de sus resultados en la entidad.</t>
  </si>
  <si>
    <t xml:space="preserve">LSGN50</t>
  </si>
  <si>
    <t xml:space="preserve">JEFE LOGÍSTICA Y OPERACIONES</t>
  </si>
  <si>
    <t xml:space="preserve">Establece el presupuesto de materia prima y suministros. Vela por la Administración y manejo de los inventarios; se relaciona regularmente con los clientes de la compañía. Prepara la selección de nuevos proveedores nacionales y/o del exterior. Analiza la satisfacción presentada por los clientes con respecto a los productos y servicios prestados por la compañía. Se requiere Profesional en administración o comercio exterior, con 3-4  años de experiencia en el área de logística. Reporta a: Gerente de Logística y Operaciones, Gerente de Distribución.</t>
  </si>
  <si>
    <t xml:space="preserve"> Gerente de Logística y Operaciones /Gerente de Distribución.</t>
  </si>
  <si>
    <t xml:space="preserve">FNOP52</t>
  </si>
  <si>
    <t xml:space="preserve">JEFE PROCESO OPERACIONES</t>
  </si>
  <si>
    <t xml:space="preserve">Responder por la operación de un proceso financiero como los canjes, cuadres contables, cierres, conciliaciones etc para asegurar la consolidación de la información de clientes por transacciones.</t>
  </si>
  <si>
    <t xml:space="preserve">TIGN51</t>
  </si>
  <si>
    <t xml:space="preserve">JEFE SISTEMAS</t>
  </si>
  <si>
    <t xml:space="preserve">Coordinar los procesos de desarrollo y mantenimiento de sistemas. Intervenir en el diseño y desarrollo de los sistemas más importantes, controlar la operación de los equipos y personal a su cargo.</t>
  </si>
  <si>
    <t xml:space="preserve">Gerente Sistemas</t>
  </si>
  <si>
    <t xml:space="preserve">FNFD51</t>
  </si>
  <si>
    <t xml:space="preserve">JEFE PROYECTOS FIDUCIARIOS</t>
  </si>
  <si>
    <t xml:space="preserve">Dirigir, coordinar y mediar todo lo relacionado con los aspectos técnicos y administrativos de fideicomisos, para garantizar la realización y culminación del mismo.</t>
  </si>
  <si>
    <t xml:space="preserve">Gerente de Producto o negocio fiduciario</t>
  </si>
  <si>
    <t xml:space="preserve">FQDM50</t>
  </si>
  <si>
    <t xml:space="preserve">ASESOR MEDICO</t>
  </si>
  <si>
    <t xml:space="preserve">Da soporte a los Gerentes Médicos en las actividades de su área. Proporciona el soporte necesario a las actividades para la revisión científica del material de mercadotecnia, etiquetas, protocolos y estudios.</t>
  </si>
  <si>
    <t xml:space="preserve">Director médico</t>
  </si>
  <si>
    <t xml:space="preserve">FQDI50</t>
  </si>
  <si>
    <t xml:space="preserve">DIRECTOR DIVISIÓN DIAGNOSTICO</t>
  </si>
  <si>
    <t xml:space="preserve">Se responsabilizará como Delegado de Ventas la función comercial a nivel hospitalario, clínicas, y servicios de urgencia de la línea Químico Farmacéutica. Experiencia: de 1 a 2 años.</t>
  </si>
  <si>
    <t xml:space="preserve">Gerente diagnóstica</t>
  </si>
  <si>
    <t xml:space="preserve">De 1 a 2 años</t>
  </si>
  <si>
    <t xml:space="preserve">comunicarse</t>
  </si>
  <si>
    <t xml:space="preserve">FQPD50</t>
  </si>
  <si>
    <t xml:space="preserve">JEFE ACABADO</t>
  </si>
  <si>
    <t xml:space="preserve">Responsable por todas las actividades de acabado de los diferentes proceso de produccion como cremas, liquidos, tableteria y demas, asegurando la presentacion Verificar las especificaciones técnicas del producto. Asegurar el abastecimiento de los insumos necesarios en planta una vez recibida la orden de trabajo, efectuando las coordinaciones del caso. Aprobar el lote de producción final debidamente comparado. Administrar y ser el responsable de las maquinarias e infraestructura de la planta. Levantar las observaciones de control de calidad en forma inmediata para no retrasar los siguientes procesos. </t>
  </si>
  <si>
    <t xml:space="preserve">FQCH50</t>
  </si>
  <si>
    <t xml:space="preserve">JEFE DIVISIÓN SERVICIOS HOSPITALARIOS</t>
  </si>
  <si>
    <t xml:space="preserve">Profesional en áreas medicas, especializado en manejo administrativo, con experiencia asistencial y liderando procesos administrativos, de personal, estadísticas, indicadores, informes gerenciales, coordinando equipos de auxiliares, reportando a niveles gerenciales en clínicas. Para asumir responsabilidad sobre grupo de trabajo y desarrollar el cargo hacia nuevos servicios, trayectoria en funciones administrativas, actualizada y con experiencia en el área asistencial. Excelente vocación de servicio, liderazgo, organización, compromiso, tanto con la empresa como con pacientes. </t>
  </si>
  <si>
    <t xml:space="preserve">Gerente División Hospitalaria</t>
  </si>
  <si>
    <t xml:space="preserve">FQPD51</t>
  </si>
  <si>
    <t xml:space="preserve">Diseñar e impartir un plan de formación integral de alto impacto para la red de delegados de visita médica. Su objetivo es mejorar competencias y resultados comerciales. Titulación universitaria superior en Ciencias de la Salud: Farmacia, Medicina, Biología o similar. Buen nivel de Inglés. Imprescindible experiencia en funciones similares en área de formación a la red de ventas en el sector farmacéutico. </t>
  </si>
  <si>
    <t xml:space="preserve">GHED50</t>
  </si>
  <si>
    <t xml:space="preserve">JEFE CAPACITACION</t>
  </si>
  <si>
    <t xml:space="preserve">Planear, implementar, ejecutar y controlar programas de capacitación, entrenamiento y desarrollo para el personal de la entidad, utilizando recursos internos o coordinado con entidades externas. Estudia las necesidades para realizar recomendaciones acerca del desarrollo de cursos y actividades de capacitación. Generalmente colabora en la comunicación y difusión de dichos programas.</t>
  </si>
  <si>
    <t xml:space="preserve">Gerente de recursos humanos</t>
  </si>
  <si>
    <t xml:space="preserve">ADDA50</t>
  </si>
  <si>
    <t xml:space="preserve">JEFE CENTRO DOCUMENTACION</t>
  </si>
  <si>
    <t xml:space="preserve">GESTION DOCUMENTAL Y ARCHIVO</t>
  </si>
  <si>
    <t xml:space="preserve">DOCUMENTACION Y ARCHIVO</t>
  </si>
  <si>
    <t xml:space="preserve">Organizar y mantener el centro de documentos o archivo general que guarda la memoria institucional de la empresa. Coordinar y controlar el flujo de información para los usuarios internos siguiendo las políticas de la dirección para dicho fin.</t>
  </si>
  <si>
    <t xml:space="preserve">Director servicios generales</t>
  </si>
  <si>
    <t xml:space="preserve">LSTD51</t>
  </si>
  <si>
    <t xml:space="preserve">JEFE ADMINISTRACIÓN DEL RIESGO TERRESTRE</t>
  </si>
  <si>
    <t xml:space="preserve">Realizan labores de seguimiento de las carreteras, velando por la seguridad de los vehículos, carga y personal implicado, atiende las complicaciones que se presenten como accidentes y siniestro.</t>
  </si>
  <si>
    <t xml:space="preserve">LSTD50</t>
  </si>
  <si>
    <t xml:space="preserve">JEFE CENTRO DISTRIBUCIÓN</t>
  </si>
  <si>
    <t xml:space="preserve">Responsable por dirigir las actividades de distribución, que comprenden la recepción, expedición, control de inventarios y distribución, con el objetivo de satisfacer las necesidades de clientes internos y externos dentro de términos y costos compatibles.</t>
  </si>
  <si>
    <t xml:space="preserve">Gerente distribución</t>
  </si>
  <si>
    <t xml:space="preserve">LSTD52</t>
  </si>
  <si>
    <t xml:space="preserve">JEFE DESPACHOS</t>
  </si>
  <si>
    <t xml:space="preserve">Revisar los pedidos de los productos terminados antes de su despacho y de coordinar los envíos. Supervisar las operaciones de carga y atiende reclamos originados en la distribución. Mantener relaciones operativas y administrativas en los casos en que la empresa contrata fleteros individuales o remesas de transporte. </t>
  </si>
  <si>
    <t xml:space="preserve">LSTD53</t>
  </si>
  <si>
    <t xml:space="preserve">JEFE LOGISTICA</t>
  </si>
  <si>
    <t xml:space="preserve">Coordinar y coordinar las actividades de logística, planificación y distribución física de la empresa. Establecer las necesidades de material para los procesos productivos, control de stocks, rotación de productos y distribución de espacios.</t>
  </si>
  <si>
    <t xml:space="preserve">AAPL50</t>
  </si>
  <si>
    <t xml:space="preserve">JEFE CUMPLIMIENTO</t>
  </si>
  <si>
    <t xml:space="preserve">PREVENCION Y LAVADO DE ACTIVOS</t>
  </si>
  <si>
    <t xml:space="preserve">CUMPLIMIENTO</t>
  </si>
  <si>
    <t xml:space="preserve">También Jefe de Prevención y Lavado de activos. Responsable de velar por la aplicación de los procedimientos específicos para la prevención y control del lavado de activos, establecidos al interior de la entidad y de la observancia del Código de Conducta, por parte de todos y cada uno de los empleados en el desarrollo de sus funciones. Profesional preferiblemente en áreas administrativas. Más de 10 años de experiencia en control y supervisión. Total disposición al cambio. De proceder recto e íntegro. Enérgico, activo, diligente, dinámico y creativo. De actuar precavido y reservado. Debe conocer de manera amplia la actividad y productos de la entidad. Sobresaliente en la práctica de los siguientes roles: líder, enlace, observador, vocero, innovador y negociador.</t>
  </si>
  <si>
    <t xml:space="preserve">Gerente de Auditoría Interna</t>
  </si>
  <si>
    <t xml:space="preserve">FICC50</t>
  </si>
  <si>
    <t xml:space="preserve">JEFE CREDITO Y COBRANZAS</t>
  </si>
  <si>
    <t xml:space="preserve">Asignar cupos de crédito a clientes, mantener al día el control del estado de los mismos; además de responder por la situación de la cartera de la empresa y la planificación de cobros a terceros.</t>
  </si>
  <si>
    <t xml:space="preserve">Gerente financiero o tesorero</t>
  </si>
  <si>
    <t xml:space="preserve">EDFI50</t>
  </si>
  <si>
    <t xml:space="preserve">JEFE CREDITOS EDUCATIVOS Y CARTERA</t>
  </si>
  <si>
    <t xml:space="preserve">Responsable de otorgar créditos a los estudiantes y obtener de forma oportuna el recaudo de los dineros financiados.</t>
  </si>
  <si>
    <t xml:space="preserve">Director financiero</t>
  </si>
  <si>
    <t xml:space="preserve">FNCR51</t>
  </si>
  <si>
    <t xml:space="preserve">JEFE CREDITO PERSONAS</t>
  </si>
  <si>
    <t xml:space="preserve">Responsable de aplicar procesos y estudios de crédito de personas, al analizar, autorizar o rechazar solicitudes de crédito de acuerdo al historial financiero de los clientes personales. Experiencia de 5 a 8 años.</t>
  </si>
  <si>
    <t xml:space="preserve">Gerente Crédito personas</t>
  </si>
  <si>
    <t xml:space="preserve">FNCR50</t>
  </si>
  <si>
    <t xml:space="preserve">JEFE CREDITO CORPORATIVO</t>
  </si>
  <si>
    <t xml:space="preserve">Responsable de aplicar procesos y estudios de crédito corporativo, al analizar, autorizar o rechazar solicitudes de crédito de acuerdo al historial financiero de los clientes corporativos. Experiencia de 5 a 8 años.</t>
  </si>
  <si>
    <t xml:space="preserve">Gerente de crédito corporativo</t>
  </si>
  <si>
    <t xml:space="preserve">FICO50</t>
  </si>
  <si>
    <t xml:space="preserve">JEFE COSTOS</t>
  </si>
  <si>
    <t xml:space="preserve">Administrar las áreas de costos, inventarios y activos fijos. Recopilar la información necesaria para establecer los costos, determina y analiza sus variaciones y colabora con otros departamentos en los programas de reducción de costos. Participar en el comité de compras.</t>
  </si>
  <si>
    <t xml:space="preserve">EDPB50</t>
  </si>
  <si>
    <t xml:space="preserve">DIRECTOR DE OFICINA DE PUBLICACIONES</t>
  </si>
  <si>
    <t xml:space="preserve">PUBLICACIONES</t>
  </si>
  <si>
    <t xml:space="preserve">CORRESPONDENCIA Y ARCHIVO</t>
  </si>
  <si>
    <t xml:space="preserve">Administrar los recursos del área de publicaciones, para garantizar la producción de libros e impresos de óptima calidad.</t>
  </si>
  <si>
    <t xml:space="preserve">SGCV50</t>
  </si>
  <si>
    <t xml:space="preserve">JEFE CONVENIOS</t>
  </si>
  <si>
    <t xml:space="preserve">Dirigir convenios de gastos por accidentes y automóviles con aseguradoras nacionales, y de gastos médicos mayores con aseguradoras extranjeras. Se hacen los trámites ante la compañía aseguradora para obtener la autorización de la realización del procedimiento; conocer las condiciones en que la compañía expide la autorización, previendo los montos de deducible y coaseguro, si procedieran; los montos tabulados a la entidad tratante y a su equipo; así como el monto autorizado para gastos, etc., Trámites de autorización de pago directo. Trámites de siniestros.</t>
  </si>
  <si>
    <t xml:space="preserve">Gerente Convenios</t>
  </si>
  <si>
    <t xml:space="preserve">SGCP50</t>
  </si>
  <si>
    <t xml:space="preserve">JEFE CONTROL PERDIDAS </t>
  </si>
  <si>
    <t xml:space="preserve">Gerente Control de pérdidas</t>
  </si>
  <si>
    <t xml:space="preserve">FICT50</t>
  </si>
  <si>
    <t xml:space="preserve">JEFE CONTABILIDAD</t>
  </si>
  <si>
    <t xml:space="preserve">Supervisar todas las operaciones contables de la empresa tales como contabilidad general, contabilidad de costos, nómina, contabilización de activos fijos y elaboración de informes, estados financieros, balances y otros especiales.  </t>
  </si>
  <si>
    <t xml:space="preserve">EDCM50</t>
  </si>
  <si>
    <t xml:space="preserve">DIRECTOR OFICINA COMUNICACIONES</t>
  </si>
  <si>
    <t xml:space="preserve">COMUNICACION</t>
  </si>
  <si>
    <t xml:space="preserve">COMUNICACIONES</t>
  </si>
  <si>
    <t xml:space="preserve">Proyectar la Universidad hacia la comunidad, con el fin de lograr una identidad entre la realidad (que corresponde a un alto nivel académico, seriedad, tradición, independencia) y la idea que se tiene de la institución.</t>
  </si>
  <si>
    <t xml:space="preserve">CPPC51</t>
  </si>
  <si>
    <t xml:space="preserve">GERENTE RELACIONES PUBLICAS - COMUNIC.</t>
  </si>
  <si>
    <t xml:space="preserve">ASUNTOS PUBLICOS CORPORATIVOS</t>
  </si>
  <si>
    <t xml:space="preserve">Planear, dirigir y desarrollar todos los asuntos relacionados con la divulgación de las actividades de la empresa y las relaciones externas de la empresa incluyendo el gobierno y los accionistas.</t>
  </si>
  <si>
    <t xml:space="preserve">COVS53</t>
  </si>
  <si>
    <t xml:space="preserve">JEFE RELACIONES PÚBLICAS - COMUNICACIONES</t>
  </si>
  <si>
    <t xml:space="preserve">Coordinar, supervisar y desarrollar asuntos relacionados con la divulgación de las actividades de la empresa y las relaciones externas de la empresa incluyendo el gobierno y los accionistas.</t>
  </si>
  <si>
    <t xml:space="preserve">Gerente de Relaciones Publicas</t>
  </si>
  <si>
    <t xml:space="preserve">GHCI50</t>
  </si>
  <si>
    <t xml:space="preserve">JEFE COMUNICACIÓN INTERNA</t>
  </si>
  <si>
    <t xml:space="preserve">Responsable de realizar la comunicación corporativa interna, apoyar al área de RH con relación a los procesos de personal y sus funciones sociales, supervisando el material ilustrativo mediante los medios de comunicación como carteleras, revistas, periódicos y paginas webs. Comunicador Social.</t>
  </si>
  <si>
    <t xml:space="preserve">Gerente de comunicación interna</t>
  </si>
  <si>
    <t xml:space="preserve">LSCP50</t>
  </si>
  <si>
    <t xml:space="preserve">JEFE COMPRAS</t>
  </si>
  <si>
    <t xml:space="preserve">Planear y coordinar todas las actividades de compras locales, teniendo en cuenta la calidad, los proveedores, fechas de entrega y demás especificaciones de los elementos necesarios que requiere la empresa.                                          </t>
  </si>
  <si>
    <t xml:space="preserve">Jefe - Director servicios generales</t>
  </si>
  <si>
    <t xml:space="preserve">GHCB50</t>
  </si>
  <si>
    <t xml:space="preserve">DIRECTOR ADMINISTRACION SALARIOS</t>
  </si>
  <si>
    <t xml:space="preserve">Mediante la aplicación de estudios técnicos de valoración de cargos y del comportamiento salarial del mercado, busca lograr y administrar estructuras y políticas de remuneración equitativas y competitivas.</t>
  </si>
  <si>
    <t xml:space="preserve">Gte de recursos humanos / Gte administrativo</t>
  </si>
  <si>
    <t xml:space="preserve">LSCE50</t>
  </si>
  <si>
    <t xml:space="preserve">DIRECTOR O JEFE COMERCIO EXTERIOR</t>
  </si>
  <si>
    <t xml:space="preserve">Coordinar y dirigir operaciones de comercio exterior para el aseguramiento de documentos ante el ente encargado, como también definir las estrategias de negocio internacional.</t>
  </si>
  <si>
    <t xml:space="preserve">Gerente negocios internacionales</t>
  </si>
  <si>
    <t xml:space="preserve">LSCE51</t>
  </si>
  <si>
    <t xml:space="preserve">JEFE ADUANA</t>
  </si>
  <si>
    <t xml:space="preserve">Coordinar y controlar todos los tramites de aduana por importaciones, nacionalización de lo importado, aranceles de aduanas y aplicar las normas de regulacion y trámite de importaciones y exportaciones.</t>
  </si>
  <si>
    <t xml:space="preserve">Gerente operaciones internacionales</t>
  </si>
  <si>
    <t xml:space="preserve">LSCE54</t>
  </si>
  <si>
    <t xml:space="preserve">JEFE EXPORTACIONES</t>
  </si>
  <si>
    <t xml:space="preserve">Realizar la gestión logística pertinente para la comercialización de los productos a nivel internacional, velando por la calidad del servicio y la satisfacción del cliente final.</t>
  </si>
  <si>
    <t xml:space="preserve">Gerente de compras</t>
  </si>
  <si>
    <t xml:space="preserve">LSCE55</t>
  </si>
  <si>
    <t xml:space="preserve">JEFE IMPORTACIONES</t>
  </si>
  <si>
    <t xml:space="preserve">Dirigir y controlar todas las importaciones desde el estudio de catálogos y las existencias disponibles hasta la nacionalización de lo importado.  Conocer los procedimientos necesarios para el trámite de las importaciones.</t>
  </si>
  <si>
    <t xml:space="preserve">LSCE52</t>
  </si>
  <si>
    <t xml:space="preserve">JEFE IMPORTACIONES Y EXPORTACIONES</t>
  </si>
  <si>
    <t xml:space="preserve">Dirigir, coordinar y controlar todas las importaciones desde el estudio de los catálogos y las existencias disponibles hasta la nacionalización de lo importado, además estar familiarizado con  los aranceles de aduanas y conocer los procedimientos para el trámite de importaciones y exportaciones.</t>
  </si>
  <si>
    <t xml:space="preserve">Gerente Comercio Exterior</t>
  </si>
  <si>
    <t xml:space="preserve">LSCE53</t>
  </si>
  <si>
    <t xml:space="preserve">JEFE OPERACIONES INTERNACIONALES</t>
  </si>
  <si>
    <t xml:space="preserve">Coordinar, supervisar y controlar todas las operaciones en moneda extranjera, según la legislación existente buscando un adecuado crecimiento y calidad en la prestación de los servicios del área. Administrar el proceso de apertura de negocios en moneda extranjera desde el punto de vista operativo.  </t>
  </si>
  <si>
    <t xml:space="preserve">FICF50</t>
  </si>
  <si>
    <t xml:space="preserve">JEFE CARTERA</t>
  </si>
  <si>
    <t xml:space="preserve">CARTERA Y FACTURACION</t>
  </si>
  <si>
    <t xml:space="preserve">Establecer, formular y efectuar un seguimiento de las políticas crediticias de la entidad, velando por una cartera sana. Adoptar medidas que garanticen el oportuno recaudo de obligaciones y los menores índices de cartera vencida.</t>
  </si>
  <si>
    <t xml:space="preserve">Gerente / Vicepresidente crédito / Presidente</t>
  </si>
  <si>
    <t xml:space="preserve">COCV50</t>
  </si>
  <si>
    <t xml:space="preserve">JEFE CAPACITACIÓN VENTAS</t>
  </si>
  <si>
    <t xml:space="preserve">Responsable de coordinar las actividades de Entrenamiento y Desarrollo para el Área de Ventas, incluyendo programas de desarrollo gerencial, sistemas de evaluación de potencial y desempeño, programas de entrenamiento administrativo y comercial.</t>
  </si>
  <si>
    <t xml:space="preserve">Gerente capacitación ventas SR</t>
  </si>
  <si>
    <t xml:space="preserve">HEPR50</t>
  </si>
  <si>
    <t xml:space="preserve">SUPERINTENDENTE CAMPO</t>
  </si>
  <si>
    <t xml:space="preserve">CAMPO</t>
  </si>
  <si>
    <t xml:space="preserve">Es responsable, de la operación en el campo, como perforación, construcción, producción, mantenimiento, medio ambiente, etc.</t>
  </si>
  <si>
    <t xml:space="preserve">Gerente Producción / Petroleos</t>
  </si>
  <si>
    <t xml:space="preserve">De 7 a 9 años</t>
  </si>
  <si>
    <t xml:space="preserve">HEPR51</t>
  </si>
  <si>
    <t xml:space="preserve">SUPERINTENDENTE PRODUCCIÓN</t>
  </si>
  <si>
    <t xml:space="preserve">Es responsable, de la administración, supervisión y control de todas las operaciones de campo. Coordinar los diferentes equipos de trabajo, para mantener  volúmenes de producción dentro de los parámetros de la compañía y políticas gubernamentales.</t>
  </si>
  <si>
    <t xml:space="preserve">LSMT51</t>
  </si>
  <si>
    <t xml:space="preserve">GERENTE ALMACÉN</t>
  </si>
  <si>
    <t xml:space="preserve">BODEGAS / ALMACEN</t>
  </si>
  <si>
    <t xml:space="preserve">Responsable de administrar las funciones del almacén general (materia prima, productos terminados, herramientas y materiales de empaque). Diseña y controla los procedimientos e inventarios del almacén. Maneja a los empleados encargados de actividades de almacenaje.</t>
  </si>
  <si>
    <t xml:space="preserve">EDED50</t>
  </si>
  <si>
    <t xml:space="preserve">DIRECTOR BIENESTAR UNIVERSITARIO</t>
  </si>
  <si>
    <t xml:space="preserve">BIENESTAR</t>
  </si>
  <si>
    <t xml:space="preserve">Realiza programas de fomento educacional, cultural y deportivo. Requiere tener una carrera afín con la labor a desarrollar y 2 años de experiencia.</t>
  </si>
  <si>
    <t xml:space="preserve">EDBS50</t>
  </si>
  <si>
    <t xml:space="preserve">DIRECTOR DEPTO BIENESTAR UNIVERSITARIO</t>
  </si>
  <si>
    <t xml:space="preserve">Planear, coordinar y desarrollar programas culturales y deportivos para la comunidad universitaria, a través de espacios que contribuyan al mejoramiento de la calidad de vida.</t>
  </si>
  <si>
    <t xml:space="preserve">GHBS50</t>
  </si>
  <si>
    <t xml:space="preserve">JEFE BIENESTAR SOCIAL Y SALUD OCUPACIONAL</t>
  </si>
  <si>
    <t xml:space="preserve">Promover el bienestar de los empleados y sus familias, desarrollar actividades de tipo cultural, recreativo y formativo. Planificar el programa de medicina, higiene y seguridad industrial; mapa de riesgos y comités de salud ocupacional.</t>
  </si>
  <si>
    <t xml:space="preserve">SGBS50</t>
  </si>
  <si>
    <t xml:space="preserve">JEFE BANCASEGUROS</t>
  </si>
  <si>
    <t xml:space="preserve">Cumplir con los presupuestos de Ventas y Gastos, y constituirse en el motor comercial del negocio a nivel de los Ejecutivos de Ventas de aquellas Sucursales de los Sponsor , cuya gestión comercial se encuentre bajo su responsabilidad. Supervisar, capacitar, motivar y controlar los equipos de ventas de cada sucursal de los Sponsor, llevándolos a un desempeño de excelencia tanto en resultados como en gestión. Coordinar y asegurar el funcionamiento operativo de las sucursales de la zona asignada en todas las materias referidas a la gestión de los servicios requeridos por los clientes, representando la visión comercial de la compañía.</t>
  </si>
  <si>
    <t xml:space="preserve">Gerente Bancaseguros</t>
  </si>
  <si>
    <t xml:space="preserve">SGAT51</t>
  </si>
  <si>
    <t xml:space="preserve">JEFE AUTO</t>
  </si>
  <si>
    <t xml:space="preserve">AUTOS</t>
  </si>
  <si>
    <t xml:space="preserve">Coordina y controla el proceso de reclamos y suscripción de Automóvil en relación a la Pérdidas Totales, Colectivos, Cuentas especiales, entre otros aspectos, en congruencia con las políticas establecidas y los condicionados de las pólizas, a fin de controla la siniestralidad y ofrecer una respuesta oportuna a los asegurados.</t>
  </si>
  <si>
    <t xml:space="preserve">Gerente Seguros - Autoseguros</t>
  </si>
  <si>
    <t xml:space="preserve">AUDE50</t>
  </si>
  <si>
    <t xml:space="preserve">JEFE ./COORDINADOR/ESP. DESARROLLO REDES</t>
  </si>
  <si>
    <t xml:space="preserve">Coordina el proceso de planificación y análisis financiero de la red de concesionarios, con el objetivo de reducir costos, aumentar el margen de ganancias y velar por la calidad en el servicio de atención al cliente prestado. Coordina estudios de viabilidad.</t>
  </si>
  <si>
    <t xml:space="preserve">Gerente desarrollo redes</t>
  </si>
  <si>
    <t xml:space="preserve">AAAU50</t>
  </si>
  <si>
    <t xml:space="preserve">JEFE AUDITORIA INTERNA</t>
  </si>
  <si>
    <t xml:space="preserve">Coordinación técnicamente  los programas de trabajo, supervisar documentación especializada y preparar informes de los trabajos realizando recomendaciones para corregir posibles deficiencias. </t>
  </si>
  <si>
    <t xml:space="preserve">Director auditoría interna / Contralor</t>
  </si>
  <si>
    <t xml:space="preserve">CPPC52</t>
  </si>
  <si>
    <t xml:space="preserve">JEFE COORDINADOR/ESPEC. ASUNTOS CORPORATIVOS</t>
  </si>
  <si>
    <t xml:space="preserve">Responsable de promover la imagen institucional de la compañía, sus productos y sus funciones sociales, supervisando el material ilustrativo del negocio, promover visitas de autoridades, familiares y el público en general a las instalaciones de la compañía.</t>
  </si>
  <si>
    <t xml:space="preserve">CPPC50</t>
  </si>
  <si>
    <t xml:space="preserve">JEFE RELACIONES PÚBLICAS</t>
  </si>
  <si>
    <t xml:space="preserve">Promueve la imagen institucional de la compañía, sus productos y sus funciones sociales, visitas de autoridades, medios de comunicación, familiares y el público en general a las instalaciones de la compañía. El cargo es desempeñado por un profesional con una experiencia de 5 años en cargos afines. Reporta a: Gerente de Relaciones Públicas.</t>
  </si>
  <si>
    <t xml:space="preserve">Gerente de Relaciones Públicas.</t>
  </si>
  <si>
    <t xml:space="preserve">GHRL50</t>
  </si>
  <si>
    <t xml:space="preserve">JEFE  RELACIONES LABORALES/SINDICALES</t>
  </si>
  <si>
    <t xml:space="preserve">Coordina las actividades relacionadas con el cumplimiento apropiado de las leyes laborales, contratos colectivos de trabajo, acuerdos colectivos con los sindicatos y entidades grupales y de las reglas internas. Adopta soluciones con el representante del sindicato.</t>
  </si>
  <si>
    <t xml:space="preserve">
Gerente Relaciones Laborales / sindicales</t>
  </si>
  <si>
    <t xml:space="preserve">MAAA50</t>
  </si>
  <si>
    <t xml:space="preserve">JEFE /COORDINADOR/ESPEC. MEDIO AMBIENTE</t>
  </si>
  <si>
    <t xml:space="preserve">MAAA51</t>
  </si>
  <si>
    <t xml:space="preserve">JEFE AMBIENTAL</t>
  </si>
  <si>
    <t xml:space="preserve">Planear, diseñar y dirigir técnicamente la política ambiental de la compañía y de su entorno.</t>
  </si>
  <si>
    <t xml:space="preserve">MAGC50</t>
  </si>
  <si>
    <t xml:space="preserve">JEFE ./COORDINADOR ESP. ASEGURAMIENTO CALIDAD</t>
  </si>
  <si>
    <t xml:space="preserve">Responsable de las actividades del área de Aseguramiento de la Calidad, tomando la responsabilidad para aprobar todos los procedimientos y métodos de control de calidad.</t>
  </si>
  <si>
    <t xml:space="preserve">Gerente aseguramiento de calidad</t>
  </si>
  <si>
    <t xml:space="preserve">MAGC52</t>
  </si>
  <si>
    <t xml:space="preserve">JEFE ASEGURAMIENTO CALIDAD</t>
  </si>
  <si>
    <t xml:space="preserve">Controlar y realizar la auditoria de la documentación y requisitos del sistema de gestión de calidad de la organización, liderar capacitaciones en busca del mejoramiento continuo y garantizar el cumplimiento de las especificaciones del cliente, teniendo en cuenta las Normas ISO B.P.M.,  H.A.C.C.P. entre otras.</t>
  </si>
  <si>
    <t xml:space="preserve">SGAR50</t>
  </si>
  <si>
    <t xml:space="preserve">JEFE EMISIONES ARP</t>
  </si>
  <si>
    <t xml:space="preserve">Responsable por el procesamiento, emisión y expedición de los documentos a los productores y clientes de la Cia en el área de ARP. Coordina al equipo de técnicos, aclarando dudas a los productores, en cuanto las normas de aceptación, reclamos y modificaciones de propuestas. Provee el envío a los productores de formularios, normas, regulaciones generales, instrucciones, etc. efectuando su registro en el sistema. </t>
  </si>
  <si>
    <t xml:space="preserve">Gte. Proce.Emisiones ARP</t>
  </si>
  <si>
    <t xml:space="preserve">GHAP50</t>
  </si>
  <si>
    <t xml:space="preserve">DIRECTOR PERSONAL</t>
  </si>
  <si>
    <t xml:space="preserve">ADMINISTRACION DE PERSONAL</t>
  </si>
  <si>
    <t xml:space="preserve">ADMON DE PERSONAL</t>
  </si>
  <si>
    <t xml:space="preserve">Aplicar las políticas y procedimientos de administración de personal, administración de salarios, capacitación, desarrollo y bienestar. Tiene bajo su responsabilidad la elaboración de nóminas, liquidación de prestaciones sociales, registro de novedades de personal y diligenciamiento de trámites necesarios ante entidades estatales o privadas que lo requieran.</t>
  </si>
  <si>
    <t xml:space="preserve">GHAP51</t>
  </si>
  <si>
    <t xml:space="preserve">JEFE PERSONAL</t>
  </si>
  <si>
    <t xml:space="preserve">EDAD50</t>
  </si>
  <si>
    <t xml:space="preserve">DIRECTOR RESTAURANTE</t>
  </si>
  <si>
    <t xml:space="preserve">Planear, dirigir, controlar y supervisar el servicio que presta el restaurante de la universidad, garantizando el adecuado suministro de alimentos y bebidas.</t>
  </si>
  <si>
    <t xml:space="preserve">Vicerrector Administrativo</t>
  </si>
  <si>
    <t xml:space="preserve">COAV50</t>
  </si>
  <si>
    <t xml:space="preserve">JEFE ADMINISTRACION VENTAS</t>
  </si>
  <si>
    <t xml:space="preserve">Preparar los presupuestos de ventas y los informes periódicos que deban presentarse. Mantener el control administrativo de la fuerza de ventas, el registro de las actuaciones de cada vendedor y en muchas ocasiones recibir los pedidos y supervisar que éstos sean despachados oportunamente.</t>
  </si>
  <si>
    <t xml:space="preserve">Gerente de mercadeo / Gerente de ventas</t>
  </si>
  <si>
    <t xml:space="preserve">SGAT50</t>
  </si>
  <si>
    <t xml:space="preserve">JEFE ESTUDIOS ACTUARIALES/ TÉCNICOS</t>
  </si>
  <si>
    <t xml:space="preserve">Supervisa la emisión de información estadística necesaria, acerca del comportamiento de la cartera, tarifas, etc., para cada Unidad de Negocio, de la ejecución de modelos matemáticos actuariales para el cálculo y actualización de los productos de las mencionadas unidades y participa en el diseño de nuevos productos estableciendo, a través de los modelos actuariales, la suficiencia de las primas para que la póliza sea considerada rentable.</t>
  </si>
  <si>
    <t xml:space="preserve">Grente técnico actuarial</t>
  </si>
  <si>
    <t xml:space="preserve">HTAL50</t>
  </si>
  <si>
    <t xml:space="preserve">GERENTE ALIMENTOS Y BEBIDAS</t>
  </si>
  <si>
    <t xml:space="preserve">ALIMENTOS</t>
  </si>
  <si>
    <t xml:space="preserve">Planificar, organizar, coordinar y controlar todas las actividades de su departamento, en lo relacionado con los insumos y elementos requeridos, logrando la máxima rentabilidad del departamento y velar por la calidad y contenido nutricional de los alimentos.</t>
  </si>
  <si>
    <t xml:space="preserve">SGCS51</t>
  </si>
  <si>
    <t xml:space="preserve">JEFE COASEGUROS</t>
  </si>
  <si>
    <t xml:space="preserve">Realiza el control de todas las actividades de coaseguro, mantiene relaciones con otras compañías de seguros controlando la participación que tenga cada compañía en el riesgo asumido. </t>
  </si>
  <si>
    <t xml:space="preserve">SGCS50</t>
  </si>
  <si>
    <t xml:space="preserve">Orientar, coordinar y controlar los procesos de Coaseguros con las demás compañías aseguradoras; con el fin de asegurar la correcta distribución y respaldo de los riesgos asumidos por la compañía por siniestros con terceros.</t>
  </si>
  <si>
    <t xml:space="preserve">Gerente Coaseguros</t>
  </si>
  <si>
    <t xml:space="preserve">HECT50</t>
  </si>
  <si>
    <t xml:space="preserve">JEFE CONSTRUCCIONES Y OBRAS CIVILES</t>
  </si>
  <si>
    <t xml:space="preserve">CONSTRUCCIONES</t>
  </si>
  <si>
    <t xml:space="preserve">Planear, diseñar, dirigir y administrar la construcción de obras civiles, de proyectos exploratorios y de desarrollo en campo; realizar el mantenimiento de la red vial e infraestructura de transporte de la operación para cumplir con los planes de la compañía en la búsqueda de optimización  de su infraestructura física.</t>
  </si>
  <si>
    <t xml:space="preserve">ATAT51</t>
  </si>
  <si>
    <t xml:space="preserve">JEFE DEPARTAMENTO GESTION RED</t>
  </si>
  <si>
    <t xml:space="preserve">Dirige y coordina todos los procesos de operación y mantenimiento de suiches, plataformas, redes troncales de transmisión, centro de gestión, y demás elementos que soportan la operación de la red de telecomunicaciones.   </t>
  </si>
  <si>
    <t xml:space="preserve">Gerente Telecomunicaciones</t>
  </si>
  <si>
    <t xml:space="preserve">SGID50</t>
  </si>
  <si>
    <t xml:space="preserve">JEFE INDEMNIZACION</t>
  </si>
  <si>
    <t xml:space="preserve">Coordinar los trámites operativos relacionados con el pago de indemnizaciones por siniestros ocurridos. Verificar y controlar que la cantidad pagada sea la adecuada, de acuerdo de las cláusulas de las pólizas y políticas de la compañía.</t>
  </si>
  <si>
    <t xml:space="preserve">Gerente de indemnización</t>
  </si>
  <si>
    <t xml:space="preserve">ATAT58</t>
  </si>
  <si>
    <t xml:space="preserve">JEFE INSTALACIONES</t>
  </si>
  <si>
    <t xml:space="preserve">Dirige y coordina los procesos de instalación de equipos de la red celular y de equipos de transformación que conforman la red de telecomunicaciones.   </t>
  </si>
  <si>
    <t xml:space="preserve">HTSV50</t>
  </si>
  <si>
    <t xml:space="preserve">JEFE MANTENIMIENTO (SERVICIOS)</t>
  </si>
  <si>
    <t xml:space="preserve">SERVICIOS</t>
  </si>
  <si>
    <t xml:space="preserve">Coordinar las funciones propias del mantenimiento, como son reparaciones locativas, supervisión de contratistas, etc.</t>
  </si>
  <si>
    <t xml:space="preserve">Gerente servicios generales</t>
  </si>
  <si>
    <t xml:space="preserve">SGTC51</t>
  </si>
  <si>
    <t xml:space="preserve">JEFE RECUPERACIONES</t>
  </si>
  <si>
    <t xml:space="preserve">Coordina y controla el proceso de recuperación y salvamento de vehículos y bienes, asegurando el resguardo de los mismos y realizando las gestiones necesarias para su venta en subasta, con el propósito de asegurar la obtención de ingresos adicionales que permitan compensar el pago de los siniestros indemnizados y por lo tanto mejorar los resultados técnicos de la unidad.</t>
  </si>
  <si>
    <t xml:space="preserve">Gerente Recuperaciones</t>
  </si>
  <si>
    <t xml:space="preserve">MCCM50</t>
  </si>
  <si>
    <t xml:space="preserve">JEFE REDACCION</t>
  </si>
  <si>
    <t xml:space="preserve">Controlar toda la información que se emite en el medio para garantizar la excelencia y veracidad en la información. Dirigir, planear y determinar los temas a desarrollar por parte de cada una de las secciones del medio. Avalar viajes y presupuestos para desplazamientos especiales de periodistas.</t>
  </si>
  <si>
    <t xml:space="preserve">ATAT50</t>
  </si>
  <si>
    <t xml:space="preserve">JEFE SOFTWARE ESPECIALIZADO</t>
  </si>
  <si>
    <t xml:space="preserve">Coordinar, dirigir y controlar las actividades referentes al diseño, puesta en marcha, actualización, funcionamiento y optimización de aplicativos de uso específico.</t>
  </si>
  <si>
    <t xml:space="preserve">Gerente / Director de sistemas</t>
  </si>
  <si>
    <t xml:space="preserve">SGSC51</t>
  </si>
  <si>
    <t xml:space="preserve">JEFE UNIDAD SUSCRIPCION</t>
  </si>
  <si>
    <t xml:space="preserve">Coordinar la labor de los asistentes, se encarga de estudiar, cotizar y suscribir negocios de acuerdo con las normas políticas preestablecidas por la compañía.</t>
  </si>
  <si>
    <t xml:space="preserve">COVS61</t>
  </si>
  <si>
    <t xml:space="preserve">INGENIERO VENTAS</t>
  </si>
  <si>
    <t xml:space="preserve">COORDINADOR /SUPERVISOR SR</t>
  </si>
  <si>
    <t xml:space="preserve">Cuando los productos de la compañía son de carácter técnico, se requiere un ingeniero o profesional del área que será responsable de las ventas directas de los productos; estudiar las necesidades de los clientes, prestar la asistencia técnica requerida y en ocasiones hacer los cobros y recibir los pagos.</t>
  </si>
  <si>
    <t xml:space="preserve">COVS60</t>
  </si>
  <si>
    <t xml:space="preserve">VENDEDOR TÉCNICO/ENGIENERO</t>
  </si>
  <si>
    <t xml:space="preserve">Responsable del seguimiento y control de las actividades de desarrollo de negocios y de comercialización de productos y servicios. Analiza las estipulaciones / especificaciones de los clientes para la evaluación de la participación de la compañía.</t>
  </si>
  <si>
    <t xml:space="preserve">Jefe de Ventas</t>
  </si>
  <si>
    <t xml:space="preserve">CMTM61</t>
  </si>
  <si>
    <t xml:space="preserve">COORDINADOR PROMOCIÓN Y MERCHANDISING</t>
  </si>
  <si>
    <t xml:space="preserve">Responsable de coordinar los esfuerzos comerciales para promover la venta de productos o marcas específicas y/o para introducir productos de la compañía en segmentos del mercado previamente determinados. Para lograr esto, coordina todos los elementos de almacenes.</t>
  </si>
  <si>
    <t xml:space="preserve">Jefe de Trade Marketing</t>
  </si>
  <si>
    <t xml:space="preserve">CMVT60</t>
  </si>
  <si>
    <t xml:space="preserve">JEFE CAJEROS VENTAS</t>
  </si>
  <si>
    <t xml:space="preserve">Otros nombres: Supervisor de Caja. Se encarga de supervisar los cajeros, comprobando que se marque bien la mercancía. Controla la entrega de mercancía, cheques visados con confirmación de código, cierra las cajas y esta presente en su arqueo. Informa anomalías de los clientes a Revisoría Fiscal. Se requiere experiencia mínima de 1 año en labores similares.</t>
  </si>
  <si>
    <t xml:space="preserve">CMVT62</t>
  </si>
  <si>
    <t xml:space="preserve">JEFE SECCIÓN VENTAS</t>
  </si>
  <si>
    <t xml:space="preserve">Otros nombres: Jefe de Abarrotes, Jefe Comercial. Elabora requisiciones de mercancía para su sección. Participa en el comité de compras en el caso de que la mercancía sea nueva; Realiza “Shopping” para comparación de precios; da instrucciones tanto a su asistente como a las vendedoras de su sección. Controla inventarios; requiere tener una experiencia mínima de 1 año.</t>
  </si>
  <si>
    <t xml:space="preserve">CMVT61</t>
  </si>
  <si>
    <t xml:space="preserve">JEFE TRADE MKARKETING</t>
  </si>
  <si>
    <t xml:space="preserve">Coordina las actividades de promoción y merchandising, con recursos internos o por contratos con empresas especializadas, destinadas a la promoción y posicionamiento de las marcas y productos. Profesional con especialidad Comercial y más de 5 años de experiencia. </t>
  </si>
  <si>
    <t xml:space="preserve">Gerente de Trade Marketing</t>
  </si>
  <si>
    <t xml:space="preserve">CMTM60</t>
  </si>
  <si>
    <t xml:space="preserve">SUPERVISOR PROMOTORES Y MERCADERISTAS</t>
  </si>
  <si>
    <t xml:space="preserve">Responsable por coordinar un grupo de mercaderistas que monta las áreas de exhibición para presentar la mercancía de forma más atractiva. Coordina las operaciones para asegurar la localización adecuada y el flujo de la mercancía.</t>
  </si>
  <si>
    <t xml:space="preserve">Tecnólogo</t>
  </si>
  <si>
    <t xml:space="preserve">COSC63</t>
  </si>
  <si>
    <t xml:space="preserve">REPRESENTANTE TELE-VENTAS</t>
  </si>
  <si>
    <t xml:space="preserve">Recibe y hace llamadas telefónicas que son predominantemente de rutina, pero que requieren desviarse de las pantallas, guiones y procedimientos estándar, mediante la asistencia de un sistema computarizado. Puede responder preguntas, resolver problemas, e inquietudes de productos.</t>
  </si>
  <si>
    <t xml:space="preserve">Jefe Telemarketing activo</t>
  </si>
  <si>
    <t xml:space="preserve">COSC64</t>
  </si>
  <si>
    <t xml:space="preserve">SUPERVISOR TELEMARKETING - ACTIVO</t>
  </si>
  <si>
    <t xml:space="preserve">Coordina los procesos de telemarketing, buscando conseguir nuevos clientes, de acuerdo con la política comercial preestablecida. Orienta al equipo de operadores de telemarketing, en asuntos que requieren un mayor grado de conocimiento de los productos y servicios prestados por la empresa.</t>
  </si>
  <si>
    <t xml:space="preserve">TITC60</t>
  </si>
  <si>
    <t xml:space="preserve">INGENIERO TELECOMUNICACIONES</t>
  </si>
  <si>
    <t xml:space="preserve">Responde por el correcto funcionamiento y conexión de los equipos, para lo cual coordina y administra la instalación, mantenimiento y operación de equipos orientados a la transmisión de datos utilizando equipos de pruebas y mediciones complejas.</t>
  </si>
  <si>
    <t xml:space="preserve">Jefe telecomunicaciones</t>
  </si>
  <si>
    <t xml:space="preserve">EDSI60</t>
  </si>
  <si>
    <t xml:space="preserve">ADMINISTRADOR SALA DE COMPUTO</t>
  </si>
  <si>
    <t xml:space="preserve">TECNOLOGIA Y SISTEMAS</t>
  </si>
  <si>
    <t xml:space="preserve">Administrar las salas de computo, para  garantizar un óptimo servicio a los estudiantes, profesores y demás personal administrativo y docente, brindar soporte a otras dependencias, para el correcto funcionamiento y mantenimiento de las redes.</t>
  </si>
  <si>
    <t xml:space="preserve">Director de sistemas</t>
  </si>
  <si>
    <t xml:space="preserve">TIWE60</t>
  </si>
  <si>
    <t xml:space="preserve">DISEÑADOR GRAFICO WEB</t>
  </si>
  <si>
    <t xml:space="preserve">WEB</t>
  </si>
  <si>
    <t xml:space="preserve">Diagramar y disponer visualmente las páginas web. Permitir la navegabilidad de los sitios web a través del diseño de los diferentes componentes de las páginas y la distribución espacial dentro de las mismas. Mantener la identidad corporativa de los clientes y jerarquizar los contenidos tanto en forma visual como funcional.</t>
  </si>
  <si>
    <t xml:space="preserve">Web Máster</t>
  </si>
  <si>
    <t xml:space="preserve">TIWE61</t>
  </si>
  <si>
    <t xml:space="preserve">WEB MASTER</t>
  </si>
  <si>
    <t xml:space="preserve">Definir y diseñar las páginas web y la intranet. Desarrollar las soluciones tecnológicas adecuadas con el fin de integrar las demandas del área técnica con aquellas del área creativa y de mercadeo para lograr una adecuada organización, presentación, navegabilidad y difusión de la información de los diferentes documentos web.</t>
  </si>
  <si>
    <t xml:space="preserve">Jefe sistemas</t>
  </si>
  <si>
    <t xml:space="preserve">SGSC60</t>
  </si>
  <si>
    <t xml:space="preserve">COORDINADOR SUSCRIPCIÓN</t>
  </si>
  <si>
    <t xml:space="preserve">Coordina y controla el proceso de emisión de los ramos automóvil, salud y patrimonial, en relación a las cuentas especiales, colectivos, individuales, etc, en consonancia con las políticas establecidas y los condicionados de las pólizas, a fin de controla la siniestralidad, desde la emisión y ofrecer una respuesta oportuna a los asegurados e intermediarios.</t>
  </si>
  <si>
    <t xml:space="preserve">Jefe unidad suscripción</t>
  </si>
  <si>
    <t xml:space="preserve">TIST61</t>
  </si>
  <si>
    <t xml:space="preserve">INGENIERO SOPORTE TECNICO</t>
  </si>
  <si>
    <t xml:space="preserve">Optimizar la utilización de los recursos de cómputo a través de acciones tendientes a generar y mantener los sistemas operativos, asistir en el desarrollo y mantenimiento de subsistemas complejos tales como rutinas sofisticadas de manejo de datos, rutinas de común en la instalación, mantenimiento de software avanzado. Desarrollar estándares de software para toda la instalación, buscar mejorar la eficiencia del uso del equipo.</t>
  </si>
  <si>
    <t xml:space="preserve">Jefe Soporte técnico</t>
  </si>
  <si>
    <t xml:space="preserve">TIST60</t>
  </si>
  <si>
    <t xml:space="preserve">SUPERVISOR HELP DESK</t>
  </si>
  <si>
    <t xml:space="preserve">Supervisa el equipo de Help Desk. Desarrolla, implementa y evalúa los lineamientos de servicio tanto a clientes internos como externos, según las políticas y procedimientos de la organización. Se requiere un profesional con 5 años de experiencia. Reporta a: Gerente de Servicio al Cliente.</t>
  </si>
  <si>
    <t xml:space="preserve">Jefe de soporte técnico / Geretne Help desk</t>
  </si>
  <si>
    <t xml:space="preserve">ADSG60</t>
  </si>
  <si>
    <t xml:space="preserve">JEFE SERVICIOS GENERALES</t>
  </si>
  <si>
    <t xml:space="preserve">Gerente de relaciones industriales</t>
  </si>
  <si>
    <t xml:space="preserve">EDBB63</t>
  </si>
  <si>
    <t xml:space="preserve">BIBLIOTECOLOGO</t>
  </si>
  <si>
    <t xml:space="preserve">Desarrollar y mantener servicios de información ágil y oportuno que satisfagan las necesidades de los estudiantes, profesores, investigadores y usuarios en general.</t>
  </si>
  <si>
    <t xml:space="preserve">Jefe de procesos técnicos</t>
  </si>
  <si>
    <t xml:space="preserve">EDFC61</t>
  </si>
  <si>
    <t xml:space="preserve">COORDINADOR ACADEMICO FACULTAD</t>
  </si>
  <si>
    <t xml:space="preserve">Planear, controlar y dirigir los procesos pedagógicos, académicos y reglamentarios del pregrado de la Facultad, para dar respuesta a las demandas del mercado laboral nacional e internacional, dando cumplimiento a la misión de la Universidad y de la Facultad.</t>
  </si>
  <si>
    <t xml:space="preserve">Director académico / Decano</t>
  </si>
  <si>
    <t xml:space="preserve">EDFC62</t>
  </si>
  <si>
    <t xml:space="preserve">COORDINADOR AREA</t>
  </si>
  <si>
    <t xml:space="preserve">Desarrollar y organizar las actividades educativas de un área para garantizar el logro de los objetivos planteados.   </t>
  </si>
  <si>
    <t xml:space="preserve">EDIV60</t>
  </si>
  <si>
    <t xml:space="preserve">COORDINADOR INVESTIGACION</t>
  </si>
  <si>
    <t xml:space="preserve">Planear, coordinar, controlar y promover la actividad investigativa de la facultad para garantizar la formación de estudiantes y profesionales con un alto nivel académico. 
Proyectar y elaborar trabajos para representar a la facultad de eventos investigativos.</t>
  </si>
  <si>
    <t xml:space="preserve">EDPG60</t>
  </si>
  <si>
    <t xml:space="preserve">COORDINADOR POSTGRADO</t>
  </si>
  <si>
    <t xml:space="preserve">Organizar, planear, dirigir y programar la especialización,  controlando los procesos académicos y administrativos. Adicionalmente, promocionarlo para ofrecer un programa de post-grado que atienda los requerimientos del mercado con el fin de permitir a la Universidad cumplir con su función de educación.</t>
  </si>
  <si>
    <t xml:space="preserve">Director de postgrado</t>
  </si>
  <si>
    <t xml:space="preserve">EDDC60</t>
  </si>
  <si>
    <t xml:space="preserve">DECANO TIPO B</t>
  </si>
  <si>
    <t xml:space="preserve">Realizar los planes y políticas de tipo académico para garantizar un excelente nivel de educación superior. (Responde por las facultades de impacto medio en la universidad). Velar por la inclusión de los contenidos más completos y actualizados.</t>
  </si>
  <si>
    <t xml:space="preserve">EDIV61</t>
  </si>
  <si>
    <t xml:space="preserve">INVESTIGADOR</t>
  </si>
  <si>
    <t xml:space="preserve">Promover la actividad investigativa en pregrado y post-grado para garantizar la formación de estudiantes y profesionales con un alto nivel de educación. </t>
  </si>
  <si>
    <t xml:space="preserve">Coordinador investigación</t>
  </si>
  <si>
    <t xml:space="preserve">EDBB60</t>
  </si>
  <si>
    <t xml:space="preserve">JEFE ADQUISIONES BIBLIOTECA</t>
  </si>
  <si>
    <t xml:space="preserve">Seleccionar, adquirir e ingresar en el sistema materiales de información que satisfagan las necesidades de los usuarios.</t>
  </si>
  <si>
    <t xml:space="preserve">Jefe procesos técnicos</t>
  </si>
  <si>
    <t xml:space="preserve">EDBB61</t>
  </si>
  <si>
    <t xml:space="preserve">JEFE PROCESOS TECNICOS BIBLIOTECA</t>
  </si>
  <si>
    <t xml:space="preserve">Realizar el proceso de análisis de la información bibliográfica para garantizar un fácil acceso a ésta.</t>
  </si>
  <si>
    <t xml:space="preserve">Director biblioteca</t>
  </si>
  <si>
    <t xml:space="preserve">EDBB62</t>
  </si>
  <si>
    <t xml:space="preserve">JEFE SERVICIOS AL PUBLICO BIBLIOTECA</t>
  </si>
  <si>
    <t xml:space="preserve">Administrar en concordancia con los lineamientos de la Dirección, los recursos bibliográficos y humanos para la presentación eficaz de servicios y para la óptima utilización de los recursos existentes. Proporcionar el apoyo informativo a cada uno de los programas de la Universidad y atender solicitudes de su área de influencia.</t>
  </si>
  <si>
    <t xml:space="preserve">EDPF60</t>
  </si>
  <si>
    <t xml:space="preserve">PROFESOR ASISTENTE TIPO A</t>
  </si>
  <si>
    <t xml:space="preserve">PROFESORES</t>
  </si>
  <si>
    <t xml:space="preserve">Desarrollar y actualizar los contenidos programáticos de las asignaturas a su cargo, atender y evaluar a sus estudiantes, preparar el material necesario para el desarrollo de los encuentros de clase, desarrollar y dirigir trabajos de investigación.</t>
  </si>
  <si>
    <t xml:space="preserve">Director de programa</t>
  </si>
  <si>
    <t xml:space="preserve">De 3 a 5 años</t>
  </si>
  <si>
    <t xml:space="preserve">EDPF61</t>
  </si>
  <si>
    <t xml:space="preserve">PROFESOR ASOCIADO TIPO A</t>
  </si>
  <si>
    <t xml:space="preserve">EDPF62</t>
  </si>
  <si>
    <t xml:space="preserve">PROFESOR CATEDRA PREGRADO TIPO A</t>
  </si>
  <si>
    <t xml:space="preserve">Desarrollar y actualizar los contenidos programáticos de las asignaturas a su cargo, atender y evaluar a sus estudiantes, preparar el material necesario para el desarrollo de los encuentros de clase.</t>
  </si>
  <si>
    <t xml:space="preserve">EDPF63</t>
  </si>
  <si>
    <t xml:space="preserve">PROFESOR CATEDRA PREGRADO TIPO B</t>
  </si>
  <si>
    <t xml:space="preserve">EDPF64</t>
  </si>
  <si>
    <t xml:space="preserve">PROFESOR INSTRUCTOR TIPO A</t>
  </si>
  <si>
    <t xml:space="preserve">EDPF65</t>
  </si>
  <si>
    <t xml:space="preserve">PROFESOR TITULAR TIPO A</t>
  </si>
  <si>
    <t xml:space="preserve">EDFC60</t>
  </si>
  <si>
    <t xml:space="preserve">SECRETARIO ACADÉMICO</t>
  </si>
  <si>
    <t xml:space="preserve">Vela por el cumplimiento del reglamento académico, controla y ejecuta el pensum académico de la respectiva carrera; asesora y apoya a la comunidad estudiantil.</t>
  </si>
  <si>
    <t xml:space="preserve">EDDC61</t>
  </si>
  <si>
    <t xml:space="preserve">VICEDECANO</t>
  </si>
  <si>
    <t xml:space="preserve">Realizar las labores de seguimiento y control administrativo y académico, de los programas asignados a su facultad, de la misma forma, suplir y asistir a la decanatura en el cumplimiento de labores académicas y administrativas.</t>
  </si>
  <si>
    <t xml:space="preserve">COSC62</t>
  </si>
  <si>
    <t xml:space="preserve">COORDINADOR ATENCIÓN AL CONSUMIDOR</t>
  </si>
  <si>
    <t xml:space="preserve">Responsable de coordinar el desempeño total del área de operadores, administrando las cargas de trabajo, desarrollando e implementando los indicadores de atención al cliente, con el fin de garantizar un servicio óptimo al mismo.</t>
  </si>
  <si>
    <t xml:space="preserve">Jede de servicio al cliente</t>
  </si>
  <si>
    <t xml:space="preserve">GHSE60</t>
  </si>
  <si>
    <t xml:space="preserve">COORDINADOR/ESPEC./JEFERECLUTAMIENTO Y SELECCIÓN</t>
  </si>
  <si>
    <t xml:space="preserve">Responsable de coordinar las actividades del área de reclutamiento y selección, con el objetivo de atraer a profesionales competentes y preparados, identificando, interna y externamente, los recursos humanos adecuados para ocupar las posiciones solicitadas.</t>
  </si>
  <si>
    <t xml:space="preserve"> Gerente Reclutamiento y Selección</t>
  </si>
  <si>
    <t xml:space="preserve">GHSE61</t>
  </si>
  <si>
    <t xml:space="preserve">PSICOLOGO</t>
  </si>
  <si>
    <t xml:space="preserve">Realizar las labores de reclutamiento, pre entrevista, aplicación de pruebas psicotécnicas, entrevistas en profundidad e informes de selección. Dar apoyo en labores de capacitación, evaluación del desempeño e inducción que le sean asignadas.</t>
  </si>
  <si>
    <t xml:space="preserve">Jefe de selección / Gerente de recursos humanos</t>
  </si>
  <si>
    <t xml:space="preserve">MASI60</t>
  </si>
  <si>
    <t xml:space="preserve">INGENIERO SEGURIDAD LABORAL</t>
  </si>
  <si>
    <t xml:space="preserve">Responsable por la ejecución de las políticas de seguridad e higiene industrial. Promueve auditorias con el objetivo de garantizar el cumplimiento de estándares organizacionales y gubernamentales para asegurar la higiene y seguridad en el trabajo. Orienta loscomites paritarios.</t>
  </si>
  <si>
    <t xml:space="preserve">Jefe de Seguridad industrial</t>
  </si>
  <si>
    <t xml:space="preserve">ADSF62</t>
  </si>
  <si>
    <t xml:space="preserve">COORDINADOR/ESPEC. SEGURIDAD Y PREVENCIÓN PERDIDAS</t>
  </si>
  <si>
    <t xml:space="preserve">Coordina actividades y emergencias intrínsecas de prevención y Control de pérdidas, a fin de garantizar la seguridad del personal y de los activos de la empresa. Asiste al gerente de seguridad en todas las actividades relacionadas con la protección física de los ejecutivos.</t>
  </si>
  <si>
    <t xml:space="preserve">Gerente de Seguridad física</t>
  </si>
  <si>
    <t xml:space="preserve">ADSF60</t>
  </si>
  <si>
    <t xml:space="preserve">JEFE SEGURIDAD FISICA</t>
  </si>
  <si>
    <t xml:space="preserve">Responder por los procedimientos y sistemas de seguridad y vigilancia para la prevención de robos, falsificación y actos delictivos en general. Controlar los contratos de seguridad y vigilancia suscritos con la policía nacional y entidades especializadas. Realizar la compra de armamento, así como el amparo y revalidación de los salvoconductos. Coordinar la consecución de escoltas.</t>
  </si>
  <si>
    <t xml:space="preserve">Gerente administrativo / Gte recursos humanos</t>
  </si>
  <si>
    <t xml:space="preserve">ADSF61</t>
  </si>
  <si>
    <t xml:space="preserve">SUPERVISOR SEGURIDAD Y VIGILANCIA</t>
  </si>
  <si>
    <t xml:space="preserve">Supervisa, coordina y programa las actividades del personal de vigilancia. Recomienda sistemas de seguridad y dispositivos electrónicos de detección. Efectúa rondas periódicas a los sitios vigilados por el personal a su cargo; verifica el cumplimiento de normas de seguridad y vigilancia; instruye al personal acerca de las funciones y políticas de la empresa. Se requiere Suboficial de la Fuerzas Militares o formación práctica, con experiencia mínima de 3 años en actividades relacionadas. Reporta a: Gerente de Seguridad</t>
  </si>
  <si>
    <t xml:space="preserve">Jefe seguridad física</t>
  </si>
  <si>
    <t xml:space="preserve">TXDS60</t>
  </si>
  <si>
    <t xml:space="preserve">DISEÑADORA MODAS </t>
  </si>
  <si>
    <t xml:space="preserve">Crear los modelos que se requieren para la elaboración de nuevas colecciones de acuerdo al requerimiento de ventas, tendencias del mercado y telas en inventario para satisfacción  de los clientes; debe tener conocimientos específicos en etiqueta, protocolo e imagen personal.</t>
  </si>
  <si>
    <t xml:space="preserve">Jefe diseño</t>
  </si>
  <si>
    <t xml:space="preserve">AGAG60</t>
  </si>
  <si>
    <t xml:space="preserve">AGRONOMO</t>
  </si>
  <si>
    <t xml:space="preserve">Realizar y coordinar procesos productivos de agronomía, programar, organizar, coordinar, supervisar, registrar y controlar el proceso asignado, para garantizar la calidad y cantidad oportuna de la producción de los productos agrícola, de acuerdo a las especificaciones y necesidades de los clientes. Agrónomo con experiencia de 5 a 8 años</t>
  </si>
  <si>
    <t xml:space="preserve">Gerente de Cultivo</t>
  </si>
  <si>
    <t xml:space="preserve">AGAG61</t>
  </si>
  <si>
    <t xml:space="preserve">JEFE POSTCOSECHA</t>
  </si>
  <si>
    <t xml:space="preserve">Programar, organizar, coordinar, supervisar y controlar los procesos de postcosecha, como hidratación, empaque, charter y labores realizadas en el cultivo, para garantizar la calidad y cantidad oportuna del producto de acuerdo a lo requerido por el cliente y a las normas internas de la compañía.</t>
  </si>
  <si>
    <t xml:space="preserve">SLHP60</t>
  </si>
  <si>
    <t xml:space="preserve">ANESTESIOLOGO</t>
  </si>
  <si>
    <t xml:space="preserve">Realiza una evaluación pre quirúrgica y de pre medicación de los pacientes, observando el estado funcional y físico del paciente que se dirige a cirugía. Suministra anestesia a los pacientes de cirugía de acuerdo con el mecanismo a utilizar para esta; vigila los signos vitales y el estado de conciencia del paciente. </t>
  </si>
  <si>
    <t xml:space="preserve">SLLB60</t>
  </si>
  <si>
    <t xml:space="preserve">BACTERIOLOGO</t>
  </si>
  <si>
    <t xml:space="preserve">Realizar los análisis específicos solicitados por el médico con el fin de identificar posibles enfermedades.</t>
  </si>
  <si>
    <t xml:space="preserve">SLNT60</t>
  </si>
  <si>
    <t xml:space="preserve">DIETISTA - NUTRICIONISTA</t>
  </si>
  <si>
    <t xml:space="preserve">Realiza la valoración nutricional del paciente y da las recomendaciones pertinentes; participa en la revista medica, en forma interdisciplinaria; lleva la historia de evolución nutricional del paciente; proporciona entrenamiento nutricional a los familiares del paciente a través de talleres o en forma individual. Supervisa la distribución de alimentos, para el cumplimiento de las dietas nutricionales; requiere ser profesional en el área con experiencia de 2 años en nutrición clínica.</t>
  </si>
  <si>
    <t xml:space="preserve">De 2 a 3 años</t>
  </si>
  <si>
    <t xml:space="preserve">SLFS60</t>
  </si>
  <si>
    <t xml:space="preserve">FISIOTERAPEUTA</t>
  </si>
  <si>
    <t xml:space="preserve">FISIOTERAPIA</t>
  </si>
  <si>
    <t xml:space="preserve">Conocer y corroborar la lesión del paciente con el fin de aplicar las diferentes terapias, ejercicios y medios técnicos que contribuyan a la recuperación del paciente.</t>
  </si>
  <si>
    <t xml:space="preserve">SLEF60</t>
  </si>
  <si>
    <t xml:space="preserve">JEFE DEPARTAMENTO ENFERMERÍA</t>
  </si>
  <si>
    <t xml:space="preserve">Dirige, coordina y controla las actividades de las enfermeras, respondiendo por los recursos materiales, económicos y del personal de su dependencia. Coordina consultas extrahospitalarias; vigila el funcionamiento del servicio de vacunación. Elabora además el informe solicitado por la Secretaria de Salud, entidad a la que solicita las vacunas necesarias para cumplir con las respectivas normas. El cargo es desempeñado por un enfermero profesional con experiencia en administración de personal de tres años.</t>
  </si>
  <si>
    <t xml:space="preserve">SLFM60</t>
  </si>
  <si>
    <t xml:space="preserve">JEFE FARMACIA</t>
  </si>
  <si>
    <t xml:space="preserve">FARMACIA</t>
  </si>
  <si>
    <t xml:space="preserve">Es el responsable del manejo operativo – administrativo de la farmacia, como de la elaboración de licitaciones de drogas. Controla los inventarios mínimos, lleva los informes de costos y ventas, etc. Elabora informes de medicamentos controlados para la Secretaría de Salud. Coordina y diligencia las órdenes de adquisición de elementos para cirugías de pacientes; revisa la fecha de vencimiento de los medicamentos y desecha los ya vencidos, relacionándolos adecuadamente. Requiere de estudios profesionales o tecnológicos de 2 o 3 años en áreas relacionadas, con una experiencia de un año.</t>
  </si>
  <si>
    <t xml:space="preserve">SLHP61</t>
  </si>
  <si>
    <t xml:space="preserve">MEDICO ESPECIALISTA</t>
  </si>
  <si>
    <t xml:space="preserve">Realizar la consulta médica en su rama de especialidad, llevar la historia clínica por paciente y realizar el seguimiento requerido.</t>
  </si>
  <si>
    <t xml:space="preserve">SLHP62</t>
  </si>
  <si>
    <t xml:space="preserve">MEDICO GENERAL</t>
  </si>
  <si>
    <t xml:space="preserve">Realizar la consulta de medicina general en la forma de atención inmediata a los usuarios de la EPS y/o clínica; elaborar la historia clínica a cada uno y llevar a cabo el seguimiento posterior a aquellos que lo necesiten.</t>
  </si>
  <si>
    <t xml:space="preserve">SLNT61</t>
  </si>
  <si>
    <t xml:space="preserve">NUTRICIONISTA</t>
  </si>
  <si>
    <t xml:space="preserve">Conocer y verificar la situación del paciente con el fin de describir el plan de nutrición que más se adapte a las necesidades de fortalecimiento y recuperación del paciente.</t>
  </si>
  <si>
    <t xml:space="preserve">SLOD62</t>
  </si>
  <si>
    <t xml:space="preserve">ODONTOLOGO ESPECIALISTA</t>
  </si>
  <si>
    <t xml:space="preserve">ODONTOLOGIA</t>
  </si>
  <si>
    <t xml:space="preserve">Atender de acuerdo con su especialidad a los pacientes y llevar a cabo los diferentes tratamientos.</t>
  </si>
  <si>
    <t xml:space="preserve">Jefe odontología</t>
  </si>
  <si>
    <t xml:space="preserve">SLOD63</t>
  </si>
  <si>
    <t xml:space="preserve">ODONTOLOGO GENERAL</t>
  </si>
  <si>
    <t xml:space="preserve">Prestar el servicio odontológico a las personas que lo soliciten. Elaborar la historia clínica a cada uno y lleva a cabo el seguimiento posterior. </t>
  </si>
  <si>
    <t xml:space="preserve">Odontólogo jefe</t>
  </si>
  <si>
    <t xml:space="preserve">SLOT60</t>
  </si>
  <si>
    <t xml:space="preserve">ORTOPEDISTA</t>
  </si>
  <si>
    <t xml:space="preserve">ORTOPEDIA</t>
  </si>
  <si>
    <t xml:space="preserve">Diagnostica y trata enfermedades, trastornos físicos; ordena pruebas de rayos x e interpreta sus resultados; prescribe medicamentos y el tratamiento a realizar. Hace investigación médica; y el seguimiento de la evolución de sus pacientes.</t>
  </si>
  <si>
    <t xml:space="preserve">SLPT60</t>
  </si>
  <si>
    <t xml:space="preserve">PATÓLOGO</t>
  </si>
  <si>
    <t xml:space="preserve">PATOLOGIA</t>
  </si>
  <si>
    <t xml:space="preserve">Hace la lectura de biopsias, revisa citologías, práctica necropsias. Tiene función asistencial; procesa y almacena muestras de patología y tejidos. Requiere 1 año de experiencia y haber realizado una especialización en el área específica.</t>
  </si>
  <si>
    <t xml:space="preserve">SLPD60</t>
  </si>
  <si>
    <t xml:space="preserve">PEDÍATRA</t>
  </si>
  <si>
    <t xml:space="preserve">PEDIATRIA</t>
  </si>
  <si>
    <t xml:space="preserve">Diagnostica y trata enfermedades y trastornos físicos en niños; ordena pruebas de laboratorio, rayos x y otros diagnósticos e interpreta sus resultados; prescribe medicamentos y tratamientos especializados; remite y ejecuta la cirugía a los niños que llegan como pacientes. Realiza investigación médica; estudia la naturaleza, causa y desarrollo de enfermedades humanas; hace el seguimiento de la evolución de las enfermedades de los niños y les ayuda en su proceso de recuperación.</t>
  </si>
  <si>
    <t xml:space="preserve">SLPS60</t>
  </si>
  <si>
    <t xml:space="preserve">PSIQUIATRA</t>
  </si>
  <si>
    <t xml:space="preserve">PSIQUIS</t>
  </si>
  <si>
    <t xml:space="preserve">Diagnostica y trata trastornos psiquiátricos; prescribe medicamentos; realiza investigación sobre trastornos de la conducta; hace el seguimiento continuo de la evolución del tratamiento de sus pacientes. Elabora protocolos de tratamiento de enfermedades mentales.</t>
  </si>
  <si>
    <t xml:space="preserve">LSAR60</t>
  </si>
  <si>
    <t xml:space="preserve">COORDINADOR REGULATORIO</t>
  </si>
  <si>
    <t xml:space="preserve">Responsable de las actividades de calificación y certificación de productos con las agencias regulatorias del gobierno, asegurando que cumplen con los requerimientos legales del mercado doméstico.</t>
  </si>
  <si>
    <t xml:space="preserve">Jefe Regulación y registro</t>
  </si>
  <si>
    <t xml:space="preserve">TIIR61</t>
  </si>
  <si>
    <t xml:space="preserve">ADMINISTRADOR BASE DE DATOS</t>
  </si>
  <si>
    <t xml:space="preserve">Administrar los recursos que provee la base de datos instalado en el equipo. Conocer y controlar la estructura de la base de datos y autorizar el acceso y cambios sobre la misma; mantener la documentación al respecto. Administrar los espacios en disco y la reorganización de la base de datos.</t>
  </si>
  <si>
    <t xml:space="preserve">Jefe Infraestructura</t>
  </si>
  <si>
    <t xml:space="preserve">TIIR62</t>
  </si>
  <si>
    <t xml:space="preserve">ADMINISTRADOR REDES</t>
  </si>
  <si>
    <t xml:space="preserve">Encargado de la administración, gestión, seguridad, Planeación e implementación de la red de datos.</t>
  </si>
  <si>
    <t xml:space="preserve">TIIR60</t>
  </si>
  <si>
    <t xml:space="preserve">INGENIERO REDES</t>
  </si>
  <si>
    <t xml:space="preserve">Coordina y controla los procesos de instalación, mantenimiento y operación de los equipos que manejan las redes internas y externas de la compañía, asegurando de esta manera la optima utilización de los recursos. Utiliza equipos de prueba y medición especializados para el control de las redes; verifica la carga de trabajo de la red para mantener el máximo rendimiento en los equipos; procura que la red sea segura e inviolable, manteniendo la estructura de la red actualizada. Se requiere un Ingeniero Eléctrico o de Sistemas con amplios conocimientos en el manejo de redes y una experiencia de 3 años o más. Reporta a:  Director Técnico, Director Manejo de Redes.</t>
  </si>
  <si>
    <t xml:space="preserve">Jefe/ coordinador/ espec.Infraestructura</t>
  </si>
  <si>
    <t xml:space="preserve">SGTC60</t>
  </si>
  <si>
    <t xml:space="preserve">COORDINADOR TÉCNICO</t>
  </si>
  <si>
    <t xml:space="preserve">Jefe técnico</t>
  </si>
  <si>
    <t xml:space="preserve">FNPM60</t>
  </si>
  <si>
    <t xml:space="preserve">JEFE SEGMENTO  PYME</t>
  </si>
  <si>
    <t xml:space="preserve">PYMES</t>
  </si>
  <si>
    <t xml:space="preserve">Promueve las acciones comerciales en el segmento pyme en cada una de las sucursales en coordinación con los gerente de oficina y gestores de cuenta pyme. Dirige y controla las diferentes estrategias comerciales relacionadas, las metas y presupuestos fijados. Coordina las políticas de recaudo y saneamiento de cartera por el concepto pyme. Requiere una experiencia de 3 a 5 años en ramas relacionadas.</t>
  </si>
  <si>
    <t xml:space="preserve">LSDP60</t>
  </si>
  <si>
    <t xml:space="preserve">COORDINADOR DESARROLLO PROVEEDORES</t>
  </si>
  <si>
    <t xml:space="preserve">Responsable de coordinar las actividades relacionadas con la identificación y desarrollo de proveedores de acuerdo a las políticas de calidad de la compañía, facilitando el alcance de los estándares de calidad preestablecidos para todos los proveedores.</t>
  </si>
  <si>
    <t xml:space="preserve">Gerente Desarrollo Proveedores</t>
  </si>
  <si>
    <t xml:space="preserve">LSDP61</t>
  </si>
  <si>
    <t xml:space="preserve">INGENIERO DESARROLLO PROVEEDORES</t>
  </si>
  <si>
    <t xml:space="preserve">Responsable por el desarrollo de proveedores de acuerdo a las políticas de calidad de la compañía, facilitando el alcance de los estándares de calidad preestablecidos para todos los proveedores, asegurándose que el proceso productivo siga los programas de calidad. Es responsable de la identificación de proveedores alternativos con el fin de garantizar que el proceso productivo no se detenga debido a la falta de materia prima.</t>
  </si>
  <si>
    <t xml:space="preserve">IDPR60</t>
  </si>
  <si>
    <t xml:space="preserve">DIBUJANTE TÉCNICO PL.</t>
  </si>
  <si>
    <t xml:space="preserve">Prepara dibujos, trazados, formatos de trabajos a partir de las especificaciones de los ingenieros o dibujos detallados. Usa la computadora u otras técnicas de esbozo, bosquejo para hacer escalas, dimensiones acorde con los procedimientos estándares de la necesidad.</t>
  </si>
  <si>
    <t xml:space="preserve">Diseñador Industrial</t>
  </si>
  <si>
    <t xml:space="preserve">Técnico</t>
  </si>
  <si>
    <t xml:space="preserve">IDPR61</t>
  </si>
  <si>
    <t xml:space="preserve">INGENIERO DESARROLLO PRODUCTOS</t>
  </si>
  <si>
    <t xml:space="preserve">Responsable del desarrollo de nuevos productos y/o tecnologías o de las mejoras a productos existentes y/o tecnologías, preparando, revisando y coordinando proyectos, de acuerdo a los tiempos y costos establecidos y asegurando que se cumplan los estándares establecidos.</t>
  </si>
  <si>
    <t xml:space="preserve">Jefe de investigación y desarrollo</t>
  </si>
  <si>
    <t xml:space="preserve">MAPR60</t>
  </si>
  <si>
    <t xml:space="preserve">INGENIERO PRODUCCION</t>
  </si>
  <si>
    <t xml:space="preserve">Supervisar el desarrollo de los programas de producción de una línea o sector de la planta. Responde por el cumplimiento de los mismos y lleva los registros requeridos, resolver los problemas inmediatos que en su actividad se le presenten a obreros y supervisores. En algunas compañías se encarga de planes de mantenimiento.</t>
  </si>
  <si>
    <t xml:space="preserve">MAPM60</t>
  </si>
  <si>
    <t xml:space="preserve">INGENIERO PROCESOS</t>
  </si>
  <si>
    <t xml:space="preserve">Responsable del soporte técnico para las líneas de producción, elaborando y actualizando procedimientos de producción, desarrollando y mejorando procesos productivos para los productos actuales, así como participando en proyectos e implementación de nuevos productos. Se requiere Ingeniero de 2 a 3 años de experiencia. Reporta a: Supervisor de Procesos.</t>
  </si>
  <si>
    <t xml:space="preserve">Gerente Procesos</t>
  </si>
  <si>
    <t xml:space="preserve">MAPM61</t>
  </si>
  <si>
    <t xml:space="preserve">SUPERVISOR PROCESOS</t>
  </si>
  <si>
    <t xml:space="preserve">Coordina el desarrollo, implementación y seguimiento de las mejoras en los métodos / procesos de las líneas de producción. Optimiza el uso de mano de obra, tiempo normal, material, equipo y energía. Soluciona problemas en el proceso de manufactura, para poder lograr eficiencia, productividad, seguridad y calidad.Trabaja en el desarrollo e implementación  de proyectos para nuevos productos. Se requiere un Ingeniero Industrial con una experiencia entre 7 y 9 años en áreas afines y el dominio de un segundo idioma.Reporta a: Gerente de Planta, Jefe de Planta.</t>
  </si>
  <si>
    <t xml:space="preserve">FIPS60</t>
  </si>
  <si>
    <t xml:space="preserve">COORDINADOR/ESPEC./JEFEPRESUPUESTOS</t>
  </si>
  <si>
    <t xml:space="preserve">Responsable de la preparación y control del presupuesto de la compañía, analizando los ingresos y egresos por producto o línea de productos, asegurando el control / comparación continuos de la situación actual con relación al pronóstico presupuestado.</t>
  </si>
  <si>
    <t xml:space="preserve">Gerente de presupuesto</t>
  </si>
  <si>
    <t xml:space="preserve">EDFI60</t>
  </si>
  <si>
    <t xml:space="preserve">JEFE PRESUPUESTO (EDUCACION)</t>
  </si>
  <si>
    <t xml:space="preserve">Planear, coordinar y dar apoyo necesario para la elaboración del presupuesto, expresando en términos cuantitativos el plan institucional de operaciones y colocando al servicio de todos los usuarios, como guía para la toma de decisiones y orientación en la consecución de los objetivos.</t>
  </si>
  <si>
    <t xml:space="preserve">LSPL60</t>
  </si>
  <si>
    <t xml:space="preserve">COORDINADOR/JEFEPLANEACION LOGÍSTICA</t>
  </si>
  <si>
    <t xml:space="preserve">Responsable de supervisar las actividades relacionadas con la planeación de procesos logísticos, calculando los niveles adecuados de inventarios, definiendo las rutas óptimas de transporte, etc. Desarrolla e implementa los procesos internos y externos.</t>
  </si>
  <si>
    <t xml:space="preserve">Gerente planeación logística</t>
  </si>
  <si>
    <t xml:space="preserve">FIPC60</t>
  </si>
  <si>
    <t xml:space="preserve">COORDINADOR/ESPEC./JEFEPLANEACION/ANAL. FINANCIERA</t>
  </si>
  <si>
    <t xml:space="preserve">Responsable de realizar todos los análisis y pronósticos financieros y económicos, supervisa la recolección, procesamiento y análisis de la información económica y financiera. Coordina los estudios de factibilidad para las inversiones en nuevos productos.</t>
  </si>
  <si>
    <t xml:space="preserve">Gerente de planeación y financiera</t>
  </si>
  <si>
    <t xml:space="preserve">SGPS60</t>
  </si>
  <si>
    <t xml:space="preserve">COORDINADOR  PERSONAS</t>
  </si>
  <si>
    <t xml:space="preserve">PERSONAS</t>
  </si>
  <si>
    <t xml:space="preserve">Personas</t>
  </si>
  <si>
    <t xml:space="preserve">Coordina y controla el proceso de reclamos y suscripción de póliza de Personas en relación a la Pérdidas Totales, Colectivos, Cuentas especiales, entre otros aspectos, en congruencia con las políticas establecidas y los condicionados de las pólizas, a fin de controla la siniestralidad y ofrecer una respuesta oportuna a los asegurados.</t>
  </si>
  <si>
    <t xml:space="preserve">Jefe unidad de suscripción</t>
  </si>
  <si>
    <t xml:space="preserve">SGPR60</t>
  </si>
  <si>
    <t xml:space="preserve">VALUADOR</t>
  </si>
  <si>
    <t xml:space="preserve">PERITOS</t>
  </si>
  <si>
    <t xml:space="preserve">Cuantifica los valores de los bienes.</t>
  </si>
  <si>
    <t xml:space="preserve">TIOS60</t>
  </si>
  <si>
    <t xml:space="preserve">COORDINADOR/JEFEOPERACIÓN SISTEMAS</t>
  </si>
  <si>
    <t xml:space="preserve">Responsable de coordinar los procesamientos requeridos por las diferentes áreas de la organización. Se encarga de los cambios solicitados en los reportes emitidos y/o del procesamiento de información. Mantiene las estadísticas de producción.</t>
  </si>
  <si>
    <t xml:space="preserve">Gerente Operaciones sistemas</t>
  </si>
  <si>
    <t xml:space="preserve">FNOF62</t>
  </si>
  <si>
    <t xml:space="preserve">JEFE CUENTAS CORRIENTES (SUCURSAL)</t>
  </si>
  <si>
    <t xml:space="preserve">Coordinar y controlar los movimientos en cuentas corrientes, estudiando solicitudes de apertura, autorizando pagos y dirigiendo el manejo contable y operativo del área.</t>
  </si>
  <si>
    <t xml:space="preserve">Subgerente operaciones / Secretario</t>
  </si>
  <si>
    <t xml:space="preserve">FNOF60</t>
  </si>
  <si>
    <t xml:space="preserve">GERENTE OFICINA</t>
  </si>
  <si>
    <t xml:space="preserve">Es el responsable de  la sucursal,  administra, controla y dirige la oficina a su cargo en todas las labores administrativas, técnicas y comerciales de acuerdo con las normas, políticas y procedimientos establecidos, promueve negocios bancarios. El cargo es desarrollado por un profesional con experiencia mínima de 4 a 6 años.</t>
  </si>
  <si>
    <t xml:space="preserve">Gerente Sucursal</t>
  </si>
  <si>
    <t xml:space="preserve">FNAD60</t>
  </si>
  <si>
    <t xml:space="preserve">SUBGERENTE ADMINISTRATIVO (SUCURSAL)</t>
  </si>
  <si>
    <t xml:space="preserve">Responder por el adecuado funcionamiento de la oficina en lo referente a la coordinación y mantenimiento de los recursos humanos y físicos, evaluar aspectos contables y de revisoría buscando optimización de los recursos para lograr calidad en el servicio.</t>
  </si>
  <si>
    <t xml:space="preserve">Gerente de sucursal / Gerente comercial</t>
  </si>
  <si>
    <t xml:space="preserve">FNOF63</t>
  </si>
  <si>
    <t xml:space="preserve">SUBGERENTE COMERCIAL (SUCURSAL)</t>
  </si>
  <si>
    <t xml:space="preserve">Participar en el proceso de comercialización de los servicios que presta la organización, atender directamente a los clientes y colabor en procesos de crédito para incrementar las captaciones y colocaciones de la oficina.</t>
  </si>
  <si>
    <t xml:space="preserve">FNCR60</t>
  </si>
  <si>
    <t xml:space="preserve">SUBGERENTE CREDITO (SUCURSAL)</t>
  </si>
  <si>
    <t xml:space="preserve">Coordinar y evaluar trámites operativos relacionados con los créditos, realizar una labor de promoción encaminada a aumentar los negocios de la oficina.</t>
  </si>
  <si>
    <t xml:space="preserve">FNOP60</t>
  </si>
  <si>
    <t xml:space="preserve">SUBGERENTE OPERACIONES</t>
  </si>
  <si>
    <t xml:space="preserve">Organizar y controlar los procesos de desarrollo interno y las operaciones de la sucursal con el fin de utilizar de la mejor forma posible la infraestructura disponible.</t>
  </si>
  <si>
    <t xml:space="preserve">Gerente de sucursal / Gte de operaciones</t>
  </si>
  <si>
    <t xml:space="preserve">FNBC60</t>
  </si>
  <si>
    <t xml:space="preserve">SUBGERENTE SUCURSAL PRINCIPAL</t>
  </si>
  <si>
    <t xml:space="preserve">Supervisar, coordinar y dirigir las actividades bancarias en la oficina principal y asistir al gerente en todas las actividades de la oficina.</t>
  </si>
  <si>
    <t xml:space="preserve">FNOF61</t>
  </si>
  <si>
    <t xml:space="preserve">SUPERVISOR OFICINA MEDIANA</t>
  </si>
  <si>
    <t xml:space="preserve">Supervisa el cumplimiento del los programas de ventas y mercadeo por parte de la fuerza de ventas, para una o varias líneas de productos de la empresa para una oficina local mediana que le haya sido asignada. Evalúa su desempeño y realiza actividades de entrenamiento. Se requiere formación profesional  en ventas y experiencia de 3 años en actividades comerciales. </t>
  </si>
  <si>
    <t xml:space="preserve">Gerente oficina</t>
  </si>
  <si>
    <t xml:space="preserve">CTOB60</t>
  </si>
  <si>
    <t xml:space="preserve">INGENIERO OBRA</t>
  </si>
  <si>
    <t xml:space="preserve">Programar, planear, diseñar, ejecutar y controlar los proyectos de construcción tanto en la parte técnica  y administrativa siguiendo las políticas de contratación y ejecución presupuestal.   </t>
  </si>
  <si>
    <t xml:space="preserve">Director de obra</t>
  </si>
  <si>
    <t xml:space="preserve">CTOB61</t>
  </si>
  <si>
    <t xml:space="preserve">INGENIERO RESIDENTE</t>
  </si>
  <si>
    <t xml:space="preserve">Realizar a cabo la construcción en sitio de la Estructura del proyecto según compromisos parciales y finales</t>
  </si>
  <si>
    <t xml:space="preserve">GHNO60</t>
  </si>
  <si>
    <t xml:space="preserve">COORDINADOR NOMINA</t>
  </si>
  <si>
    <t xml:space="preserve">NOMINA</t>
  </si>
  <si>
    <t xml:space="preserve">Elaborar todas las nóminas de la empresa haciendo los descuentos correspondientes (la retención en la fuente, pensiones, salud, préstamos, etc)., liquidaciones de primas, vacaciones, cesantía de todo el personal y mantener al día los salarios, promedios y registros pertinentes.</t>
  </si>
  <si>
    <t xml:space="preserve">Jefe de personal</t>
  </si>
  <si>
    <t xml:space="preserve">GHNO61</t>
  </si>
  <si>
    <t xml:space="preserve">JEFE NOMINA</t>
  </si>
  <si>
    <t xml:space="preserve">Coordinar el manejo operativo de la nómina. Estudiar las novedades y analizar diferentes solicitudes de los empleados para garantizar el pago adecuado de salarios y prestaciones sociales con base en las políticas de la dirección y la legislación laboral vigente.</t>
  </si>
  <si>
    <t xml:space="preserve">FNTM60</t>
  </si>
  <si>
    <t xml:space="preserve">TRADER SENIOR</t>
  </si>
  <si>
    <t xml:space="preserve">MESA</t>
  </si>
  <si>
    <t xml:space="preserve">Realiza la compra y venta de moneda local y monedas extrajeras, de pesos contra dólares u otras monedas, que afecten la posición del banco; maneja niveles razonables de riesgos de moneda, liquidez y tasa de interés para generar utilidades a la entidad. Invierte a corto y largo plazo según los requerimientos indicados o disponibilidades de recursos, y cubrir a la entidad en los requerimientos de encaje.</t>
  </si>
  <si>
    <t xml:space="preserve">Jefe mesa de dinero</t>
  </si>
  <si>
    <t xml:space="preserve">SGMD60</t>
  </si>
  <si>
    <t xml:space="preserve">JEFE EXÁMENES MÉDICOS</t>
  </si>
  <si>
    <t xml:space="preserve">Coordinar la realizacion de verificacion de exames medicos por convenios, haciendo capacitacion medica preventiva y ocupacional, capacitaciones en areas de higiene y seguridad ocupacional, prevención de enfermedades ocupacionales, chequeos médicos preventivos, auditorías médicas. </t>
  </si>
  <si>
    <t xml:space="preserve">Gerente Examenes médicos</t>
  </si>
  <si>
    <t xml:space="preserve">LSMT60</t>
  </si>
  <si>
    <t xml:space="preserve">JEFE MATERIALES</t>
  </si>
  <si>
    <t xml:space="preserve">Liderar el manejo de las existencias destinadas a la producción, mantenimiento y mecánica. Realizar las compras e importaciones y mantener los niveles que surtan las necesidades. Coordinar las funciones de pedido, recibo, almacenamiento y despacho.</t>
  </si>
  <si>
    <t xml:space="preserve">MAMT61</t>
  </si>
  <si>
    <t xml:space="preserve">INGENIERO MANTENIMIENTO</t>
  </si>
  <si>
    <t xml:space="preserve">Dirigir y supervisar a los mecánicos y ayudantes. Controlar el mantenimiento preventivo y de lubricación, presentar informes sobre el estado de los equipos y recomendaciones para la reposición. Diseñar partes para que la sección mecánica las fabrique.</t>
  </si>
  <si>
    <t xml:space="preserve">Jefe de mantenimiento</t>
  </si>
  <si>
    <t xml:space="preserve">MAMT62</t>
  </si>
  <si>
    <t xml:space="preserve">INGENIERO MANTENIMIENTO MECANICO</t>
  </si>
  <si>
    <t xml:space="preserve">Desarrollar, seguir y controlar los programas de mantenimiento mecánico preventivo y correctivo de toda la maquinaria.</t>
  </si>
  <si>
    <t xml:space="preserve">MAMT60</t>
  </si>
  <si>
    <t xml:space="preserve">SUPERVISOR MANTENIMIENTO</t>
  </si>
  <si>
    <t xml:space="preserve">Supervisa a un grupo de técnicos a cargo del mantenimiento del equipo de producción. Verifica la ejecución de programas preventivos de mantenimiento, dirige las acciones correctivas de mantenimiento cuando son necesarias, controla los costos de reparación.</t>
  </si>
  <si>
    <t xml:space="preserve">JULE60</t>
  </si>
  <si>
    <t xml:space="preserve">ASESOR LEGAL</t>
  </si>
  <si>
    <t xml:space="preserve">Realizar trámites legales, revisión de contratos, y otras tareas de tipo legal y jurídico para la compañía.</t>
  </si>
  <si>
    <t xml:space="preserve">Director jurídico / Gerente administrativo</t>
  </si>
  <si>
    <t xml:space="preserve">MAGC61</t>
  </si>
  <si>
    <t xml:space="preserve">MICROBIOLOGO</t>
  </si>
  <si>
    <t xml:space="preserve">Contribuir al sistema de control de calidad a partir del análisis y control microbiológico, aplicado pruebas a las materias primas, producto en proceso y terminado, garantizando los estándares de producción y cumpliendo con la normatividad técnica, B.P.M., H.A.C.C.P en otras.</t>
  </si>
  <si>
    <t xml:space="preserve">Jefe de producción / Gerente de planta</t>
  </si>
  <si>
    <t xml:space="preserve">FIIV60</t>
  </si>
  <si>
    <t xml:space="preserve">NEGOCIADOR</t>
  </si>
  <si>
    <t xml:space="preserve">Hacer las cotizaciones diarias de las posibilidades del mercado financiero, explorar el mercado y colaborar en la gestión de compra y venta de inversiones.</t>
  </si>
  <si>
    <t xml:space="preserve">MAIG61</t>
  </si>
  <si>
    <t xml:space="preserve">DISEÑADOR INDUSTRIAL</t>
  </si>
  <si>
    <t xml:space="preserve">Planear y coordinar los diseños para la construcción de nuevos inmuebles teniendo en cuenta los fundamentos de la ergonomía, factores del ambiente de trabajo y diseño de puestos de trabajo, métodos de trabajo, maquinaria y equipo teniendo en cuenta las posturas y manipulación de cargas relacionadas con la respectiva actividad laboral o tipo de trabajo, respondiendo a la normatividad de los estándares de calidad y productividad en el servicio externo y comodidad al usuario interno.</t>
  </si>
  <si>
    <t xml:space="preserve">MAIG60</t>
  </si>
  <si>
    <t xml:space="preserve">INGENIERO PROYECTOS INDUSTRIALES</t>
  </si>
  <si>
    <t xml:space="preserve">Responsable de las actividades de desarrollo de proyectos, conduciendo investigaciones de campo, desarrollando el alcance del proyecto conjuntamente con las áreas solicitantes y órganos involucrados, proponiendo las alternativas necesarias, especificando soluciones.</t>
  </si>
  <si>
    <t xml:space="preserve">Jefe de Ingeniería</t>
  </si>
  <si>
    <t xml:space="preserve">MAIG62</t>
  </si>
  <si>
    <t xml:space="preserve">INSTRUMENTISTA/METROLOGO</t>
  </si>
  <si>
    <t xml:space="preserve">Realizar la calibración y mantenimiento correctivo y programado de la instrumentación industrial (básculas, pesos, balances, etc) y sistemas de control de la planta</t>
  </si>
  <si>
    <t xml:space="preserve">SGPV60</t>
  </si>
  <si>
    <t xml:space="preserve">JEFE PROVEEDORES </t>
  </si>
  <si>
    <t xml:space="preserve">Supervisa, evalua e investiga los servicios de las clínicas, talleres mecánicos y otros proveedores asociados tanto afiliados como convenidos, a nivel nacional, a fin de verificar la funcionalidad de los proveedores de servicios, en término de costos asociados y calidad de atención al cliente, así mismo establece y negocia baremos de paquetes por actos médicos, honorarios, gastos clínicos, precios por los servicios prestado en talleres (repuestos y mano de obra) en cumplimiento con las políticas, normas y procedimientos de la organización.</t>
  </si>
  <si>
    <t xml:space="preserve">Gerente Indemnizaciones</t>
  </si>
  <si>
    <t xml:space="preserve">FIIP60</t>
  </si>
  <si>
    <t xml:space="preserve">COORDINADOR/ESPEC./JEFEIMPUESTOS</t>
  </si>
  <si>
    <t xml:space="preserve">Responsable del pago oportuno y adecuado de los impuestos de la compañía, asegurando la optimización de los pagos y aprovechando las oportunidades de exención de impuestos cuando apliquen. Revisa las nuevas legislaciones fiscales para determinar aquellas estrategias tributarias.</t>
  </si>
  <si>
    <t xml:space="preserve">Gerente de impuestos</t>
  </si>
  <si>
    <t xml:space="preserve">HTAL61</t>
  </si>
  <si>
    <t xml:space="preserve">JEFE ALIMENTOS Y BEBIDAS</t>
  </si>
  <si>
    <t xml:space="preserve">Planea, dirige y controla el servicio de alimentos y bebidas, almacén, suministros y compras. Supervisa el personal de área. Coordina el montaje de eventos verificando los equipos y la comida. Supervisa las actividades de cocina, comedor y servicios generales. Responde por los menús para los eventos. Se requiere profesional en hotelería, 3 años de experiencia en el sector y muy buen manejo del inglés.</t>
  </si>
  <si>
    <t xml:space="preserve">Gerente Alimentos y bebidas</t>
  </si>
  <si>
    <t xml:space="preserve">HTAL62</t>
  </si>
  <si>
    <t xml:space="preserve">JEFE BANQUETES</t>
  </si>
  <si>
    <t xml:space="preserve">Supervisa, coordina y programa las actividades del personal que prepara, porciona y sirve alimentos. Dispone y entrega al Chef para su preparación los menús programados. Supervisa y verifica menús, dietas especiales y la distribución de alimentos a pacientes en hospitales  Se encarga de preparar los ambientes para los servicios contratados. Debe ser hotelero con 2 años de experiencia y tener buenos conocimientos del inglés.</t>
  </si>
  <si>
    <t xml:space="preserve">HTSV61</t>
  </si>
  <si>
    <t xml:space="preserve">JEFE LAVANDERÍA</t>
  </si>
  <si>
    <t xml:space="preserve">Administra el personal de lavandería del hotel. Coordina y controla el proceso de lavado y entrega de la lencería a las diferentes áreas se realice de manera adecuada, realiza seguimiento a los formatos de control.</t>
  </si>
  <si>
    <t xml:space="preserve">AGAV69</t>
  </si>
  <si>
    <t xml:space="preserve">ADMINISTRADOR GRANJAS</t>
  </si>
  <si>
    <t xml:space="preserve">SECTOR AVICOLA</t>
  </si>
  <si>
    <t xml:space="preserve">GRANJA</t>
  </si>
  <si>
    <t xml:space="preserve">Mantiene según normas establecidas las granjas, para pollo de engorde; verifica y reporta los datos de peso consumo, mortalidad, inventarios, estado de las aves, instalaciones y necesidades de las mismas suministrando los elementos requeridos; verifica el cumplimiento de las indicaciones impartidas por el técnico supervisor como el pre alistamiento y alistamiento de la granja; se requiere estudios en el área agropecuaria y experiencia en manejos avícolas.</t>
  </si>
  <si>
    <t xml:space="preserve">Supervisor de Granjas</t>
  </si>
  <si>
    <t xml:space="preserve">AGAV65</t>
  </si>
  <si>
    <t xml:space="preserve">DIRECTOR INCUBACIÓN</t>
  </si>
  <si>
    <t xml:space="preserve">Encargado de Elaborar y Programar el encasetamiento de reproductoras, despachos de concentrados, Elabora Programas de control sanitario, Programas de distribución de pollito y Realiza seguimientos patológicos; educación profesional como veterinaria; experiencia de 3 años en trabajos similares.</t>
  </si>
  <si>
    <t xml:space="preserve">AGAV66</t>
  </si>
  <si>
    <t xml:space="preserve">DIRECTOR POLLO ENGORDE</t>
  </si>
  <si>
    <t xml:space="preserve">Establece métodos para cumplir con los Programas de producción y Coordinar actividades con otras áreas; Recomienda las medidas para mejorar la productividad de los procesos y la calidad del pollo; determina las características y Preparación de los regímenes alimenticios del pollo; registra la información relacionada con el crecimiento y producción; Diseña y Coordina la construcción de sitios para la cría del pollo; Prepara al personal en las normas de seguridad, control sanitario y políticas de producción de la compañía.</t>
  </si>
  <si>
    <t xml:space="preserve">AGAV67</t>
  </si>
  <si>
    <t xml:space="preserve">DIRECTOR PRODUCCIÓN POLLO</t>
  </si>
  <si>
    <t xml:space="preserve">Coordina la Elaboración y hace seguimiento a programas semanales de ventas, encasetamiento, consumos, compras, mantenimiento y Programación de vacunación; Analiza y evalúa normas, lleva controles estadísticos y Administra el personal a su cargo; educación profesional en Administración, agropecuaria, zootecnia, veterinaria o ingeniería industrial; experiencia de 3 años en la compañía o en trabajos similares.</t>
  </si>
  <si>
    <t xml:space="preserve">AGAV68</t>
  </si>
  <si>
    <t xml:space="preserve">JEFE LEVANTE</t>
  </si>
  <si>
    <t xml:space="preserve">Realiza el seguimiento al plan de despique, vacunación y selección, Supervisa el manejo de confort, nutrición, cama, peso y uniformidad; se requiere Tecnólogo en ciencias agropecuarias con tres años de experiencia en el área.</t>
  </si>
  <si>
    <t xml:space="preserve">Director Producción pollo</t>
  </si>
  <si>
    <t xml:space="preserve">FIGN60</t>
  </si>
  <si>
    <t xml:space="preserve">COORDINADOR /ESPEC./JEFEFINANZAS</t>
  </si>
  <si>
    <t xml:space="preserve">Coordina las actividades de Finanzas / Contabilidad. Responsable de la administración de fondos, flujo de efectivo, manejo de impuestos, control / reporte de presupuestos y finanzas.</t>
  </si>
  <si>
    <t xml:space="preserve">LSGN61</t>
  </si>
  <si>
    <t xml:space="preserve">COORDINADOR ABASTECIMIENTO Y LOGÍSTICA</t>
  </si>
  <si>
    <t xml:space="preserve">Coordina las actividades relacionadas a la logística de materiales, direccionando la atención a las cantidades predeterminadas, calidad y plazos definidos y, consecuentemente, la eficiencia de los flujos operacionales. Coordina el suministro de los materiales a las areas.</t>
  </si>
  <si>
    <t xml:space="preserve">TIGN60</t>
  </si>
  <si>
    <t xml:space="preserve">INGENIERO SISTEMAS</t>
  </si>
  <si>
    <t xml:space="preserve">Administrar los sistemas de cómputo, software, hardware y redes para toda la compañía, asegurando su correcto funcionamiento.</t>
  </si>
  <si>
    <t xml:space="preserve">ADGN60</t>
  </si>
  <si>
    <t xml:space="preserve">Responder por las funciones de índole administrativo en cuanto a la coordinación y control de las compras y servicios generales de la compañía. Supervisar los contratos de mantenimiento de edificios y equipos.                                         </t>
  </si>
  <si>
    <t xml:space="preserve">Gerente administrativo / Gerente recursos humanos</t>
  </si>
  <si>
    <t xml:space="preserve">ADGN61</t>
  </si>
  <si>
    <t xml:space="preserve">JEFE SUCURSAL</t>
  </si>
  <si>
    <t xml:space="preserve">Responsable por administrar una sucursal o agencia, debe implementar las políticas establecidas por la gerencia, y actuar de acuerdo a los objetivos y estrategias, para la zona geográfica en la que se ubica. Administra todos los recursos de la sucursal.</t>
  </si>
  <si>
    <t xml:space="preserve">Gerente Administrativo/Gerente general</t>
  </si>
  <si>
    <t xml:space="preserve">ADPR60</t>
  </si>
  <si>
    <t xml:space="preserve">PROFESIONAL SENIOR</t>
  </si>
  <si>
    <t xml:space="preserve">PROFESIONAL</t>
  </si>
  <si>
    <t xml:space="preserve">Profesional encargado de dar apoyo y soporte en proyectos y actividades para una de las áreas de la compañía.                                                                                                                                                                                                              </t>
  </si>
  <si>
    <t xml:space="preserve">Jefes de departamento</t>
  </si>
  <si>
    <t xml:space="preserve">LSGN60</t>
  </si>
  <si>
    <t xml:space="preserve">SUPERVISOR LOGÍSTICA Y OPERACIONES</t>
  </si>
  <si>
    <t xml:space="preserve">Atiende las solicitudes internas de compra según orden de prioridad. Planea y coordina el despacho de materiales y suministros. Realiza la selección de materiales de acuerdo con su procedencia, calidad y precios, teniendo en cuenta las cotizaciones. Se requiere profesional o con experiencia mínima de 1-2 años en labores similares. Reporta a: Jefe de Compras, Jefe de Logística y Operaciones, Gerente de Logística y Operaciones.</t>
  </si>
  <si>
    <t xml:space="preserve">Jefe de Logística</t>
  </si>
  <si>
    <t xml:space="preserve">FQFV60</t>
  </si>
  <si>
    <t xml:space="preserve">COORDINADOR/SUPV. FARMACOVIGILÂNCIA</t>
  </si>
  <si>
    <t xml:space="preserve">Responsable por la gestión y monitoreo de la seguridad de los medicamentos de la empresa, a través del análisis de los relatos de eventos adversos y del proceso de submisión de estos, con el objetivo de asegurar conformidad (compliance) interna y regulatorias.</t>
  </si>
  <si>
    <t xml:space="preserve">Gerente Farmacovigilancia</t>
  </si>
  <si>
    <t xml:space="preserve">FQPD63</t>
  </si>
  <si>
    <t xml:space="preserve">INGENIERO CERTIFICACIÓN</t>
  </si>
  <si>
    <t xml:space="preserve">Responsable del cumplimiento de los procedimientos para las pruebas de validación que certifican que los productos se fabrican de acuerdo a los requerimientos y estándares preestablecidos. Reúne y analiza información de validación medianamente compleja.</t>
  </si>
  <si>
    <t xml:space="preserve">Jefe Producción - Cremas / Jefe Produccuón  - Líquidos</t>
  </si>
  <si>
    <t xml:space="preserve">FQPD64</t>
  </si>
  <si>
    <t xml:space="preserve">MICROBIÓLOGO</t>
  </si>
  <si>
    <t xml:space="preserve">Responsable de conducir estudios moderadamente complejos, aísla bacterias y otros microorganismos, identifica los microorganismos con exámenes microscópicos. Observa la acción de los microorganismos sobre tejidos vivos. Lleva a cabo análisis químicos desoporte.</t>
  </si>
  <si>
    <t xml:space="preserve">FQPD65</t>
  </si>
  <si>
    <t xml:space="preserve">QUIMICO- FARMACEUTICO</t>
  </si>
  <si>
    <t xml:space="preserve">Realiza funciones de inspección, vigilancia y control de productos farmacéuticos, establecimientos productores y establecimientos distribuidores de los mismos. Investigación y desarrollo de productos farmacéuticos, cosméticos, y otros insumos para la salud. Producción, suministros y aseguramiento de la calidad de los insumos para la salud, productos agroquímicos, alimentos, bebidas enriquecidas o de usos dietéticos, complementos dietéticos, alimentos concentrados, bebidas alcohólica y no alcohólicas. Inspección, vigilancia y control de insumos para la salud, productos agroquímicos, alimentos bebidas enriquecidas o de usos dietéticos, complementos dietéticos, alimentos concentrados, bebidas alcohólica y no alcohólicas. Certificación de calidad en los procesos de importación, exportación de materias primas, productos farmacéuticos semielaborados y terminados.  (Reporta al Gerente de Planta)</t>
  </si>
  <si>
    <t xml:space="preserve">FQVM60</t>
  </si>
  <si>
    <t xml:space="preserve">REP. VENTAS - ESPECIALIDADES</t>
  </si>
  <si>
    <t xml:space="preserve">VISITA MEDICA</t>
  </si>
  <si>
    <t xml:space="preserve">Promueve los productos de la compañía que se consideran especialidades (Cardiología, Oncología, SIDA, Diabetes, etc.) con la clase médica, difundiéndolos para alcanzar las metas establecidas previamente. Prepara reportes de llamadas / visitas a clientes y proveedores.</t>
  </si>
  <si>
    <t xml:space="preserve">Director / jefe Comercial</t>
  </si>
  <si>
    <t xml:space="preserve">FQVM61</t>
  </si>
  <si>
    <t xml:space="preserve">REP. VENTAS - HOSPITALES</t>
  </si>
  <si>
    <t xml:space="preserve">Promueve los productos de la compañía con las instituciones, difundiéndolos para alcanzar las metas establecidas previamente. Prepara reportes de llamadas / visitas a clientes y reportes de ventas / gastos. Se mantiene actualizado en cuanto al mercado farmacéutico.</t>
  </si>
  <si>
    <t xml:space="preserve">FQGC62</t>
  </si>
  <si>
    <t xml:space="preserve">JEFE FÍSICO - QUÍMICO</t>
  </si>
  <si>
    <t xml:space="preserve">Mantiene actualizados los parámetros técnicos para el análisis de la materia prima, productos en proceso y productos terminados, conforme a las guías fijadas por casa matriz; parametriza las medidas de control para cada uno de los procesos que se llevan a cabo en el laboratorio; Hace el seguimiento respectivo a los experimentos químicos hechos en animales; el cargo requiere un profesional con una experiencia mínima de 4 años en labores físico químicas.</t>
  </si>
  <si>
    <t xml:space="preserve">Director técnico</t>
  </si>
  <si>
    <t xml:space="preserve">FQPD60</t>
  </si>
  <si>
    <t xml:space="preserve">JEFE LÍQUIDOS</t>
  </si>
  <si>
    <t xml:space="preserve">Responsable de las actividades de producción de productos líquidos, determinando la necesidad de recursos e instalaciones, conduciendo la ejecución de programas productivos, costos, calidad y volumen, asegurando que se cumplan los plazos y las especificaciones de producto generico.</t>
  </si>
  <si>
    <t xml:space="preserve">Jefe Acabado</t>
  </si>
  <si>
    <t xml:space="preserve">FQGC60</t>
  </si>
  <si>
    <t xml:space="preserve">JEFE MICROBIOLOGÍA</t>
  </si>
  <si>
    <t xml:space="preserve">Habilidades de supervisión, y resolución de conflictos, conocimientos y manejo de paquetería, especialización de equipo, validación de métodos microbiológicos, valoraciones en placas, microbiología, conocimiento general de todo lo que se maneja en el área. aprobar o rechazar los productos.</t>
  </si>
  <si>
    <t xml:space="preserve">FQPD61</t>
  </si>
  <si>
    <t xml:space="preserve">JEFE SOLUCIONES</t>
  </si>
  <si>
    <t xml:space="preserve">Responsable de las actividades de producción de productos de soluciones, determinando la necesidad de recursos e instalaciones, conduciendo la ejecución de programas productivos, costos, calidad y volumen, asegurando que se cumplan los plazos y las especificaciones.</t>
  </si>
  <si>
    <t xml:space="preserve">FQPD62</t>
  </si>
  <si>
    <t xml:space="preserve">JEFE TABLETERIA</t>
  </si>
  <si>
    <t xml:space="preserve">Responsable de las actividades de producción de productos de tablereria, determinando la necesidad de recursos e instalaciones, conduciendo la ejecución de programas productivos, costos, calidad y volumen, asegurando que se cumplan los plazos y las especificaciones.</t>
  </si>
  <si>
    <t xml:space="preserve">FQGC61</t>
  </si>
  <si>
    <t xml:space="preserve">JEFE VALIDACIONES</t>
  </si>
  <si>
    <t xml:space="preserve">Ing. Bioquímico, Ing. químico, Químico Fármaco biólogo, Químico Fármaco Industrial. INGLÉS INDISPENSABLE Revisión de protocolos y paquetes de validación, seguimiento a programas de validación, elaboración de análisis y evaluaciones de riesgo, revisiones periódicas de validación de procesos y limpieza y coordinar la revalidación para cumplimiento regulatorio. Optimizar los procesos de manufactura y limpieza, transferencia de productos, atención a auditorías.</t>
  </si>
  <si>
    <t xml:space="preserve">MKPB61</t>
  </si>
  <si>
    <t xml:space="preserve">COORDINADOR EVENTOS</t>
  </si>
  <si>
    <t xml:space="preserve">EVENTOS</t>
  </si>
  <si>
    <t xml:space="preserve">Coordinar toda la parte logística, en la realización de eventos para brindar apoyo a la fuerza de ventas en el lanzamiento de nuevos productos o servicios.</t>
  </si>
  <si>
    <t xml:space="preserve">Gerente de mercadeo</t>
  </si>
  <si>
    <t xml:space="preserve">GHED60</t>
  </si>
  <si>
    <t xml:space="preserve">COORDINADOR/ESPEC./JEFEENTRENAMIENTO Y DESARROLLO</t>
  </si>
  <si>
    <t xml:space="preserve">Diseña, planea e implementa programas de entrenamiento. Revisa los métodos y técnicas existentes de entrenamiento y sus aplicaciones y establece los objetivos de entrenamiento según se requiera.</t>
  </si>
  <si>
    <t xml:space="preserve">Gerente de entrenamiento y desarrollo</t>
  </si>
  <si>
    <t xml:space="preserve">IDEM60</t>
  </si>
  <si>
    <t xml:space="preserve">INGENIERO DESARROLLO EMPAQUES - ESPECIALISTA</t>
  </si>
  <si>
    <t xml:space="preserve">Responsable por el desarrollo de empaques, asegurando la protección adecuada del producto, optimizando la relación costo / beneficio, estandarizando y adecuándolas a las leyes y normas gubernamentales. Mantiene actualizado el Manual de Desarrollo de Empaques.</t>
  </si>
  <si>
    <t xml:space="preserve">Gerente Desarrollo Empaques</t>
  </si>
  <si>
    <t xml:space="preserve">ADDA60</t>
  </si>
  <si>
    <t xml:space="preserve">JEFE ARCHIVO</t>
  </si>
  <si>
    <t xml:space="preserve">Responder por el adecuado manejo y custodia de los documentos de microfilmación y/o medios magnéticos de acuerdo a las políticas establecidas.</t>
  </si>
  <si>
    <t xml:space="preserve">Director de servicios generales</t>
  </si>
  <si>
    <t xml:space="preserve">LSTD60</t>
  </si>
  <si>
    <t xml:space="preserve">COORDINADOR/JEFEDISTRIBUCIÓN</t>
  </si>
  <si>
    <t xml:space="preserve">Responsable por coordinar las actividades de distribución, que comprenden la recepción, expedición, control de inventarios y distribución, con el objetivo de satisfacer las necesidades de clientes internos y externos dentro de términos y costos compatibles.</t>
  </si>
  <si>
    <t xml:space="preserve">TIDE60</t>
  </si>
  <si>
    <t xml:space="preserve">INGENIERO DESARROLLO APLICACIONES</t>
  </si>
  <si>
    <t xml:space="preserve">Desarrolla nuevos productos en software y equipos. Realiza nuevos desarrollos y/o actualizaciones al software de la compañía, da apoyo técnico a clientes y/o a personal de la empresa; para el cargo se requiere un Ingeniero de Electrónico o de Sistemas con 2 años de experiencia. Reporta a:  Director de Proyectos, Gerente de Desarrollo de Aplicaciones.</t>
  </si>
  <si>
    <t xml:space="preserve"> Director de Proyectos / Gerente de Desarrollo de Aplicaciones.</t>
  </si>
  <si>
    <t xml:space="preserve">TIDE61</t>
  </si>
  <si>
    <t xml:space="preserve">INGENIERO INFORMÁTICA</t>
  </si>
  <si>
    <t xml:space="preserve">Apoya el desarrolla de nuevo software y equipos; realiza visitas de mantenimiento a los diferentes clientes y presta asesoría y servicio técnico a clientes y/o a personal de la empresa, resuelve los problemas que se presenten en el funcionamiento de los equipos y del software. Para el cargo se requiere un Ingeniero Electrónico o de Sistemas con 2 años de experiencia. Reporta a: Director de Proyectos, Gerente Desarrollo de Aplicaciones.</t>
  </si>
  <si>
    <t xml:space="preserve">Director de Proyectos /Gerente Desarrollo de Aplicaciones.</t>
  </si>
  <si>
    <t xml:space="preserve">FICC61</t>
  </si>
  <si>
    <t xml:space="preserve">COORDINADOR/ESPEC./JEFECUENTAS PAGAR/RECIBIR</t>
  </si>
  <si>
    <t xml:space="preserve">CUENTAS (POR COBRAR / POR PAGAR)</t>
  </si>
  <si>
    <t xml:space="preserve">Coordina los procesos de cuentas por pagar y cuentas por cobrar, de acuerdo con los términos y procedimientos existentes. Define e implementa los controles necesarios para cumplir con las rutinas del área bajo su responsabilidad.</t>
  </si>
  <si>
    <t xml:space="preserve">Gerente de crédito</t>
  </si>
  <si>
    <t xml:space="preserve">FICC60</t>
  </si>
  <si>
    <t xml:space="preserve">COORDINADOR/ESPEC./JEFECRÉDITO Y COBRANZA</t>
  </si>
  <si>
    <t xml:space="preserve">Responsable de controlar las cuentas de crédito. Realiza análisis periódicos de las cuentas para identificar aquellas que pudieran requerir procedimientos difíciles de cobranza. Analiza la información y las referencias crediticias de las personas o instituciones.</t>
  </si>
  <si>
    <t xml:space="preserve">FICO60</t>
  </si>
  <si>
    <t xml:space="preserve">COORDINADOR/ESPEC./JEFECOSTOS</t>
  </si>
  <si>
    <t xml:space="preserve">Responsable de coordinar las actividades relacionadas con el desarrollo y organización del sistema de costos de la compañía, incluyendo el análisis de los costos reales de los productos y sus respectivos márgenes de contribución.</t>
  </si>
  <si>
    <t xml:space="preserve">Gerente de Costos</t>
  </si>
  <si>
    <t xml:space="preserve">CTDI60</t>
  </si>
  <si>
    <t xml:space="preserve">ARQUITECTO</t>
  </si>
  <si>
    <t xml:space="preserve">Diseñar edificaciones o espacios urbanos, y velar por el adecuado desarrollo de su construcción, interpreta las necesidades de los usuarios y las plasma en adecuados espacios y formas habitables y construibles.</t>
  </si>
  <si>
    <t xml:space="preserve">Director Diseño</t>
  </si>
  <si>
    <t xml:space="preserve">CTDI61</t>
  </si>
  <si>
    <t xml:space="preserve">INGENIERO DISEÑO</t>
  </si>
  <si>
    <t xml:space="preserve">Realizar el diseño adecuado de las obras asignadas conforme a las normas de construcción aplicables ajustándose a los plazos establecidos.</t>
  </si>
  <si>
    <t xml:space="preserve">FICT60</t>
  </si>
  <si>
    <t xml:space="preserve">CONTADOR</t>
  </si>
  <si>
    <t xml:space="preserve">Revisar y preparar los comprobantes de diario y soportes de los mismos, supervisar los asientos en los libros de la compañía y preparar los balances y demás informes financieros de rutina. En ciertas compañías se encarga de asesorar en el aspecto fiscal.</t>
  </si>
  <si>
    <t xml:space="preserve">Jefe departamento de contabilidad</t>
  </si>
  <si>
    <t xml:space="preserve">EDCM60</t>
  </si>
  <si>
    <t xml:space="preserve">COORDINADOR PROMOCION UNIVERSITARIA</t>
  </si>
  <si>
    <t xml:space="preserve">Promocionar y divulgar las diferentes carreras de pregrado y programas de postgrado de la Universidad, garantizando una información clara a los aspirantes a ingresar.   </t>
  </si>
  <si>
    <t xml:space="preserve">LSCP60</t>
  </si>
  <si>
    <t xml:space="preserve">COMPRADOR TÉCNICO</t>
  </si>
  <si>
    <t xml:space="preserve">Responsable de los procesos de compra de material productivo de mediana complejidad, que incluyen el análisis de requisiciones, preparación y verificación de cotizaciones, negociación, aprobación de órdenes y/o contratos de compra, dentro de los lapsos detiempos.</t>
  </si>
  <si>
    <t xml:space="preserve">Jefe de compras</t>
  </si>
  <si>
    <t xml:space="preserve">GHCB60</t>
  </si>
  <si>
    <t xml:space="preserve">COORDINADOR/ESPEC./JEFECOMPENSACIÓN Y BENEFICIOS</t>
  </si>
  <si>
    <t xml:space="preserve">Responsable de la coordinación de las actividades relacionadas con la igualdad interna, salarios, compensación variable y políticas de prestaciones, dirigidos al balance interno y externo de los niveles de remuneración adoptados por la compañía. Coordina los analistas.</t>
  </si>
  <si>
    <t xml:space="preserve">Gerente de compensación</t>
  </si>
  <si>
    <t xml:space="preserve">FICF61</t>
  </si>
  <si>
    <t xml:space="preserve">COORDINADOR /ESPEC.CARTERA</t>
  </si>
  <si>
    <t xml:space="preserve">Supervisar el proceso adecuado de recuperación de  cartera administrativa generada por la prestación de los servicios o ventas de productos,  para lograr una mejora en el mismo.</t>
  </si>
  <si>
    <t xml:space="preserve">Jefe Cartera</t>
  </si>
  <si>
    <t xml:space="preserve">FICF60</t>
  </si>
  <si>
    <t xml:space="preserve">JEFE FACTURACION</t>
  </si>
  <si>
    <t xml:space="preserve">Supervisar todo lo relacionado con facturación, enviar carta de cobro a los clientes morosos, reportar a contabilidad los pagos, facturas anuladas y elaborar cheques  emitidos por la compañía.</t>
  </si>
  <si>
    <t xml:space="preserve">HEGE64</t>
  </si>
  <si>
    <t xml:space="preserve">GEOFISICO</t>
  </si>
  <si>
    <t xml:space="preserve">GEOLOGIA</t>
  </si>
  <si>
    <t xml:space="preserve">Responsable por orientar, ejecutar y poner en práctica trabajos exploratorios que conduzcan a la perforación de pozos  y nuevos hallazgos.   </t>
  </si>
  <si>
    <t xml:space="preserve">HEGE60</t>
  </si>
  <si>
    <t xml:space="preserve">GEOFÍSICO</t>
  </si>
  <si>
    <t xml:space="preserve">Ejecuta y gerencia las evaluaciones 2D / 3D en la estación de trabajo e integra toda la información geológica con la intención de madurar los prospectos de perforación. Interpreta la data sísmica y de perforación para cuantificar las estimaciones de profundidad y los modelo sestructurales para la exploración y la productividad de los yacimientos. Usa métodos probabilísticas para determinar la cantidad de reservas de los yacimientos, y con base en esta información.</t>
  </si>
  <si>
    <t xml:space="preserve">HEGE61</t>
  </si>
  <si>
    <t xml:space="preserve">GEÓLOGO</t>
  </si>
  <si>
    <t xml:space="preserve">Con ayuda de herramientas automatizadas, debe realizar un análisis detallado de información geológica para así evaluar, planificar y recomendar prospectos donde se pueden encontrar nuevas oportunidades de negocio u optimizar los actuales.</t>
  </si>
  <si>
    <t xml:space="preserve">HEFC60</t>
  </si>
  <si>
    <t xml:space="preserve">INGENIERO FACILIDADES</t>
  </si>
  <si>
    <t xml:space="preserve">FACILIDADES</t>
  </si>
  <si>
    <t xml:space="preserve">Encargado de coordinar labores de construcción en campo, supervisando las actividades de los contratistas, en cuanto al cumplimiento de normas gubernamentales y seguimiento de políticas corporativas.</t>
  </si>
  <si>
    <t xml:space="preserve">HEPE60</t>
  </si>
  <si>
    <t xml:space="preserve">INGENIERO PERFORACIONES</t>
  </si>
  <si>
    <t xml:space="preserve">Bajo supervisión indirecta, coordina y dirige los estudios de ingeniería de perforación. Revisa, evalúa y recomienda lo relacionado con el presupuesto de las operaciones de perforación para asegurar el cumplimiento de las metas de la compañía en el tiempo previsto.</t>
  </si>
  <si>
    <t xml:space="preserve">Gerente de perforación</t>
  </si>
  <si>
    <t xml:space="preserve">HEPR60</t>
  </si>
  <si>
    <t xml:space="preserve">INGENIERO PRODUCCIÓN</t>
  </si>
  <si>
    <t xml:space="preserve">Bajo supervisión indirecta coordina actividades de operaciones de ingeniería de campo, para optimizar los recursos disponibles,incluyendo optimización de producción, reacondicionamiento de reservorios, etc.</t>
  </si>
  <si>
    <t xml:space="preserve">Superintendente de producción</t>
  </si>
  <si>
    <t xml:space="preserve">HEPR63</t>
  </si>
  <si>
    <t xml:space="preserve">INGENIERO PRODUCCION - PETROLEOS</t>
  </si>
  <si>
    <t xml:space="preserve">Planear, supervisar y controlar las metas de producción,  las evaluaciones de ingeniería de las operaciones de subsuelo, superficie y transporte del crudo con el  fin de cumplir con las metas propuestas.</t>
  </si>
  <si>
    <t xml:space="preserve">HERE60</t>
  </si>
  <si>
    <t xml:space="preserve">INGENIERO RESERVORIO</t>
  </si>
  <si>
    <t xml:space="preserve">RESERVORIO</t>
  </si>
  <si>
    <t xml:space="preserve">Analiza las actividades de Ingeniería del reservorio, a fin de obtener la mayor cantidad de petróleo al menor costo y cumpliendo con normas gubernamentales y políticas corporativas. Coordinar los servicios y materiales para los trabajos de reacondicionamiento y complementación de pozos de petróleo.</t>
  </si>
  <si>
    <t xml:space="preserve">HELG66</t>
  </si>
  <si>
    <t xml:space="preserve">LÍDER CONTRATOS</t>
  </si>
  <si>
    <t xml:space="preserve">LOGISTICA</t>
  </si>
  <si>
    <t xml:space="preserve">Gerencia y mejora la contratación de todos los bienes y servicios requeridos por la empresa. Coordina el desarrollo e implementación del proceso de planificación de contratación integrado a los objetivos y al plan de negocios de la compañía.</t>
  </si>
  <si>
    <t xml:space="preserve">Gerente proyectos - hidrocarburos</t>
  </si>
  <si>
    <t xml:space="preserve">HEGE62</t>
  </si>
  <si>
    <t xml:space="preserve">LÍDER GEOLOGÍA</t>
  </si>
  <si>
    <t xml:space="preserve">Coordina, supervisa y dirige proyectos geológicos / geofísicos para la perforación y exploración de yacimientos actuales y nuevos a fin de proveer proveer asesoramiento y recomendaciones en cuanto a nuevos campos por explorar y planes de acción de perforación dentro del área de trabajo. Supervisa Personal.</t>
  </si>
  <si>
    <t xml:space="preserve">HEPE61</t>
  </si>
  <si>
    <t xml:space="preserve">LIDER PERFORACIÓN</t>
  </si>
  <si>
    <t xml:space="preserve">Encargado de la planeación y coordinación de todas las actividades de perforación y reacondicionamiento de los pozos, con el fin de optimizar la operación en los reservorios en cuanto a calidad, tiempo y costos.</t>
  </si>
  <si>
    <t xml:space="preserve">HERE61</t>
  </si>
  <si>
    <t xml:space="preserve">LIDER RESERVORIOS</t>
  </si>
  <si>
    <t xml:space="preserve">Planifica, coordina y controla las reservas de producción de petróleo y gas de los yacimientos explotados por la empresa, así como realiza los estudios especiales requeridos para optimizar la explotación de los mismos, a fin de garantizar planes de producción a corto, mediano y largo plazo, optimizando los recursos utilizados y los costos asociados a los barriles producidos, de acuerdo a los planes y estrategias trazados por la organización de producción.</t>
  </si>
  <si>
    <t xml:space="preserve">HEPR64</t>
  </si>
  <si>
    <t xml:space="preserve">Responsable por planear y coordinar el desarrollo operativo y técnico del campo para que se logren los objetivos de la empresa y sea un negocio  económicamente rentable.   </t>
  </si>
  <si>
    <t xml:space="preserve">HEFC61</t>
  </si>
  <si>
    <t xml:space="preserve">SUPERVISOR FACILIDADES</t>
  </si>
  <si>
    <t xml:space="preserve">Tiene bajo su responsabilidad la planeación, puesta en marcha, supervisión y control de nuevos proyectos de infraestructura, así como de ampliaciones, reformas o nuevos diseños a las mismas, buscando siempre la optimización, calidad y control de costos. No supervisa Personal.</t>
  </si>
  <si>
    <t xml:space="preserve">Jefe Construciones y Obras civiles</t>
  </si>
  <si>
    <t xml:space="preserve">HEGE63</t>
  </si>
  <si>
    <t xml:space="preserve">SUPERVISOR GEOLOGÍA</t>
  </si>
  <si>
    <t xml:space="preserve">Realiza las predicciones de producción, modelos de reservorios y formula recomendaciones. Crea un modelo económico y realiza la optimización de reservorio.</t>
  </si>
  <si>
    <t xml:space="preserve">HEPR61</t>
  </si>
  <si>
    <t xml:space="preserve">SUPERVISOR OPERACIONES</t>
  </si>
  <si>
    <t xml:space="preserve">Coordina actividades de operaciones de ingeniería de campo, para optimizar los recursos disponibles, incluyendo optimización de producción, reacondicionamiento de reservorios, etc. Coordina la evaluación, planificación y administración de los proyectos de superficie.</t>
  </si>
  <si>
    <t xml:space="preserve">HEPR62</t>
  </si>
  <si>
    <t xml:space="preserve">SUPERVISOR PRODUCCIÓN</t>
  </si>
  <si>
    <t xml:space="preserve">Coordina actividades de operaciones de ingeniería de campo, para optimizar los recursos disponibles, incluyendo optimización de producción, reacondicionamiento de reservorios, extracción de crudo, etc.</t>
  </si>
  <si>
    <t xml:space="preserve">HERE62</t>
  </si>
  <si>
    <t xml:space="preserve">SUPERVISOR RESERVORIO</t>
  </si>
  <si>
    <t xml:space="preserve">Es responsable de las actividades de Ingeniería del reservorio, a fin de obtener la mayor cantidad de petróleo al menor costo, cumpliendo con normas gubernamentales y políticas corporativas. Es responsable por los servicios y materiales para los trabajos de reacondicionamiento y complementación de pozos de petróleo. Coordina y ejecuta las actividades relacionadas con el estudio del estado de los pozos y yacimientos, con el fin de detectar posibles desviaciones de la situación real de los planes de producción y recomendar las correcciones necesarias.</t>
  </si>
  <si>
    <t xml:space="preserve">COSC61</t>
  </si>
  <si>
    <t xml:space="preserve">INGENIERO SERVICIOS TÉCNICOS  (CAMPO)</t>
  </si>
  <si>
    <t xml:space="preserve">Instala, configura, modifica y repara productos, equipamientos y sistemas que fueron recién adquiridos. Identifica y arregla problemas asociados al inicio del proyecto.</t>
  </si>
  <si>
    <t xml:space="preserve">Gerente Call Center</t>
  </si>
  <si>
    <t xml:space="preserve">COSC60</t>
  </si>
  <si>
    <t xml:space="preserve">JEFE CALL CENTER</t>
  </si>
  <si>
    <t xml:space="preserve">Coordina las actividades de relación con los clientes (productores y asegurados), buscando cumplir con los estándares de calidad establecidos por la organización. Mantiene el grupo de operadores constantemente actualizado con las modificaciones de productos y servicios, a través de programas de entrenamiento. Coordina el seguimiento de las solicitudes efectuadas por los productores y asegurados. Genera reportes referentes a las actividades de su área.</t>
  </si>
  <si>
    <t xml:space="preserve">LSMT61</t>
  </si>
  <si>
    <t xml:space="preserve">JEFE ALMACEN</t>
  </si>
  <si>
    <t xml:space="preserve">Coordinar las labores de recibo, almacenaje y entrega de los elementos.  Ofrecer un eficiente servicio de flujo de materiales y un claro control de inventarios, que indique la existencia disponible en todo momento.</t>
  </si>
  <si>
    <t xml:space="preserve">Jefe de producción / Jefe de compras</t>
  </si>
  <si>
    <t xml:space="preserve">LSMT62</t>
  </si>
  <si>
    <t xml:space="preserve">JEFE BODEGA PRODUCTO TERMINADO</t>
  </si>
  <si>
    <t xml:space="preserve">Dirigir, coordinar y controlar el proceso de almacenamiento y entrega de los productos terminados.</t>
  </si>
  <si>
    <t xml:space="preserve">LSMT63</t>
  </si>
  <si>
    <t xml:space="preserve">JEFE EMPAQUE</t>
  </si>
  <si>
    <t xml:space="preserve">Manejar y aplicar las normas técnicas para empaque en los procesos productivos.</t>
  </si>
  <si>
    <t xml:space="preserve">LSMT64</t>
  </si>
  <si>
    <t xml:space="preserve">JEFE MERCANCIAS</t>
  </si>
  <si>
    <t xml:space="preserve">Garantizar el buen funcionamiento de las entradas y salidas de mercancías, dirigiendo y animando un equipo de personas que realizará la recepción física y administrativa, etiquetaje y puesta a disposición del stock en tienda, responsabilizándote de la logística del flujo de mercancía y su almacenamiento.</t>
  </si>
  <si>
    <t xml:space="preserve">EDBS60</t>
  </si>
  <si>
    <t xml:space="preserve">COORDINADOR CULTURAL Y DEPORTIVO</t>
  </si>
  <si>
    <t xml:space="preserve">BIENESTAR </t>
  </si>
  <si>
    <t xml:space="preserve">Organizar y programar todas las actividades deportivas y culturales para los estudiantes, docentes y personal administrativos con el propósito de proporcionar un buen ambiente educativo y laboral.</t>
  </si>
  <si>
    <t xml:space="preserve">Director bienestar</t>
  </si>
  <si>
    <t xml:space="preserve">FNBI60</t>
  </si>
  <si>
    <t xml:space="preserve">JEFE COMERCIO EXTERIOR (SUCURSAL)</t>
  </si>
  <si>
    <t xml:space="preserve">BANCA INTERNACIONAL</t>
  </si>
  <si>
    <t xml:space="preserve">Responder por el trámite operativo de las negociaciones en moneda extranjera realizadas en una oficina. Coordinar, supervisar y controlar operaciones de giros, cobranzas, remesas y cartas de crédito.</t>
  </si>
  <si>
    <t xml:space="preserve">AUSC60</t>
  </si>
  <si>
    <t xml:space="preserve">COORDINADOR/JEFESERVICIOS/GARANTÍA</t>
  </si>
  <si>
    <t xml:space="preserve">Coordina los servicios de Post Venta y en el abastecimiento de partes al mercado con el objetivo de garantizar la satisfacción de los consumidores y concesionarios con un menor costo de garantía, mayor volumen y margen de ventas de autopartes.</t>
  </si>
  <si>
    <t xml:space="preserve">Gerente Servicios / garantía</t>
  </si>
  <si>
    <t xml:space="preserve">AAAU61</t>
  </si>
  <si>
    <t xml:space="preserve">AUDITOR</t>
  </si>
  <si>
    <t xml:space="preserve">Realiza auditorias operacionales y financieras. Prepara reportes en borrador de los hallazgos y las recomendaciones. Se requiere experiencia de dos a tres años en cargos afines. Reporta a: Auditor, Jefe de Auditoría Interna</t>
  </si>
  <si>
    <t xml:space="preserve">Jefe de auditoría / Auditor</t>
  </si>
  <si>
    <t xml:space="preserve">AAAU62</t>
  </si>
  <si>
    <t xml:space="preserve">AUDITOR SISTEMAS</t>
  </si>
  <si>
    <t xml:space="preserve">Evalúa los sistemas computacionales de manejo de la información de la empresa, para verificar que se apliquen dentro de las normas de control y seguridad establecidas por la empresa, y comprobar la calidad, oportunidad y eficiencia de los procesos realizados de los informes y productos obtenidos. Se requiere profesional con formación en Ingeniería de Sistemas, con una experiencia de aproximadamente 2-3 años en el área. Reporta a: Auditor, Contralor.</t>
  </si>
  <si>
    <t xml:space="preserve">Auditor/ Contralor.</t>
  </si>
  <si>
    <t xml:space="preserve">GHRL61</t>
  </si>
  <si>
    <t xml:space="preserve">ABOGADO</t>
  </si>
  <si>
    <t xml:space="preserve">Realizar los trámites legales, procesos y revisión de contratos de la empresa al igual que, emitir conceptos jurídicos en el ámbito de su especialidad.</t>
  </si>
  <si>
    <t xml:space="preserve">GHRL60</t>
  </si>
  <si>
    <t xml:space="preserve">REPRESENTANTE RELACIONES LABORALES</t>
  </si>
  <si>
    <t xml:space="preserve">Responsable de actividades relacionadas con asuntos laborales de la compañía, de acuerdo a los convenios / acuerdos establecidos previamente. Participa en el establecimiento de planes de acción o correctivos aplicables a asuntos laborales con base en los acuerdos establecidos.</t>
  </si>
  <si>
    <t xml:space="preserve">Jefe de relaciones laborales</t>
  </si>
  <si>
    <t xml:space="preserve">MAAA60</t>
  </si>
  <si>
    <t xml:space="preserve">INGENIERO MEDIO AMBIENTE PL.</t>
  </si>
  <si>
    <t xml:space="preserve">Responsable de asegurar que todos los procesos de la planta cumplen con los requerimientos y especificaciones de control ambiental tanto de agencias nacionales como internacionales. Coordina el control de emisiones y desechos tóxicos de cada proceso.</t>
  </si>
  <si>
    <t xml:space="preserve">Jefe/Coord/ Especialista Medio Ambiente</t>
  </si>
  <si>
    <t xml:space="preserve">MAGC60</t>
  </si>
  <si>
    <t xml:space="preserve">INGENIERO CALIDAD</t>
  </si>
  <si>
    <t xml:space="preserve">Responsable de los procesos de control de calidad, verificando los indicadores de calidad y buscando la excelencia, dando apoyo a Manufactura al igual que a la Gerencia de Calidad.</t>
  </si>
  <si>
    <t xml:space="preserve">Jefe control de calidad</t>
  </si>
  <si>
    <t xml:space="preserve">ATCN60</t>
  </si>
  <si>
    <t xml:space="preserve">CONSULTOR IT</t>
  </si>
  <si>
    <t xml:space="preserve">Como miembro del equipo de proyecto, proporciona apoyo analítico, llevando a cabo investigaciones y análisis de data para apoyar el análisis y conclusiones del equipo. Puede enfocar sus destrezas en una industria en particular. Tiene contacto diario con la comunidad del proyecto.</t>
  </si>
  <si>
    <t xml:space="preserve">ATVT60</t>
  </si>
  <si>
    <t xml:space="preserve">CONSULTOR PRE-VENTA (PRODUCTO/TÉCNICO)</t>
  </si>
  <si>
    <t xml:space="preserve">Posición profesional. Trabaja bajo supervisión limitada. Aplica y utiliza conocimientos profundos de la materia en cuestión. Requiere de la capacidad para entender las necesidades específicas de los clientes ó requerimientos técnicos para aplicar destreza comrcial.</t>
  </si>
  <si>
    <t xml:space="preserve">ESPEC./S Consultor contratos, licit y propuestas - Espec./ S</t>
  </si>
  <si>
    <t xml:space="preserve">ATIM60</t>
  </si>
  <si>
    <t xml:space="preserve">COORDINADOR IMPLEMENTACIÓN</t>
  </si>
  <si>
    <t xml:space="preserve">IMPLANTACION</t>
  </si>
  <si>
    <t xml:space="preserve">Responsable de coordinar las actividades de instalación y pruebas de los equipos en el campo, buscando satisfacer las necesidades de los clientes de acuerdo a los plazos, contratos y costos compatibles negociados. Se mantiene en contacto con los clientes.</t>
  </si>
  <si>
    <t xml:space="preserve">Jefe de Implantación</t>
  </si>
  <si>
    <t xml:space="preserve">ATIN60</t>
  </si>
  <si>
    <t xml:space="preserve">COORDINADOR TÉCNICO INTERCONEXIÓN</t>
  </si>
  <si>
    <t xml:space="preserve">INTERCONEXION</t>
  </si>
  <si>
    <t xml:space="preserve">Responsable por la coordinación de los proyectos integrados de interconexión, relacionados con la contratación de operadores se servicio telefónico, incluyendo la planificación técnica integrada.</t>
  </si>
  <si>
    <t xml:space="preserve">Gerente telecomuicaciones</t>
  </si>
  <si>
    <t xml:space="preserve">FQAQ60</t>
  </si>
  <si>
    <t xml:space="preserve">SUPERVISOR AGROPECUARIO</t>
  </si>
  <si>
    <t xml:space="preserve">Supervisar procesos de producción de productos agropecuarios como soluciones, vacunas y otros, verificando recursos e instalaciones, asegurando que se cumplan los plazos y las especificaciones.</t>
  </si>
  <si>
    <t xml:space="preserve">Gerente División agroquímica</t>
  </si>
  <si>
    <t xml:space="preserve">EDAD61</t>
  </si>
  <si>
    <t xml:space="preserve">ADMINISTRADOR PLANTA FISICA</t>
  </si>
  <si>
    <t xml:space="preserve">Coordinar las labores de mantenimiento de equipos e instalaciones, velando por la seguridad de los usuarios y el adecuado uso de los mismos.</t>
  </si>
  <si>
    <t xml:space="preserve">EDAD62</t>
  </si>
  <si>
    <t xml:space="preserve">COORDINADOR CORRESPONDENCIA</t>
  </si>
  <si>
    <t xml:space="preserve">Responder por la recepción y entrega oportuna de los documentos, tanto internos como externos.</t>
  </si>
  <si>
    <t xml:space="preserve">EDED60</t>
  </si>
  <si>
    <t xml:space="preserve">SECRETARIO ADMINISTRATIVO</t>
  </si>
  <si>
    <t xml:space="preserve">Responde por el cumplimiento de los procesos administrativos de la facultad a la cual se encuentre asignado.</t>
  </si>
  <si>
    <t xml:space="preserve">Gerente administrativo</t>
  </si>
  <si>
    <t xml:space="preserve">COAV60</t>
  </si>
  <si>
    <t xml:space="preserve">JEFEPLANEACION VENTAS</t>
  </si>
  <si>
    <t xml:space="preserve">Responsable de coordinar, analizar y verificar la disponibilidad de productos en la planta / fábrica, de acuerdo a los pedidos colocados por la fuerza de ventas. Funciona como un enlace entre producción y ventas y puede intervenir en la programación de la produccion.</t>
  </si>
  <si>
    <t xml:space="preserve">Jede de administración de ventas</t>
  </si>
  <si>
    <t xml:space="preserve">SGAT60</t>
  </si>
  <si>
    <t xml:space="preserve">ACTUARIO</t>
  </si>
  <si>
    <t xml:space="preserve">Genera la información estadística necesaria, acerca del comportamiento de la cartera y tarifas, en cada Unidad de Negocio, así como ejecuta modelos matemáticos actuariales para el cálculo y actualización de los productos de la unidad de negocio.</t>
  </si>
  <si>
    <t xml:space="preserve">
Jefe estudios actuariales /técnicos</t>
  </si>
  <si>
    <t xml:space="preserve">HTAL63</t>
  </si>
  <si>
    <t xml:space="preserve">CHEFF EJECUTIVO</t>
  </si>
  <si>
    <t xml:space="preserve">Programar, coordinar y supervisar las labores que sean necesarias para lograr una producción de  alta calidad, costo justo, con el fin de lograr una plena satisfacción de cada cliente y un rendimiento de la venta.</t>
  </si>
  <si>
    <t xml:space="preserve">MCPR60</t>
  </si>
  <si>
    <t xml:space="preserve">COORDINADOR COPRODUCCION Y ALIANZAS CONTENIDO</t>
  </si>
  <si>
    <t xml:space="preserve">Planear la propuesta  on line de nuevos productos. Mantener y supervisar el funcionamiento y los contenidos de dichos productos y la relación con los proveedores internos y externos.</t>
  </si>
  <si>
    <t xml:space="preserve">HEAD61</t>
  </si>
  <si>
    <t xml:space="preserve">COORDINADOR RELACIONES CON LA COMUNIDAD</t>
  </si>
  <si>
    <t xml:space="preserve">Procurar un ambiente adecuado entre la comunidad y la empresa apoyando, negociando y desarrollando planes que permitan realizar una gestión eficaz entre las compañías de carater particular o el estado.</t>
  </si>
  <si>
    <t xml:space="preserve">Gerente de proyectos hidrocarburos</t>
  </si>
  <si>
    <t xml:space="preserve">HTAL60</t>
  </si>
  <si>
    <t xml:space="preserve">Planea  y dirige el servicio de alimentos y bebidas, almacén, suministros y compras. Es responsables por el personal de área y la coordinación del montaje de eventos verificando los equipos y la comida. Supervisa las actividades de cocina, comedor y servicios generales. Responde por los menús para los eventos. Se requiere profesional en hotelería, más de 6 años de experiencia en el sector y muy buen manejo del inglés.</t>
  </si>
  <si>
    <t xml:space="preserve">CTAD62</t>
  </si>
  <si>
    <t xml:space="preserve">INGENIERO CONTROL DE COSTOS</t>
  </si>
  <si>
    <t xml:space="preserve">Controlar y hacer el seguimiento de los costos e indicadores de gestión y eficiencia de los proyectos, con el fin de entregar información en forma oportuna que permita alcanzar la propuesta de valor para los socios y la compañía.</t>
  </si>
  <si>
    <t xml:space="preserve">Gerente técnico - Construcciones</t>
  </si>
  <si>
    <t xml:space="preserve">HEGE65</t>
  </si>
  <si>
    <t xml:space="preserve">INGENIERO GEOLOGO</t>
  </si>
  <si>
    <t xml:space="preserve">Recomendar, supervisar y ejecutar planes exploratorios relacionados con la geología de superficie y la perforación de pozos. Buscar nuevas o futuras áreas de exploración para la empresa.</t>
  </si>
  <si>
    <t xml:space="preserve">HEAD60</t>
  </si>
  <si>
    <t xml:space="preserve">INGENIERO HSEQ</t>
  </si>
  <si>
    <t xml:space="preserve">Diseñar y organizar y controlar los sistemas de perforación y explotación del área de HSEQ con el fin de optimizar la productividad y la calidad en los procesos </t>
  </si>
  <si>
    <t xml:space="preserve">Director HSEQ</t>
  </si>
  <si>
    <t xml:space="preserve">De 2 -4 años</t>
  </si>
  <si>
    <t xml:space="preserve">HECT60</t>
  </si>
  <si>
    <t xml:space="preserve">INGENIERO INTERVENTOR</t>
  </si>
  <si>
    <t xml:space="preserve">Coordinar, supervisar, inspeccionar y programar la interventoría de los proyectos para garantizar la calidad de las obras y el cumplimiento de costos y plazos establecidos por la compañía.</t>
  </si>
  <si>
    <t xml:space="preserve">Jefe de construcciones civiles</t>
  </si>
  <si>
    <t xml:space="preserve">HEPE62</t>
  </si>
  <si>
    <t xml:space="preserve">INGENIERO PERFORACION SENIOR</t>
  </si>
  <si>
    <t xml:space="preserve">Preparar el programa de perforación de los pozos determinados por la compañía.</t>
  </si>
  <si>
    <t xml:space="preserve">HEPE63</t>
  </si>
  <si>
    <t xml:space="preserve">INGENIERO YACIMIENTOS</t>
  </si>
  <si>
    <t xml:space="preserve">Recomendar y supervisar estudios sobre comportamiento de yacimientos y de estimulación de pozos con el fin de mejorar el nivel de producción.</t>
  </si>
  <si>
    <t xml:space="preserve">Gerente de ingeniería</t>
  </si>
  <si>
    <t xml:space="preserve">HTRS60</t>
  </si>
  <si>
    <t xml:space="preserve">JEFE RECEPCION</t>
  </si>
  <si>
    <t xml:space="preserve">Dirigir y coordinar las actividades de Recepción, Consejería, teléfono y Botones, manteniendo un alto estándar de servicio y hospitalidad en todo momento.</t>
  </si>
  <si>
    <t xml:space="preserve">HTSV60</t>
  </si>
  <si>
    <t xml:space="preserve">JEFE SEGURIDAD HOTELERA</t>
  </si>
  <si>
    <t xml:space="preserve">Supervisar el servicio de seguridad y control para el beneficio del hotel y sus huéspedes, supervisando el personal a su cargo.</t>
  </si>
  <si>
    <t xml:space="preserve">Jefe de recursos humanos</t>
  </si>
  <si>
    <t xml:space="preserve">COVS72</t>
  </si>
  <si>
    <t xml:space="preserve">ANALISTA CUENTAS CLAVES</t>
  </si>
  <si>
    <t xml:space="preserve">PROFESIONAL / ANALISTA SR</t>
  </si>
  <si>
    <t xml:space="preserve">Establecer las relaciones con los principales clientes de la empresa, dirigir las negociaciones y realizar el seguimiento correspondiente, de acuerdo con las directrices establecidas por la gerencia.</t>
  </si>
  <si>
    <t xml:space="preserve">Gerente mercadeo</t>
  </si>
  <si>
    <t xml:space="preserve">COVS70</t>
  </si>
  <si>
    <t xml:space="preserve">EJECUTIVO VENTAS CLAVES</t>
  </si>
  <si>
    <t xml:space="preserve">Otros Nombres:  Representante de Ventas Senior, Ejecutivo de Cuenta. Responsable de llevar a cabo las ventas de la empresa directamente a clientes mayoristas, de productos de alta exigencia técnica y/o comercial. Atiende al público, suministrándole la información referente al producto o servicio, sus precios y forma de pago. Se requiere tener un conocimiento acorde con el tipo de producto y una experiencia mínima de 6 años; (Profesional). Reporta a: Gerente de Cuentas Claves, Gerente Nacional de Ventas.</t>
  </si>
  <si>
    <t xml:space="preserve">Gerente de Cuentas Claves /Gerente Nacional de Ventas.</t>
  </si>
  <si>
    <t xml:space="preserve">COVS74</t>
  </si>
  <si>
    <t xml:space="preserve">REPRESENTANTE VENTAS SENIOR</t>
  </si>
  <si>
    <t xml:space="preserve">Vender en forma directa los productos. Tomar los pedidos del cliente y en algunos casos hacer los cobros y recibir los pagos. Normalmente tiene a su cargo zonas o clientes de importancia y posee una sólida experiencia en ventas.                   </t>
  </si>
  <si>
    <t xml:space="preserve">Gerente de ventas / Supervisor de ventas</t>
  </si>
  <si>
    <t xml:space="preserve">COVS75</t>
  </si>
  <si>
    <t xml:space="preserve">SUPERVISOR VENTAS</t>
  </si>
  <si>
    <t xml:space="preserve">Responder por las ventas de su territorio, supervisa a los vendedores que tiene asignados. Mantiene contacto permanente con los clientes y los relaciona con los vendedores. Entrenar y la motivar al personal a su cargo. Es de su competencia viajar a verificar el cumplimiento de los programas de ventas.</t>
  </si>
  <si>
    <t xml:space="preserve">Gerente de ventas / Gerente de distrito</t>
  </si>
  <si>
    <t xml:space="preserve">COVS71</t>
  </si>
  <si>
    <t xml:space="preserve">VENDEDOR TECNICO</t>
  </si>
  <si>
    <t xml:space="preserve">Responsable para el seguimiento y control del desarrollo de negocios y de servicios, actividades de comercialización de productos. Análisis de los clientes, licitaciones, especificaciones para la evaluación de la participación de la empresa, así como elabora las propuestas y asesora técnicamente. Ingeniero con 3 años de experiencia comercial.</t>
  </si>
  <si>
    <t xml:space="preserve">Jefe de ventas</t>
  </si>
  <si>
    <t xml:space="preserve">FQVM70</t>
  </si>
  <si>
    <t xml:space="preserve">VISITADOR MEDICO</t>
  </si>
  <si>
    <t xml:space="preserve">Realizar la promoción y venta de los productos de la empresa mediante la presentación de las características de los productos y entrega de las muestras respectivas ante clientes potenciales (clínicas, hospitales, consultorios médicos, farmacias e instituciones gubernamentales).</t>
  </si>
  <si>
    <t xml:space="preserve">CMCM70</t>
  </si>
  <si>
    <t xml:space="preserve">ADMINISTRADOR DROGUERÍA</t>
  </si>
  <si>
    <t xml:space="preserve">CONSUMO</t>
  </si>
  <si>
    <t xml:space="preserve">Controla la dosificación apropiada de las formulas; provee las formulas médicas a clientes ó personal médico y colabora en los usos y efectos de la medicación, sus incompatibilidades con otros medicamentos y las contraindicaciones del medicamento; Supervisa y Coordina las actividades de otras personas que laboran en la farmacia; lleva registros de las fórmulas de drogas controladas. Reporta a: Jefe Distrito</t>
  </si>
  <si>
    <t xml:space="preserve">Jefe de Distrito</t>
  </si>
  <si>
    <t xml:space="preserve">CMCM72</t>
  </si>
  <si>
    <t xml:space="preserve">ADMINISTRADOR SUPERMERCADO</t>
  </si>
  <si>
    <t xml:space="preserve">Otros Nombres: Administrador de Almacén, Administrador de Sucursal. Es Responsable por la Administración, control y dirección General del supermercado o sucursal, cubriendo tanto la gestión comercial como la del personal interno; el cargo es desempeñado por un profesional en las áreas administrativas económicas con una experiencia superior a 4 años. Reporta a: Jefe Distrito</t>
  </si>
  <si>
    <t xml:space="preserve">CMVT70</t>
  </si>
  <si>
    <t xml:space="preserve">ANALISTA TRADE MKARKETING</t>
  </si>
  <si>
    <t xml:space="preserve">Responsable de ayudar al área Trader Marketing a establecer la estrategia de marketing para minoristas y cuentas clave. Apoya a la gestión de los organismos de comercialización para ser más eficaces. Profesional Comercial con 2 años de experiencia. </t>
  </si>
  <si>
    <t xml:space="preserve">Jefe trade Marketing</t>
  </si>
  <si>
    <t xml:space="preserve">FNTM70</t>
  </si>
  <si>
    <t xml:space="preserve">ANALISTA FIDEICOMISOS</t>
  </si>
  <si>
    <t xml:space="preserve">Analiza la documentación referente a la formalización de fideicomisos de la Institución, buscando asegurar que las mismas se encuadren dentro de las normas y procedimientos, legislación vigente, buscando la seguridad. Apoya a las áreas de negocios de fideicomiso.</t>
  </si>
  <si>
    <t xml:space="preserve">Jefe Fideicomisos</t>
  </si>
  <si>
    <t xml:space="preserve">FNTM71</t>
  </si>
  <si>
    <t xml:space="preserve">ANALISTA OPERACIONES COMERCIO EXTERIOR</t>
  </si>
  <si>
    <t xml:space="preserve">Analiza la documentación referente a la formalización de operaciones activas y pasivas de la Institución, buscando asegurar que las mismas se encuadren dentro de las normas y procedimientos, legislación vigente, buscando la seguridad del banco. Apoya a las áreas de negocios de la empresa, con relación a los aspectos burocráticos de la efectivización de las operaciones. Procesa, registra, controla y liquida las operaciones activas y pasivas.</t>
  </si>
  <si>
    <t xml:space="preserve">Jefe operaciones Comercio Exterior</t>
  </si>
  <si>
    <t xml:space="preserve">FITS70</t>
  </si>
  <si>
    <t xml:space="preserve">ANALISTA TESORERIA</t>
  </si>
  <si>
    <t xml:space="preserve">Manejar del portafolio de inversión y los reportes estadísticos con el fin de garantizar la toma de decisiones y cumplir con los requerimientos de ley.</t>
  </si>
  <si>
    <t xml:space="preserve">Jefe - director de tesorería</t>
  </si>
  <si>
    <t xml:space="preserve">FNTM72</t>
  </si>
  <si>
    <t xml:space="preserve">TRADER </t>
  </si>
  <si>
    <t xml:space="preserve">Realiza la compra y venta de moneda local y monedas extrajeras, de pesos contra dólares u otras monedas, que afecten la posición del banco; maneja niveles razonables de riesgos de moneda, liquidez y tasa de interés para generar utilidades a la entidad. Invierte a corto y largo plazo según los requerimientos indicados o disponibilidades de recursos, y cubrir a la entidad en los requerimientos de encaje. Se requiere Profesional con 1-2 años de experiencia.</t>
  </si>
  <si>
    <t xml:space="preserve">FNTM73</t>
  </si>
  <si>
    <t xml:space="preserve">TRADER CUENTAS CLAVES</t>
  </si>
  <si>
    <t xml:space="preserve">Realiza la compra y venta de moneda local y monedas extrajeras, de pesos contra dólares u otras monedas, que afecten la posición del banco; maneja niveles razonables de riesgos de moneda, liquidez y tasa de interés para generar utilidades a la entidad. Invierte a corto y largo plazo según los requerimientos indicados o disponibilidades de recursos, y cubrir a la entidad en los requerimientos de encaje. Se requiere Profesional con 2-3 años de experiencia.</t>
  </si>
  <si>
    <t xml:space="preserve">COSC73</t>
  </si>
  <si>
    <t xml:space="preserve">OPER. TELEMARKETING - ACTIVO</t>
  </si>
  <si>
    <t xml:space="preserve">Busca nuevos clientes, a través del contacto telefónico, ofreciendo productos y servicios prestados por la empresa, de acuerdo con la política y programación de marketing preestablecida.</t>
  </si>
  <si>
    <t xml:space="preserve">TIWE70</t>
  </si>
  <si>
    <t xml:space="preserve">DISEÑADOR WEB</t>
  </si>
  <si>
    <t xml:space="preserve">Responsable por la definición de las páginas web. Desarrollar las soluciones tecnológicas adecuadas con el fin de integrar las demandas del área técnica con aquellas del área creativa para lograr la conveniente organización, presentación y navegabilidad.</t>
  </si>
  <si>
    <t xml:space="preserve">TIWE71</t>
  </si>
  <si>
    <t xml:space="preserve">EDITOR WEB</t>
  </si>
  <si>
    <t xml:space="preserve">Coordinar las coproducciones y alianzas generadas. Revisar los contenidos de los nuevos productos de acuerdo con la línea editorial de la empresa.</t>
  </si>
  <si>
    <t xml:space="preserve">Web máster</t>
  </si>
  <si>
    <t xml:space="preserve">SGTC71</t>
  </si>
  <si>
    <t xml:space="preserve">ANALISTA SSR TECNICO</t>
  </si>
  <si>
    <t xml:space="preserve">Realiza los estudios de medición de riesgos a suscribir en los diversos ramos a nivel nacional, con la finalidad de garantizar un resultado técnico positivo y mantener un crecimiento sostenido de la cartera, de acuerdo a las condiciones de coberturas definidas en las pólizas y precios del mercado, en cumplimiento a las políticas, normas y procedimientos de la organización.</t>
  </si>
  <si>
    <t xml:space="preserve">Coordinador técnico</t>
  </si>
  <si>
    <t xml:space="preserve">SGSC70</t>
  </si>
  <si>
    <t xml:space="preserve">ANALISTA SUSCRIPCIÓN  (CUALQUIER RAMO)</t>
  </si>
  <si>
    <t xml:space="preserve">Participar en el analisis del proceso de emisión de los ramos automóvil, salud y patrimonial, en relación a las cuentas especiales, colectivos, individuales, etc, en consonancia con las condicionados de las pólizas, a fin de controlar la siniestralidad, desde la emisión y ofrecer una respuesta oportuna a los asegurados.</t>
  </si>
  <si>
    <t xml:space="preserve">Coordinador de Suscripción / Jefe unidad de Suscripción</t>
  </si>
  <si>
    <t xml:space="preserve">TIST72</t>
  </si>
  <si>
    <t xml:space="preserve">ANALISTA SOPORTE - TI</t>
  </si>
  <si>
    <t xml:space="preserve">Responsable de planear la capacidad y actualizar el hardware de los sistemas interactivos, sistemas de redes y sistemas operativos para diferentes ambientes. Interactúa con otras áreas de la compañía para resolver problemas, estandarizar y mejorar la eficiencia.</t>
  </si>
  <si>
    <t xml:space="preserve">Ingeniero soporte técnico</t>
  </si>
  <si>
    <t xml:space="preserve">TIST70</t>
  </si>
  <si>
    <t xml:space="preserve">ASISTENTE HELP DESK</t>
  </si>
  <si>
    <t xml:space="preserve">Atiende los cuestionamientos por teléfono de los clientes para aclarar, orientar y dirigir los problemas detectados. Este cargo puede ser desempeñado por un estudiante sin experiencia. Reporta a: Supervisor Help Desk.</t>
  </si>
  <si>
    <t xml:space="preserve">Supervisor Help Desk / Jefe de soporte técnico</t>
  </si>
  <si>
    <t xml:space="preserve">TIST71</t>
  </si>
  <si>
    <t xml:space="preserve">TÉCNICO TRANSMISIÓN DATOS Y VOZ</t>
  </si>
  <si>
    <t xml:space="preserve">Supervisa e inspecciona el volumen y flujo de tráfico de las telecomunicaciones en la transmisión de datos y voz; resuelve problemas y asegura la eficiencia del sistema. Se requiere Técnico, Ingeniero de Sistemas, Ingeniero Electrónico o profesiones afines con experiencia mínima de 1 año. Reporta a: Director de Transmisión de Datos.</t>
  </si>
  <si>
    <t xml:space="preserve">Director de Transmisión de Datos.</t>
  </si>
  <si>
    <t xml:space="preserve">EDCL70</t>
  </si>
  <si>
    <t xml:space="preserve">PROFESOR COLEGIO</t>
  </si>
  <si>
    <t xml:space="preserve">Planear y ejecutar las asignaturas correspondientes, contribuir a la formación integral de las alumnas a su cargo, atender a padres de familia, evaluar a las alumnas según las políticas de evaluación y liderar los proyectos.
Reporta a Rector de Colegio</t>
  </si>
  <si>
    <t xml:space="preserve">Rector colegio</t>
  </si>
  <si>
    <t xml:space="preserve">EDPF72</t>
  </si>
  <si>
    <t xml:space="preserve">PROFESOR HORA CÁTEDRA</t>
  </si>
  <si>
    <t xml:space="preserve">Cumple con labores docentes y asistenciales, asesora tesis, revisa programas académicos; Efectúa el montaje y desarrollo de programas de actualización y postgrados  Profesional con 2 años de experiencia en el área.</t>
  </si>
  <si>
    <t xml:space="preserve">EDPF70</t>
  </si>
  <si>
    <t xml:space="preserve">PROFESOR POSTGRADO HORA CÁTEDRA</t>
  </si>
  <si>
    <t xml:space="preserve">Realiza docencia y funciones especiales tales como la coordinación de un área especifica, coordinación de estudiantes, coordinación de laboratorios, la jefatura de sección, administración docente.</t>
  </si>
  <si>
    <t xml:space="preserve">EDPF71</t>
  </si>
  <si>
    <t xml:space="preserve">PROFESOR POSTGRADO TIEMPO COMPLETO</t>
  </si>
  <si>
    <t xml:space="preserve">EDPF73</t>
  </si>
  <si>
    <t xml:space="preserve">PROFESOR TIEMPO COMPLETO</t>
  </si>
  <si>
    <t xml:space="preserve">COSC72</t>
  </si>
  <si>
    <t xml:space="preserve">ANALISTA SERVICIOS AL CLIENTE</t>
  </si>
  <si>
    <t xml:space="preserve">Responsable por actividades directas de servicios al cliente, dando apoyo y proporcionando soluciones a problemas de complejidad medio de los clientes internos / externos. Interactúa con otros colaboradores y proveedores, en la solución de problemas de los clientes.</t>
  </si>
  <si>
    <t xml:space="preserve">Jefe servicio al cliente</t>
  </si>
  <si>
    <t xml:space="preserve">GHSE70</t>
  </si>
  <si>
    <t xml:space="preserve">ANALISTA RECLUTAMIENTO Y SELECCIÓN</t>
  </si>
  <si>
    <t xml:space="preserve">Conduce el proceso de reclutamiento y selección, enumerando a los mejores candidatos y coordinando las entrevistas necesarias.</t>
  </si>
  <si>
    <t xml:space="preserve"> Coordinador / Espec / Jefe Reclutamiento y Selección</t>
  </si>
  <si>
    <t xml:space="preserve">FISR71</t>
  </si>
  <si>
    <t xml:space="preserve">ANALISTAS  SEGUROS</t>
  </si>
  <si>
    <t xml:space="preserve">Responsable de cotizar los seguros de la compañía según se requiera y analizar los elementos de la póliza de seguros. Verifica la cotización que presente el mejor costo y cobertura, negociando los elementos de la póliza de seguros.</t>
  </si>
  <si>
    <t xml:space="preserve">Jefe seguros</t>
  </si>
  <si>
    <t xml:space="preserve">TISS70</t>
  </si>
  <si>
    <t xml:space="preserve">ANALISTA SEGURIDAD SISTEMAS</t>
  </si>
  <si>
    <t xml:space="preserve">Participa en las actividades relacionadas con la seguridad de los sistemas y del sitio de Internet, protegiéndolos del acceso de hackers que pudieran afectar las operaciones de la compañía.</t>
  </si>
  <si>
    <t xml:space="preserve">Jefe Seguridad sistemas</t>
  </si>
  <si>
    <t xml:space="preserve">GHBS71</t>
  </si>
  <si>
    <t xml:space="preserve">ASISTENTE SALUD OCUPACIONAL</t>
  </si>
  <si>
    <t xml:space="preserve">Otros Nombres: Técnico en Salud Ocupacional. Colabora en el cumplimiento de los diversos programas de seguridad industrial y salud ocupacional. Desarrolla programas de entrenamiento en seguridad industrial a la brigada interna; evalúa factores de riesgo y hace parte del Comité Paritario de Salud Ocupacional. Colabora en  prevención de accidentes y enfermedades profesionales; verifica los diferentes recursos y equipos utilizados para la prevención de emergencias. Se requiere un Técnico en Salud Ocupacional, preferiblemente con una experiencia de un año. Reporta a: Jefe de Salud Ocupacional, Jefe de Gestión Humana, Jefe de Personal.</t>
  </si>
  <si>
    <t xml:space="preserve"> Jefe de Salud Ocupacional/ Jefe de Gestión Humana/ Jefe de Personal.</t>
  </si>
  <si>
    <t xml:space="preserve">GHBS72</t>
  </si>
  <si>
    <t xml:space="preserve">SUPERVISOR SEGURIDAD INDUSTRIAL/ SALUD OCUPACIONAL</t>
  </si>
  <si>
    <t xml:space="preserve">Velar por el cumplimiento de los diversos programas de seguridad industrial.  Estudiar cada una de las actividades en la producción y explotación con el fin de evaluar riesgos, así como participar activamente en los comités de seguridad industrial y riesgos profesionales.</t>
  </si>
  <si>
    <t xml:space="preserve">Superintendente</t>
  </si>
  <si>
    <t xml:space="preserve">TXCT70</t>
  </si>
  <si>
    <t xml:space="preserve">COORDINADOR DE CORTE</t>
  </si>
  <si>
    <t xml:space="preserve">CORTE</t>
  </si>
  <si>
    <t xml:space="preserve">Coordinar, controlar y dirigir el conjunto de operaciones de trazado, corte y numeración de acuerdo a los requerimientos de producción para entregar adecuadamente las piezas cortadas para el ensamble.</t>
  </si>
  <si>
    <t xml:space="preserve">Diseñadora de modas</t>
  </si>
  <si>
    <t xml:space="preserve">AGAG70</t>
  </si>
  <si>
    <t xml:space="preserve">SUPERVISOR CAMPO</t>
  </si>
  <si>
    <t xml:space="preserve">Supervisar y controlar el proceso de campo como fumigación, riego y fertilización, el consumo y suministro de las diferentes aguas; verificar el mantenimiento de las tuberías, zanjas y bombas en el campo para garantizar la ejecución de los procesos necesarios para tener un producto de excelente calidad.</t>
  </si>
  <si>
    <t xml:space="preserve">Gerente de cultivo</t>
  </si>
  <si>
    <t xml:space="preserve">AGAG71</t>
  </si>
  <si>
    <t xml:space="preserve">SUPERVISOR CULTIVO</t>
  </si>
  <si>
    <t xml:space="preserve">Supervisar, registrar y controlar el proceso productivo de la localidad a cargo, para garantizar la calidad y cantidad oportuna de la producción del producto agrícola, de acuerdo a las especificaciones y necesidades de los clientes. Agrónomo con experiencia de 3 a 5 años</t>
  </si>
  <si>
    <t xml:space="preserve">AGAG72</t>
  </si>
  <si>
    <t xml:space="preserve">SUPERVISOR RIEGO</t>
  </si>
  <si>
    <t xml:space="preserve">Supervisar y controlar el proceso de riego hidrico de los campo; verificar el mantenimiento de las tuberías, zanjas y bombas en el campo para garantizar la ejecución de los procesos necesarios para permitir la labor de cultivo.</t>
  </si>
  <si>
    <t xml:space="preserve">ADSC70</t>
  </si>
  <si>
    <t xml:space="preserve">SECRETARIA EJECUTIVA PRESIDENCIA</t>
  </si>
  <si>
    <t xml:space="preserve">SECRETARIAS</t>
  </si>
  <si>
    <t xml:space="preserve">Asistir al primer nivel de la escala organizacional, canalizar las comunicaciones, preparar en forma personal y directa la correspondencia rutinaria, tomar dictados, preparar cartas e informes y organizar el archivo privado , guardando confidencialidad en el manejo de información. </t>
  </si>
  <si>
    <t xml:space="preserve">SLEF70</t>
  </si>
  <si>
    <t xml:space="preserve">ENFERMERA</t>
  </si>
  <si>
    <t xml:space="preserve">Colaborar en todo lo que el médico y paciente requieran durante la consulta y mantiene los elementos e instrumental completo, aseado y desinfectado en los consultorios, salas de procedimiento y observación.</t>
  </si>
  <si>
    <t xml:space="preserve">Enfermera jefe</t>
  </si>
  <si>
    <t xml:space="preserve">SLPS70</t>
  </si>
  <si>
    <t xml:space="preserve">PSICÓLOGO CLÍNICO</t>
  </si>
  <si>
    <t xml:space="preserve">Realiza labores de psicología clínica; evalúa y diagnostica a pacientes que puedan presentar patologías que comprometen total o parcialmente el funcionamiento de una o varias áreas de desarrollo. Realiza tratamientos individuales a pacientes internos y externos; asesora a los familiares del paciente en su manejo adecuado. El cargo es desempeñado por un profesional graduado en psicología, con 2 años de experiencia.</t>
  </si>
  <si>
    <t xml:space="preserve">SLRX70</t>
  </si>
  <si>
    <t xml:space="preserve">TÉCNICO RAYOS X</t>
  </si>
  <si>
    <t xml:space="preserve">RADIOLOGIA</t>
  </si>
  <si>
    <t xml:space="preserve">Colabora con el radiólogo en estudios especiales; toma todo tipo de placas y suministra preparaciones a los pacientes para estudios especializados; lleva estadísticas o diligencia los formularios preestablecidos de éstas para informar sobre el movimiento de pacientes por el servicio; maneja equipo portátil, para llevarlo al servicio en el que sea solicitado. Para desempeñar el cargo se requiere estar certificado como técnico de radiología.</t>
  </si>
  <si>
    <t xml:space="preserve">Radiologo</t>
  </si>
  <si>
    <t xml:space="preserve">SLTR70</t>
  </si>
  <si>
    <t xml:space="preserve">TÉCNICO TERAPIA OCUPACIONAL</t>
  </si>
  <si>
    <t xml:space="preserve">TERAPIA</t>
  </si>
  <si>
    <t xml:space="preserve">Valora las facultades físicas de los pacientes mediante pruebas de habilidad funcional. Planea y dirige programas de fisioterapia; implementa ejercicios terapéuticos, así como masajes, equipo electro – terapéutico ó mecánico y la hidroterapia; lleva registros clínicos y estadísticos; puede conducir investigaciones en fisioterapia.</t>
  </si>
  <si>
    <t xml:space="preserve">Fisioterapeuta</t>
  </si>
  <si>
    <t xml:space="preserve">SGRI70</t>
  </si>
  <si>
    <t xml:space="preserve">ANALISTA SR PREVENCIÓN</t>
  </si>
  <si>
    <t xml:space="preserve">Responde por la elaboración de reportes técnicos de los riesgos a ser asegurados, valiéndose de dimensiones de plantas, equipamientos, recomendaciones y fotografias. Hace las inspecciones técnicas de los diversos rubros, como riesgos civiles (condominios, vehículos, residencias, exposiciones, obras de arte, etc.) riesgos diversos (inundación, desmoronamiento, equipamientos, mercaderías, etc.) incendio, robo, vidrios, tumultos, riesgo de ingeniería (construcciones), etc., elaborando certificados técnicos específicos. Elabora procesos de descuentos (instalación de extintores, hidrantes, reorganización de mercaderías, obras, etc.), analizando detalles de cada rubro, aprobando su viabilidad, pudiendo además sugerir la modificación de las plantas, nuevos seguros, reducir tasas, recomendar sobre la seguridad del riesgo y de nuevos valores de cobertura. Mantiene contacto con los productores y asegurados, proveyendo detalles sobre el status de las inspecciones efectuadas.</t>
  </si>
  <si>
    <t xml:space="preserve">Jefe Prevención</t>
  </si>
  <si>
    <t xml:space="preserve">FISR70</t>
  </si>
  <si>
    <t xml:space="preserve">ANALISTA RIESGOS</t>
  </si>
  <si>
    <t xml:space="preserve">Apoya y coordina actividades y gestiones relacionadas a la administración, control y prevención del riesgo, velando por el cumplimiento de las normas y los parámetros establecidos. Asiste en la preparación de análisis, para el sector de riesgo asignado. Mide permanentemente los riesgos que afecten el valor del portafolio de crédito. Vigila la suficiencia de reservas y provisiones. Revisa constantemente los planes de contingencia. </t>
  </si>
  <si>
    <t xml:space="preserve">Jede de Riesgos</t>
  </si>
  <si>
    <t xml:space="preserve">LSAR70</t>
  </si>
  <si>
    <t xml:space="preserve">ANALISTA REGULACIÓN Y REGISTRO</t>
  </si>
  <si>
    <t xml:space="preserve">Apoya el área en los procesos de calificación y certificación de productos con las agencias regulatorias del gobierno. Este cargo es desempeñado por un profesional con una experiencia de 2 años y que hable un segundo idioma. Reporta a: Jefe de Regulación y Registro</t>
  </si>
  <si>
    <t xml:space="preserve">Coordinador regulatorio</t>
  </si>
  <si>
    <t xml:space="preserve">GHGN70</t>
  </si>
  <si>
    <t xml:space="preserve">ANALISTA RECURSOS HUMANOS (GENERALISTA)</t>
  </si>
  <si>
    <t xml:space="preserve">Responsable de implementar los procesos de Recursos Humanos, proporcionando soluciones para las necesidades de los clientes internos, tomando en cuenta las políticas corporativas de Entrenamiento y Desarrollo, Remuneración, Reclutamiento y Selección, etc.</t>
  </si>
  <si>
    <t xml:space="preserve">Jefe gestión humana /personal</t>
  </si>
  <si>
    <t xml:space="preserve">SGSN70</t>
  </si>
  <si>
    <t xml:space="preserve">ANALISTA SINIESTROS</t>
  </si>
  <si>
    <t xml:space="preserve">Analizar casos del proceso de siniestros de cualquier ramo, a fin que se cumpla con las disposiciones legales y ofrecer una adecuada atención a los asegurados.por el cumplimiento de las normas y los parámetros establecidos. </t>
  </si>
  <si>
    <t xml:space="preserve">Jefe Depto Siniestro</t>
  </si>
  <si>
    <t xml:space="preserve">SGRE71</t>
  </si>
  <si>
    <t xml:space="preserve">ANALISTA REASEGURO</t>
  </si>
  <si>
    <t xml:space="preserve">Analiza la gestión administrativa del área de Reaseguros, con la finalidad de velar que se cumplan las condiciones establecidas en los contratos, así como garantizar el registro contable en forma correcta de las partidas que conforman los estados de cuenta de los reaseguradores, en cumplimiento con las políticas, normas y procedimientos legales y contables. </t>
  </si>
  <si>
    <t xml:space="preserve">Jefe reaseguros</t>
  </si>
  <si>
    <t xml:space="preserve">SGRI71</t>
  </si>
  <si>
    <t xml:space="preserve">INSPECTOR RIESGOS</t>
  </si>
  <si>
    <t xml:space="preserve">Realiza y documenta las inspecciones de evaluación de riesgo, en industrias, locales comerciales y maquinarias, entre otros elementos, con la finalidad de conocer las posibilidades de cobertura del bien a asegurar y recomendar la póliza más beneficiosa, tanto para el cliente como para la empresa.   </t>
  </si>
  <si>
    <t xml:space="preserve">Jefe de Riesgos</t>
  </si>
  <si>
    <t xml:space="preserve">SGRE70</t>
  </si>
  <si>
    <t xml:space="preserve">ANALISTA ADMINISTRATIVO REASEGURO</t>
  </si>
  <si>
    <t xml:space="preserve">FNPM70</t>
  </si>
  <si>
    <t xml:space="preserve">GESTOR CUENTA PYME</t>
  </si>
  <si>
    <t xml:space="preserve">Responder por el cumplimiento de presupuesto asignado del segmento pyme, promoviendo y ejecutando negocios financieros. El cargo es desarrollado por un profesional con experiencia mínima de 4 a 6 años.</t>
  </si>
  <si>
    <t xml:space="preserve">Jefe Segmento Pyme</t>
  </si>
  <si>
    <t xml:space="preserve">MKPB70</t>
  </si>
  <si>
    <t xml:space="preserve">ANALISTA PUBLICIDAD</t>
  </si>
  <si>
    <t xml:space="preserve">Coordina el desarrollo y la difusión de campañas publicitarias para los clientes. Analiza su impacto y la información obtenida por el área de mercadeo para el desarrollo de nuevas campañas. Se requiere capacitación tecnológica o profesional en mercadeo y ventas o publicidad, y experiencia de 2-3 años. Reporta a: Jefe de Publicidad.</t>
  </si>
  <si>
    <t xml:space="preserve">Jefe Publicidad</t>
  </si>
  <si>
    <t xml:space="preserve">MKPB71</t>
  </si>
  <si>
    <t xml:space="preserve">CREATIVO</t>
  </si>
  <si>
    <t xml:space="preserve">Crear nuevos conceptos en diseño para impresos y manejar programas de diagramación. </t>
  </si>
  <si>
    <t xml:space="preserve">Jefe / Coordinador / espec. Publicidad</t>
  </si>
  <si>
    <t xml:space="preserve">MKPB72</t>
  </si>
  <si>
    <t xml:space="preserve">DISEÑADOR GRÁFICO</t>
  </si>
  <si>
    <t xml:space="preserve">Responder por la diagramación en todo lo relacionado con los medios impresos; se encarga de la distribución adecuada de colores, espacios, figuras, etc. Manejar programas específicos de creación de diseños y sistemas.</t>
  </si>
  <si>
    <t xml:space="preserve">TIPE71</t>
  </si>
  <si>
    <t xml:space="preserve">ANALISTA NEGOCIOS - ERP</t>
  </si>
  <si>
    <t xml:space="preserve">Responsable de analizar los diferentes sistemas de negocios de la compañía (financieros, logísticos, producción, recursos humanos, etc.) y de automatizarlos a través de un sistema ERP proporcionado por un tercero (SAP, People Soft, Oracle, etc.), convirtiendo en oportunidades de solucion.</t>
  </si>
  <si>
    <t xml:space="preserve">Jefe Proyectos sistemas</t>
  </si>
  <si>
    <t xml:space="preserve">TIPE72</t>
  </si>
  <si>
    <t xml:space="preserve">ANALISTA NEGOCIOS - TI</t>
  </si>
  <si>
    <t xml:space="preserve">Responsable de la identificación de las necesidades de las diferentes áreas en la compañía, que pueden ser satisfechas a través de sistemas de computación, manteniendo el enlace entre la función de TI y las demás áreas, generalmente al nivel de gerencia media.</t>
  </si>
  <si>
    <t xml:space="preserve">Jee proyectos sistemas</t>
  </si>
  <si>
    <t xml:space="preserve">TIPE70</t>
  </si>
  <si>
    <t xml:space="preserve">ASISTENTE PROYECTOS SISTEMAS</t>
  </si>
  <si>
    <t xml:space="preserve">Apoya en la coordinación de las actividades de implementación y seguimiento de proyectos. Revisa que los proyectos se implementen de acuerdo a los costos y márgenes previamente establecidos y dentro de los plazos negociados con el cliente. El cargo es desempeñado por un profesional con una experiencia de 1 año en cargos afines. Reporta a: Gerente de Proyectos de Sistemas, Director de Proyectos de Sistemas.</t>
  </si>
  <si>
    <t xml:space="preserve">ADPR70</t>
  </si>
  <si>
    <t xml:space="preserve">ANALISTA PROYECTOS</t>
  </si>
  <si>
    <t xml:space="preserve">Plantear e implementar mejoras en los procesos para la optimización de los recursos, mejorar la productividad y reducir costos.</t>
  </si>
  <si>
    <t xml:space="preserve">Jefe de Proyectos</t>
  </si>
  <si>
    <t xml:space="preserve">MAPR70</t>
  </si>
  <si>
    <t xml:space="preserve">ANALISTA PRODUCCION</t>
  </si>
  <si>
    <t xml:space="preserve">Programa y solicita materiales e insumos. Prepara informes de producción. Mantiene al día los estudios de costos de producción de cada una de las mercancías que se producen en la compañía. Recomienda medidas para mejorar la productividad de los procesos y la calidad del producto. Coordina y programa las actividades (turnos) de los trabajadores. Se requiere por un Profesional en Ingeniería o Administración, con una experiencia de 1-2 años.Reporta a: Jefe de Planeación de la Producción, Jefe de Producción, Jefe de Planta.</t>
  </si>
  <si>
    <t xml:space="preserve">Jefe de Producción</t>
  </si>
  <si>
    <t xml:space="preserve">MAPR71</t>
  </si>
  <si>
    <t xml:space="preserve">SUPERVISOR PRODUCCION</t>
  </si>
  <si>
    <t xml:space="preserve">Supervisar, coordinar y controlar cada una de las líneas de producción para que éstas cumplan con las normas de calidad establecidas.</t>
  </si>
  <si>
    <t xml:space="preserve">FNOP63</t>
  </si>
  <si>
    <t xml:space="preserve">ANALISTA PROCESOS</t>
  </si>
  <si>
    <t xml:space="preserve">Jefe de Procesos</t>
  </si>
  <si>
    <t xml:space="preserve">EDFI71</t>
  </si>
  <si>
    <t xml:space="preserve">ANALISTA PRESUPUESTO</t>
  </si>
  <si>
    <t xml:space="preserve">Suministrar de forma oportuna a cada dependencia los informes presupuestales. </t>
  </si>
  <si>
    <t xml:space="preserve">Jefe presupuesto</t>
  </si>
  <si>
    <t xml:space="preserve">FIPS70</t>
  </si>
  <si>
    <t xml:space="preserve">ANALISTA PRESUPUESTOS</t>
  </si>
  <si>
    <t xml:space="preserve">Responsable de las actividades relacionadas con la preparación y análisis de la planeación de ingresos y egresos de la compañía, compilación de la información, preparación y emisión de reportes estadísticos para la comparación entre la situación actual y vigencias futuras.</t>
  </si>
  <si>
    <t xml:space="preserve">Jefe Presupuesto</t>
  </si>
  <si>
    <t xml:space="preserve">MAPP70</t>
  </si>
  <si>
    <t xml:space="preserve">ANALISTA PLANIFICACIÓN Y CONTROL PL.</t>
  </si>
  <si>
    <t xml:space="preserve">Prepara programas detallados de producción de acuerdo a los volúmenes requeridos, la capacidad de la planta y la disponibilidad de materiales. Controla las cifras reales de producción y prepara ajustes a los programas cuando sea necesario.</t>
  </si>
  <si>
    <t xml:space="preserve">LSPL70</t>
  </si>
  <si>
    <t xml:space="preserve">ANALISTA PLANEACION LOGÍSTICA</t>
  </si>
  <si>
    <t xml:space="preserve">Responsable de identificar mejoras a los procesos de logística, tales como calcular los niveles adecuados de inventarios, definir las rutas óptimas de transportación, etc. Analiza y mejora los procesos internos y externos para cumplir con los objetivos de almacenaje y logistica.</t>
  </si>
  <si>
    <t xml:space="preserve">Coordinador planeación logística</t>
  </si>
  <si>
    <t xml:space="preserve">FIPC70</t>
  </si>
  <si>
    <t xml:space="preserve">ANALISTA PLANEACIÓN FINANCIERA</t>
  </si>
  <si>
    <t xml:space="preserve">Reúne y analiza la información financiera sobre costos, precios, gastos e ingresos. Desarrolla un análisis sencillo de los indicadores económicos para poder preparar pronósticos, apoyando las necesidades de la Planeación Financiera. Se requiere Profesional de 2-3 años de experiencia. Reporta a: Jefe de Planeación Financiera</t>
  </si>
  <si>
    <t xml:space="preserve">
Coordinador / Espec/ jefeplaneación/anal. finanaciera</t>
  </si>
  <si>
    <t xml:space="preserve">SGSG70</t>
  </si>
  <si>
    <t xml:space="preserve">ANALISTA SINIESTROS PERSONAS SR</t>
  </si>
  <si>
    <t xml:space="preserve">Analizar casos del proceso de siniestros del ramo personas, a fin que se cumpla con las disposiciones legales y ofrecer una adecuada atención a los asegurados.por el cumplimiento de las normas y los parámetros establecidos.</t>
  </si>
  <si>
    <t xml:space="preserve">Jefe siniestros  - personas</t>
  </si>
  <si>
    <t xml:space="preserve">SGPR70</t>
  </si>
  <si>
    <t xml:space="preserve">ANALISTA SINIESTROS PATRIMONIALES SR.</t>
  </si>
  <si>
    <t xml:space="preserve">Analizar casos del proceso de siniestros del ramo patrimonial, a fin que se cumpla con las disposiciones legales y ofrecer una adecuada atención a los asegurados.por el cumplimiento de las normas y los parámetros establecidos.</t>
  </si>
  <si>
    <t xml:space="preserve">Jefe patrimoniales</t>
  </si>
  <si>
    <t xml:space="preserve">ADOM70</t>
  </si>
  <si>
    <t xml:space="preserve">ANALISTA ORGANIZACION Y METODOS</t>
  </si>
  <si>
    <t xml:space="preserve">Detectar deficiencias y necesidades en los procedimientos operativos de la empresa, implementar sistemas y procedimientos administrativos para mejorar la eficiencia y minimizar costos.</t>
  </si>
  <si>
    <t xml:space="preserve">Jefe de organización y métodos</t>
  </si>
  <si>
    <t xml:space="preserve">TIOS70</t>
  </si>
  <si>
    <t xml:space="preserve">TÉCNICO OPERACIONES</t>
  </si>
  <si>
    <t xml:space="preserve">Supervisa e inspecciona la instalación, modificación y prueba de equipos de cómputo. Observa registra y transmite información sobre el comportamiento de los equipos conectados a la Red. Observa las condiciones y comportamiento de los equipos para establecer programas de revisión, control y mantenimiento de las instalaciones y los equipos. Para el cargo se requiere un Ingeniero Electrónico con 2 años de experiencia. Reporta a:  Director de Servicio Técnico.</t>
  </si>
  <si>
    <t xml:space="preserve">Coodinador/jefe operación sistemas</t>
  </si>
  <si>
    <t xml:space="preserve">OPOP70</t>
  </si>
  <si>
    <t xml:space="preserve">ANALISTA OPERACIONES</t>
  </si>
  <si>
    <t xml:space="preserve">Responsable de la operación de  la región o distrito donde esté ubicado. Da soporte al supervisor inmediato y a los clientes en el día a día de la operación.</t>
  </si>
  <si>
    <t xml:space="preserve">Jefe Operaciones</t>
  </si>
  <si>
    <t xml:space="preserve">FNOF70</t>
  </si>
  <si>
    <t xml:space="preserve">ASESOR COMERCIAL / INFORMADOR</t>
  </si>
  <si>
    <t xml:space="preserve">Recopila registros de depósitos y retiros, pagos por préstamos e hipoteca, cheques, compra y venta de seguros. Tramita solicitudes y pagos de hipoteca, apertura de cuentas corrientes y de ahorros, y depósitos. Verifica y hace el balance de transacciones de cajero automático. Suministra información sobre servicios, como apertura de cuentas, o planes de ahorro. Revisa aplicaciones de seguros y verifica el pago de primas, cobertura y otra información relacionada. Se requiere estudiante universitario con 1 años de experiencia relacionada con el cargo.</t>
  </si>
  <si>
    <t xml:space="preserve">Secundaria</t>
  </si>
  <si>
    <t xml:space="preserve">FNOF72</t>
  </si>
  <si>
    <t xml:space="preserve">SECRETARIO (SUCURSAL)</t>
  </si>
  <si>
    <t xml:space="preserve">Responder por el manejo operativo de la oficina, coordinando, dirigiendo y supervisando todas las actividades que se realizan.</t>
  </si>
  <si>
    <t xml:space="preserve">Gerente de sucursal / Subgerente de operaciones</t>
  </si>
  <si>
    <t xml:space="preserve">GHNO70</t>
  </si>
  <si>
    <t xml:space="preserve">ANALISTA NOMINA</t>
  </si>
  <si>
    <t xml:space="preserve">Realizar el manejo operativo de la nómina. Revisar las novedades de pago. Elaborar todas las nóminas de la empresa haciendo los descuentos correspondientes (la retención en la fuente, pensiones, salud, préstamos, etc.), liquidaciones de primas, vacaciones, cesantía de todo el personal.</t>
  </si>
  <si>
    <t xml:space="preserve">Jefe de gestión humana/personal</t>
  </si>
  <si>
    <t xml:space="preserve">SGMC70</t>
  </si>
  <si>
    <t xml:space="preserve">ANALISTA MESA CONTROL SR</t>
  </si>
  <si>
    <t xml:space="preserve">Analizar, organizar y entregar la documentación de emisión y ventas que coordina entre las diversas áreas de la empresa. Elaborar el registro de seguimiento y consecutivos. Capturar datos, cotejar listados para hacer movimientos. Elaborar reportes mensuales.</t>
  </si>
  <si>
    <t xml:space="preserve">Jefe Mesa de control</t>
  </si>
  <si>
    <t xml:space="preserve">CMGC70</t>
  </si>
  <si>
    <t xml:space="preserve">ANALISTA CATEGORÍA</t>
  </si>
  <si>
    <t xml:space="preserve">Responsable por la ejecución de los planes de la gerencia de categoría. Ejecuta comunicaciones directas a los consumidores. Trabaja con un equipo en el desarrollo y ejecución de las promociones en las tiendas. Conduce análisis de negocio y recomendaciones.</t>
  </si>
  <si>
    <t xml:space="preserve">Jefe categoría</t>
  </si>
  <si>
    <t xml:space="preserve">MKMP70</t>
  </si>
  <si>
    <t xml:space="preserve">ANALISTA MERCADEO</t>
  </si>
  <si>
    <t xml:space="preserve">Coordina estudios y analiza informes relacionados con los hábitos de compra y preferencias de consumidores mayoristas y minoristas. Desarrolla perfiles económicos y sociales. Recomienda tácticas comerciales. Se requiere formación tecnológica o profesional en Administración o carreras afines a mercadeo y ventas, con una experiencia de 1 a 2 años. Reporta a: Gerente de Mercadeo, Jefe de Mercadeo.</t>
  </si>
  <si>
    <t xml:space="preserve"> Gerente de Mercadeo/ Jefe de Mercadeo.</t>
  </si>
  <si>
    <t xml:space="preserve">SGMD70</t>
  </si>
  <si>
    <t xml:space="preserve">ANALISTA SR EXÁMENES MÉDICOS</t>
  </si>
  <si>
    <t xml:space="preserve">Asistir en el proceso de radicacion y seguimiento de documentacion de exames medicos por convenios, por capacitaciones, chequeos médicos preventivos y auditorías médicas. </t>
  </si>
  <si>
    <t xml:space="preserve">Jefe Examenes médicos</t>
  </si>
  <si>
    <t xml:space="preserve">SGMD71</t>
  </si>
  <si>
    <t xml:space="preserve">ANALISTA SR PRESTADORES MÉDICOS</t>
  </si>
  <si>
    <t xml:space="preserve">Analizar y resolver casos por convenios de gastos medicos por accidentes y automóviles con aseguradoras nacionales, y de gastos médicos mayores con aseguradoras extranjeras. Tramitar ante la compañía aseguradora para obtener la autorización de la realización del procedimiento; autorización de pago directo y de siniestros.</t>
  </si>
  <si>
    <t xml:space="preserve">Jefe prestadores médicos</t>
  </si>
  <si>
    <t xml:space="preserve">MKMP71</t>
  </si>
  <si>
    <t xml:space="preserve">ANALISTA SR PRODUCTOS</t>
  </si>
  <si>
    <t xml:space="preserve">Analiza y desarrolla productos y servicos, eletrónicos o no, de consumo intensivo, para los mercados minorista y mayorista. Acompaña la calidad y la rentabilidad de los productos, modificando y adaptando cada uno econ el objetivo de obtener mayor retorno financiero y tornarlo competitivo a nivel de mercado. Implementa el plan de acción con el área comercial, el procesamiento de operaciones, contabilidad y demás temas relacionados.</t>
  </si>
  <si>
    <t xml:space="preserve">Jefe Mercadeo</t>
  </si>
  <si>
    <t xml:space="preserve">MAMT70</t>
  </si>
  <si>
    <t xml:space="preserve">ANALISTA MANTENIMIENTO</t>
  </si>
  <si>
    <t xml:space="preserve">Programa y solicita el mantenimiento de Instrumentos, equipos y maquinaria del proceso productivo de la compañía. Mantiene actualizadas las hojas de vida de los equipos con relación al inicio de su operación, horas de trabajo para su mantenimiento preventivo y/o correctivo y para su posible cambio. Conoce el inventario de las piezas que se reemplazan en las maquinas averiadas o en mantenimiento. Recomienda las medidas necesarias para mejorar la productividad del mantenimiento de los equipos, instrumentos y maquinaria. Se requiere un Profesional en Ingeniería mecánica con una experiencia de 2 años.Reporta a: Jefe de Mantenimiento, Jefe Planeación de la Producción, Jefe de Producción.</t>
  </si>
  <si>
    <t xml:space="preserve"> Jefe de Mantenimiento/ Jefe Planeación de la Producción /Jefe de Producción.</t>
  </si>
  <si>
    <t xml:space="preserve">JULE70</t>
  </si>
  <si>
    <t xml:space="preserve">Prepara y revisa contratos, pactos, convenios y otros documentos para asegurar su conformidad legal. Asesora las diferentes áreas de la compañía en aspectos legales, como asuntos comerciales, inversiones extranjeras, transferencia de tecnología, asuntos laborales y corporativos, etc. Se requiere un abogado con 3-4 años de experiencia en temas afines al cargo. Reporta a: Gerente Jurídico.</t>
  </si>
  <si>
    <t xml:space="preserve">Gerente Jurídico</t>
  </si>
  <si>
    <t xml:space="preserve">MAGC71</t>
  </si>
  <si>
    <t xml:space="preserve">ANALISTA LABORATORIO</t>
  </si>
  <si>
    <t xml:space="preserve">Responsable por la ejecución de los métodos y procedimientos relacionados con la transformación química y física de sustancias, realización de análisis, exámenes de laboratorio de materiales, materias primas, productos terminados y en proceso, etc.,desarrollando modelos.</t>
  </si>
  <si>
    <t xml:space="preserve">IDGN70</t>
  </si>
  <si>
    <t xml:space="preserve">ANALISTA INVESTIGACION Y DESARROLLO PRODUCTOS</t>
  </si>
  <si>
    <t xml:space="preserve">Responder por el mejoramiento de los productos existentes y el desarrollo de los nuevos; realizar pruebas de materias primas, empaques y materiales necesarios que cumplan con los requerimientos de calidad y eficiencia que exige la compañía.</t>
  </si>
  <si>
    <t xml:space="preserve">MKIM70</t>
  </si>
  <si>
    <t xml:space="preserve">ANALISTA MERCADEO / INVESTIGACION DE MERCADOS</t>
  </si>
  <si>
    <t xml:space="preserve">Recopilar y procesar datos e información necesaria para pronosticar el comportamiento del mercado. Realizar el diagnóstico y seguimiento de nuevos productos al evaluar la viabilidad de los mismos.</t>
  </si>
  <si>
    <t xml:space="preserve">Jefe / Coordinador / Espec. Investigación de Mercados</t>
  </si>
  <si>
    <t xml:space="preserve">FIIV70</t>
  </si>
  <si>
    <t xml:space="preserve">ANALISTA SSR. INVERSIONES</t>
  </si>
  <si>
    <t xml:space="preserve">Analizan y desarrollan estudios técnicos que soportan las inversiones, realizan seguimiento al mercado, identificando las oportunidades de inversión y analizando el nivel de riesgo. Generan reportes especiales para los inversores y para las entidades regulatorias.</t>
  </si>
  <si>
    <t xml:space="preserve">Jefe Inversiones</t>
  </si>
  <si>
    <t xml:space="preserve">LSMT72</t>
  </si>
  <si>
    <t xml:space="preserve">ANALISTA CONTROL DE INVENTARIOS</t>
  </si>
  <si>
    <t xml:space="preserve">Responsable de mantener el control sobre el volumen de materia prima, partes en proceso y productos terminados, para poder asegurar los niveles de inventario previamente determinados. Coordina el recuento cíclico de materiales y la conciliación entre los inventarios actuales y los registros del sistema. Se requiere un profesional con experiencia de 2 -3 años en cargos afines. Reporta a: Supervisor de Distribución.</t>
  </si>
  <si>
    <t xml:space="preserve">Supervidor de Distribución</t>
  </si>
  <si>
    <t xml:space="preserve">IDPR70</t>
  </si>
  <si>
    <t xml:space="preserve">Diseñador Industrial es un profesional capaz proyectar productos que mejoren la calidad de vida del hombre. Su capacidad creativa está orientada a optimizar los productos industriales a través del diseño. Su trabajo incide positivamente en el medio ambiente y en las organizaciones, interviniendo en la planificación de costos y procesos para la producción en serie. El diseñador concibe objetos que son la expresión de la vanguardia técnica de su tiempo; su capacidad técnica le permite extender, aumentar y proteger las capacidades físicas del hombre sin alterar su realidad fisiológica. Es por sobre todo un diseñador creativo, tanto en los aspectos artísticos como técnicos vinculados a su disciplina. </t>
  </si>
  <si>
    <t xml:space="preserve">Ingeniero desarrollo de productos</t>
  </si>
  <si>
    <t xml:space="preserve">SGPV70</t>
  </si>
  <si>
    <t xml:space="preserve">ANALISTA PROVEEDORES</t>
  </si>
  <si>
    <t xml:space="preserve">Analiza lo relacionado a los convenios de servicio establecidos con clinicas, talleres mecánicos y otros proveedores, generando información de utilidad a ser utilzado por la Gerencia a fin de tomar acciones de mejora para los asegurados en términos de costo y disponibilidad, de acuerdo a las politicas y lineamientos de la Organización</t>
  </si>
  <si>
    <t xml:space="preserve">Jefe Proveedores</t>
  </si>
  <si>
    <t xml:space="preserve">FIIP70</t>
  </si>
  <si>
    <t xml:space="preserve">ANALISTA IMPUESTOS</t>
  </si>
  <si>
    <t xml:space="preserve">Realizar labores relacionadas con la preparación y presentación de la declaración de renta, presentar la documentación que sea requerida por la Administración de Impuestos.</t>
  </si>
  <si>
    <t xml:space="preserve">Jefe de impuestos</t>
  </si>
  <si>
    <t xml:space="preserve">HTRS70</t>
  </si>
  <si>
    <t xml:space="preserve">ASISTENTE RESERVAS Y/O HABITACIONES</t>
  </si>
  <si>
    <t xml:space="preserve">Encargado de atender las reservas del hotel. Realiza las confirmaciones y cancelaciones respectivas según el caso; ubica al cliente según la reserva y recomendaciones hechas o solicitadas, Se requiere Técnico ó Profesional hotelero con 1 año de experiencia y buen manejo de del inglés.</t>
  </si>
  <si>
    <t xml:space="preserve">Jefe reservas o habitaciones</t>
  </si>
  <si>
    <t xml:space="preserve">HTRS71</t>
  </si>
  <si>
    <t xml:space="preserve">AUDITOR NOCTURNO</t>
  </si>
  <si>
    <t xml:space="preserve">Verifica y codifica los ingresos y egresos generados por todo concepto del hotel, además de las liquidaciones de cuentas y revisa los soportes respectivos. El cargo requiere un Técnico contable con no menos de 1 año de experiencia. Su labor especifica en horario nocturno.</t>
  </si>
  <si>
    <t xml:space="preserve">Jefe de turno</t>
  </si>
  <si>
    <t xml:space="preserve">HTEV70</t>
  </si>
  <si>
    <t xml:space="preserve">Contacta responsables de eventos para planear los mismos. Establece presupuestos, revisar el  progreso de los eventos, coordina servicios como acomodación, transporte, señalización, exhibiciones, traducciones, equipo audiovisual, impresos y seguridad. Responsable de entretenimientos y reuniones sociales para los participantes en el evento.</t>
  </si>
  <si>
    <t xml:space="preserve">Jefe Alimentos y Bebidas</t>
  </si>
  <si>
    <t xml:space="preserve">AGAV75</t>
  </si>
  <si>
    <t xml:space="preserve">COORDINADOR INCUBACIÓN</t>
  </si>
  <si>
    <t xml:space="preserve">Coordina la ejecución de la Programación del encasetamiento de las aves reproductoras, observa que los concentrados se encuentren despachados y ubicados adecuadamente, Mantiene las normas de control sanitario, Implementa la distribución de pollito y su seguimiento patológico.</t>
  </si>
  <si>
    <t xml:space="preserve">Director de Incubación</t>
  </si>
  <si>
    <t xml:space="preserve">AGAV77</t>
  </si>
  <si>
    <t xml:space="preserve">SUPERVISOR DESPRESE</t>
  </si>
  <si>
    <t xml:space="preserve">Supervisar las labores generales de la planta de beneficio en el desprese de aves, cumpliento los estandares establecidos para el manejo del sacrificio, desprece y empaque de los productos de pollo.</t>
  </si>
  <si>
    <t xml:space="preserve">AGAV76</t>
  </si>
  <si>
    <t xml:space="preserve">SUPERVISOR GRANJA</t>
  </si>
  <si>
    <t xml:space="preserve">Supervisar las labores generales de las granjas como el pre alistamiento y alistamiento de la granja; se requiere conocimientos en el área agropecuaria y dos años mínimo de experiencia en manejos avícolas.</t>
  </si>
  <si>
    <t xml:space="preserve">LSGN71</t>
  </si>
  <si>
    <t xml:space="preserve">ANALISTA ABASTECIMIENTO Y LOGÍSTICA</t>
  </si>
  <si>
    <t xml:space="preserve">Responsable por las actividades relacionadas a la logística de materiales, direccionando la atención a las cantidades predeterminadas, calidad y plazos definidos, suministro de los materiales, almacenaje, distribución y entrega de los pedidos para atender las necesidades de las áreas de Producción y Ventas.</t>
  </si>
  <si>
    <t xml:space="preserve">Coordinador Abastecimiento Logística</t>
  </si>
  <si>
    <t xml:space="preserve">ADGN70</t>
  </si>
  <si>
    <t xml:space="preserve">ANALISTA ADMINISTRATIVO</t>
  </si>
  <si>
    <t xml:space="preserve">Responsable de diversas tareas típicas del área Administrativa, tales como: controles de pago (transporte, comidas, gasolina, estacionamiento, etc.), control del programa de actividades del área, servicios de digitación, archivo de documentos y control.</t>
  </si>
  <si>
    <t xml:space="preserve">Jefe administrativo - Coodinador / jefe administrativo</t>
  </si>
  <si>
    <t xml:space="preserve">FIGN70</t>
  </si>
  <si>
    <t xml:space="preserve">ANALISTA FINANCIERO</t>
  </si>
  <si>
    <t xml:space="preserve">Hacer estudios financieros especiales, preparar los presupuestos y pronósticos a largo plazo e informes a la Dirección o a Casa Matriz; así como analizar las desviaciones del presupuesto y formular planes correctivos.</t>
  </si>
  <si>
    <t xml:space="preserve">Jefe de presupuesto</t>
  </si>
  <si>
    <t xml:space="preserve">FNOP70</t>
  </si>
  <si>
    <t xml:space="preserve">Analiza la documentación referente a la formalización de operaciones generales de la Institución, buscando asegurar que las mismas se encuadren dentro de las normas y procedimientos, legislación vigente, buscando la seguridad de la institución. Apoya a las áreas de negocios de la empresa, con relación a los aspectos operativos. Procesa, registra, controla y liquida las operaciones.</t>
  </si>
  <si>
    <t xml:space="preserve">Jefe proceso operaciones</t>
  </si>
  <si>
    <t xml:space="preserve">ADGN71</t>
  </si>
  <si>
    <t xml:space="preserve">ASISTENTE ADMINISTRATIVO</t>
  </si>
  <si>
    <t xml:space="preserve">Asistir al Gerente o Jefe de área en todas las labores que le se han asignadas, desarrollar labores operativas relacionadas con la administración de personal, presupuesto, seguros, servicios generales, servicios tecnológicos ó desarrollar sus actividades en cualquier área de la empresa.</t>
  </si>
  <si>
    <t xml:space="preserve">Gerente administrativo, gerente ó director de área</t>
  </si>
  <si>
    <t xml:space="preserve">LSGN70</t>
  </si>
  <si>
    <t xml:space="preserve">ASISTENTE LOGÍSTICA Y OPERACIONES</t>
  </si>
  <si>
    <t xml:space="preserve">Recibe pedidos y estimados de ventas para planear los diferentes sistemas de entrega. Hace el seguimiento regular de los pedidos para medir su nivel de entrega. Mantiene contactos regulares con los clientes de la compañía para confirmar la entrega de los pedidos, efectúa despachos de productos.  Se requiere  Tecnólogo, Administrador de empresas o de comercio internacional con una experiencia de 1-2 años en procesos logísticos y debe tener conocimientos de inglés. Reporta a: Jefe de Logística y Operaciones.</t>
  </si>
  <si>
    <t xml:space="preserve">Jefe de Logística /  Jefe de Logística y Operaciones.</t>
  </si>
  <si>
    <t xml:space="preserve">FQFV70</t>
  </si>
  <si>
    <t xml:space="preserve">ANALISTA FARMACOVIGILÂNCIA</t>
  </si>
  <si>
    <t xml:space="preserve">Responsable por el procesamiento y submisión de los relatos de eventos adversos a los centros nacionales / internacionales de farmacovigilancia y autoridades regulatorias del país, a través de la consolidación de informaciones de calidad, con el objetivo de brindar datos estadisticos.</t>
  </si>
  <si>
    <t xml:space="preserve"> Coordinaror / Supervisor Farmacovigilancia</t>
  </si>
  <si>
    <t xml:space="preserve">FQCH70</t>
  </si>
  <si>
    <t xml:space="preserve">COORDINADOR SERVICIOS HOSPITALARIOS</t>
  </si>
  <si>
    <t xml:space="preserve">Medico general, Conocimientos de la legislación del sector salud y manejo del sistema. Se requiere experiencia como medico asistencial y como auditor de servicios ambulatorios u hospitalarios. Diseña, implementa, opera y hace seguimiento al modelo de coordinación para el Mejoramiento de la Calidad de Atención en salud Institucional que propenda por que los servicios sean prestados de manera segura, oportuna y respetuosa.</t>
  </si>
  <si>
    <t xml:space="preserve">Jefe División Servicios Hospitalarios</t>
  </si>
  <si>
    <t xml:space="preserve">GHED70</t>
  </si>
  <si>
    <t xml:space="preserve">ANALISTA CAPACITACIÓN Y DESARROLLO</t>
  </si>
  <si>
    <t xml:space="preserve">Prepara programas e investiga necesidades de entrenamiento de los empleados, prepara material didáctico y organiza los recursos requeridos. Controla y actualiza los expedientes de entrenamiento y desarrollo de los empleados. Se requiere un profesional (Administrador, Economista, Ingeniero Industrial) con una experiencia mínima de 2-3 años en actividades similares. Reporta a: Jefe de Capacitación y Desarrollo</t>
  </si>
  <si>
    <t xml:space="preserve">Jefe de Capacitación y desarrollo</t>
  </si>
  <si>
    <t xml:space="preserve">LSTD70</t>
  </si>
  <si>
    <t xml:space="preserve">ANALISTA DISTRIBUCIÓN</t>
  </si>
  <si>
    <t xml:space="preserve">Responsable por ejecutar las actividades de distribución, que comprenden la recepción, expedición, control de inventarios y distribución, con el objetivo de satisfacer las necesidades de clientes internos y externos dentro de términos y costos compatibles. Evalúa la eficiencia de los medios de transporte y propone mejoras para poder optimizar el proceso de distribución. Se requiere un profesional con experiencia de 2-3 años en cargos afines. Reporta a: Jefe de Distribución, Gerente de Distribución.</t>
  </si>
  <si>
    <t xml:space="preserve">Jefe distribución / Gerente Distribución</t>
  </si>
  <si>
    <t xml:space="preserve">LSTD71</t>
  </si>
  <si>
    <t xml:space="preserve">ANALISTA TRANSPORTE</t>
  </si>
  <si>
    <t xml:space="preserve">Responsable por el transporte (materia prima, materiales diversos y productos terminados) para poder satisfacer los niveles deseados de servicio y garantizar la optimización del flujo de transportación a los más bajos costos posibles.</t>
  </si>
  <si>
    <t xml:space="preserve">Jefe logística</t>
  </si>
  <si>
    <t xml:space="preserve">TIDE71</t>
  </si>
  <si>
    <t xml:space="preserve">ANALISTA PROGRAMADOR</t>
  </si>
  <si>
    <t xml:space="preserve">Analizar, diseñar, mantener y programar los sistemas incorporados al computador para garantizar la calidad de la información. Llevar a lenguajes comprensibles por las máquinas las instrucciones necesarias para realizar las aplicaciones diseñadas. Comprobar que sus programas y los documentos trabajen a satisfacción.</t>
  </si>
  <si>
    <t xml:space="preserve">Analista de sistemas / Jefe desarrollo sistemas</t>
  </si>
  <si>
    <t xml:space="preserve">TIGN70</t>
  </si>
  <si>
    <t xml:space="preserve">ANALISTA SISTEMAS</t>
  </si>
  <si>
    <t xml:space="preserve">Responsable de las actividades de análisis y desarrollo, implementación, modificación e instalación de sistemas de mediana complejidad en diferentes ambientes operativos. Elabora manuales y los actualiza, al igual que las especificaciones técnicas.</t>
  </si>
  <si>
    <t xml:space="preserve">Ingeniero Informática</t>
  </si>
  <si>
    <t xml:space="preserve">TIDE70</t>
  </si>
  <si>
    <t xml:space="preserve">TIDE72</t>
  </si>
  <si>
    <t xml:space="preserve">PROGRAMADOR</t>
  </si>
  <si>
    <t xml:space="preserve">Escribir en instrucciones o código las aplicaciones y/o procedimientos analizados y diseñados, realizando la respectiva prueba y verificación de los programas de computador.</t>
  </si>
  <si>
    <t xml:space="preserve">Analista de sistemas</t>
  </si>
  <si>
    <t xml:space="preserve">CODN70</t>
  </si>
  <si>
    <t xml:space="preserve">ANALISTA DESARROLLO NEGOCIOS</t>
  </si>
  <si>
    <t xml:space="preserve">Responsable de ejecutar las actividades relacionadas con el análisis de oportunidades de negocio tanto en mercados domésticos como extranjeros, orientado al logro de los objetivos financieros y de mercadotecnia establecidos por la compañía.</t>
  </si>
  <si>
    <t xml:space="preserve">Jefe desarrollo de Negocios</t>
  </si>
  <si>
    <t xml:space="preserve">AAPL70</t>
  </si>
  <si>
    <t xml:space="preserve">ANALISTA CUMPLIMIENTO</t>
  </si>
  <si>
    <t xml:space="preserve">Asistir en la ejecución de la aplicación de los procedimientos específicos para la prevención y control del lavado de activos, la observancia del Código de Conducta, en las áreas asignadas. Profesional preferiblemente en áreas administrativas. 3 años de experiencia en control. </t>
  </si>
  <si>
    <t xml:space="preserve">Jefe de Cumplimiento</t>
  </si>
  <si>
    <t xml:space="preserve">FICC71</t>
  </si>
  <si>
    <t xml:space="preserve">ANALISTA CUENTAS PAGAR/RECIBIR</t>
  </si>
  <si>
    <t xml:space="preserve">Responsable de los procesos de cuentas por pagar y cuentas por cobrar, buscando garantizar que los pagos y la cobranza se lleve a cabo de acuerdo a los términos acordados y en conformidad con los procedimientos de la compañía.</t>
  </si>
  <si>
    <t xml:space="preserve">Coordinador / Espec. / Jefe Cuentas pagar/ recibir</t>
  </si>
  <si>
    <t xml:space="preserve">FICC73</t>
  </si>
  <si>
    <t xml:space="preserve">ANALISTA FACTURACIÓN</t>
  </si>
  <si>
    <t xml:space="preserve">Ejecuta las actividades de emisión y revisión de facturas, asegurándose que son emitidas en conformidad con los términos negociados y la legislación actual.</t>
  </si>
  <si>
    <t xml:space="preserve">Jefe Facturación</t>
  </si>
  <si>
    <t xml:space="preserve">FICC72</t>
  </si>
  <si>
    <t xml:space="preserve">ANALISTA CREDITO</t>
  </si>
  <si>
    <t xml:space="preserve">Analizar, estudiar y verificar las diferentes solicitudes de crédito tanto de personas naturales como jurídicas para conocer las condiciones financieras de los clientes y medir el riesgo de las operaciones crediticias, realizando como producto final informes que permitan evaluar el estado de las solicitudes de crédito. </t>
  </si>
  <si>
    <t xml:space="preserve">Jefe de crédito</t>
  </si>
  <si>
    <t xml:space="preserve">FICC70</t>
  </si>
  <si>
    <t xml:space="preserve">ANALISTA CRÉDITO Y COBRANZA</t>
  </si>
  <si>
    <t xml:space="preserve">Analiza las cuentas, identifica y reporta aquellas que pudieran requerir procedimientos difíciles de cobranza. Obtiene información y referencias crediticias de las personas o instituciones que soliciten un crédito.</t>
  </si>
  <si>
    <t xml:space="preserve">EDFI70</t>
  </si>
  <si>
    <t xml:space="preserve">ANALISTA CREDITOS EDUCATIVOS</t>
  </si>
  <si>
    <t xml:space="preserve">Estudiar la cartera de la entidad, por concepto de créditos otorgados, con el propósito de mantener una rotación aceptable.</t>
  </si>
  <si>
    <t xml:space="preserve">Director crédito</t>
  </si>
  <si>
    <t xml:space="preserve">FNCR71</t>
  </si>
  <si>
    <t xml:space="preserve">ANALISTA CREDITO PERSONAS</t>
  </si>
  <si>
    <t xml:space="preserve">Revisa, evalúa y tramita solicitudes de crédito y préstamo Personas. Revisa y actualiza los estados de cuenta de los créditos. Prepara los estados de cuentas morosas y hace seguimiento a cuentas irreconciliables para acción de cobro. En el sector financiero (Banca, Seguros, Leasing, etc.) investiga y cualifica la situación financiera de los solicitantes, referencias, crédito, y capacidad de pago, consolida todo el estado de los créditos otorgados e informa a las agencias sobre el estado de las solicitudes de crédito. Efectúa contactos telefónicos y escritos a clientes con vencimientos, elabora pagarés de nuevos préstamos. Se requiere Profesional con 2-3 años de experiencia.</t>
  </si>
  <si>
    <t xml:space="preserve">Jefe crédito personas</t>
  </si>
  <si>
    <t xml:space="preserve">FNCR73</t>
  </si>
  <si>
    <t xml:space="preserve">EJECUTIVO CREDITO PERSONAS</t>
  </si>
  <si>
    <t xml:space="preserve">Revisa, evalúa y tramita solicitudes de crédito y préstamo de personas. Revisa y actualiza los estados de cuenta de los créditos. Prepara los estados de cuentas morosas y hace seguimiento a cuentas irreconciliables para acción de cobro. En el sector financiero (Banca, Seguros, Leasing, etc.) investiga y cualifica la situación financiera de los solicitantes, referencias, crédito, y capacidad de pago, consolida todo el estado de los créditos otorgados e informa a las agencias sobre el estado de las solicitudes de crédito. Efectúa contactos telefónicos y escritos a clientes con vencimientos, elabora pagarés de nuevos préstamos. Se requiere Profesional con 3 -5 años de experiencia.</t>
  </si>
  <si>
    <t xml:space="preserve">FNCR70</t>
  </si>
  <si>
    <t xml:space="preserve">ANALISTA CREDITO CORPORATIVO</t>
  </si>
  <si>
    <t xml:space="preserve">Revisa, evalúa y tramita solicitudes de crédito y préstamo Corporativos. Revisa y actualiza los estados de cuenta de los créditos. Prepara los estados de cuentas morosas y hace seguimiento a cuentas irreconciliables para acción de cobro. En el sector financiero (Banca, Seguros, Leasing, etc.) investiga y cualifica la situación financiera de los solicitantes, referencias, crédito, y capacidad de pago, consolida todo el estado de los créditos otorgados e informa a las agencias sobre el estado de las solicitudes de crédito. Efectúa contactos telefónicos y escritos a clientes con vencimientos, elabora pagarés de nuevos préstamos. Se requiere Profesional con 2-3 años de experiencia.</t>
  </si>
  <si>
    <t xml:space="preserve">Jefe crédito corporativo</t>
  </si>
  <si>
    <t xml:space="preserve">FNCR72</t>
  </si>
  <si>
    <t xml:space="preserve">EJECUTIVO CREDITO CORPORATIVO</t>
  </si>
  <si>
    <t xml:space="preserve">Revisa, evalúa y tramita solicitudes de crédito y préstamo Corporativos. Revisa y actualiza los estados de cuenta de los créditos. Prepara los estados de cuentas morosas y hace seguimiento a cuentas irreconciliables para acción de cobro. En el sector financiero (Banca, Seguros, Leasing, etc.) investiga y cualifica la situación financiera de los solicitantes, referencias, crédito, y capacidad de pago, consolida todo el estado de los créditos otorgados e informa a las agencias sobre el estado de las solicitudes de crédito. Efectúa contactos telefónicos y escritos a clientes con vencimientos, elabora pagarés de nuevos préstamos. Se requiere Profesional con 3 -5 años de experiencia.</t>
  </si>
  <si>
    <t xml:space="preserve">FICO71</t>
  </si>
  <si>
    <t xml:space="preserve">ANALISTA/PROFESIONAL  COSTOS</t>
  </si>
  <si>
    <t xml:space="preserve">Realizar el levantamiento de información que permita realizar estimativo de costos para diferentes áreas. Analizar información sobre inventarios y activos fijos.</t>
  </si>
  <si>
    <t xml:space="preserve">Jefe costos</t>
  </si>
  <si>
    <t xml:space="preserve">EDPB70</t>
  </si>
  <si>
    <t xml:space="preserve">ASISTENTE PUBLICACIONES</t>
  </si>
  <si>
    <t xml:space="preserve">Redacta avisos clasificados, edita y calcula las tarifas de los mismos. Apoya la preparación de periódicos, catálogos, directorios y otro material para publicación; corrige material y verifica información. Lee material antes de su publicación para hacer correcciones gramaticales, tipográficos o de composición.</t>
  </si>
  <si>
    <t xml:space="preserve">Jefe correspondencia</t>
  </si>
  <si>
    <t xml:space="preserve">CPPL70</t>
  </si>
  <si>
    <t xml:space="preserve">ANALISTA PLANEACION</t>
  </si>
  <si>
    <t xml:space="preserve">Participar en la elaboración y análisis de estudios económicos y financieros de proyectos de inversión.                                                                                                                                              </t>
  </si>
  <si>
    <t xml:space="preserve">Gerente de planeación</t>
  </si>
  <si>
    <t xml:space="preserve">SGCV70</t>
  </si>
  <si>
    <t xml:space="preserve">ANALISTA CONVENIOS</t>
  </si>
  <si>
    <t xml:space="preserve">Analizar y resolver casos por convenios de gastos por accidentes y automóviles con aseguradoras nacionales, y de gastos médicos mayores con aseguradoras extranjeras. Tramitar ante la compañía aseguradora para obtener la autorización de la realización del procedimiento; autorización de pago directo y de siniestros.</t>
  </si>
  <si>
    <t xml:space="preserve">Jefe convenios</t>
  </si>
  <si>
    <t xml:space="preserve">FQGC70</t>
  </si>
  <si>
    <t xml:space="preserve">ANALISTA FÍSICO - QUÍMICO</t>
  </si>
  <si>
    <t xml:space="preserve">CONTROL Y GARANTIA DE CALIDAD</t>
  </si>
  <si>
    <t xml:space="preserve">Realiza análisis técnicos de la materia prima, productos en proceso y productos terminados, de acuerdo a patrones fijados por la casa matriz; Revisa materiales de empaque teniendo en cuenta las debidas medidas de control; Realiza exámenes micro biológicos; Efectúa experimentos químicos con animales; este cargo es desempeñado por un profesional sin experiencia o un técnico con experiencia mínima de 2 años en labores de análisis.</t>
  </si>
  <si>
    <t xml:space="preserve">Microbíolgo</t>
  </si>
  <si>
    <t xml:space="preserve">FQGC71</t>
  </si>
  <si>
    <t xml:space="preserve">BACTERIÓLOGO (LABORATORIOS)</t>
  </si>
  <si>
    <t xml:space="preserve">Toma y procesa muestras de producto o materia prima, pasando y/o transcribiendo los resultados; lleva el registro diario de exámenes. Prepara los reactivos correspondiente a cada prueba, solicitando y manejando a su vez los materiales del laboratorio. El nivel requerido para desempeñar el cargo es de estudios tecnológicos y/o licenciaturas en el área, no necesariamente debe tener experiencia.</t>
  </si>
  <si>
    <t xml:space="preserve">Jefe Mocrobiología</t>
  </si>
  <si>
    <t xml:space="preserve">SGCP70</t>
  </si>
  <si>
    <t xml:space="preserve">ANALISTA SR CONTROL PERDIDAS </t>
  </si>
  <si>
    <t xml:space="preserve">Responsable de preparar los reportes tecnicos del riesgo a ser asegurado, dando soporte en la aceptación o rechazo de la compañía, haciendo uso de planes, dimensionando equipos, haciendo recomendaciones y fotografias. Conduce inspecciones tecnicas en varios ámbitos de operación tales como riesgo civil (condominios, garages. vehiculos, residencias, exibiciones, obras de arte, etc)incendios, robos, riesgos varios(equipos, mercancia, etc) preparando reportes tecnicos y certificados específicos.Elabora procesos de descuento (instalación de extinguidores de fuego, hidrantes, recorganizacion de la mercancía, proyectos de reparación o remodelación, etc, analizando los detalles de cada área, sugiriendo nuevos seguros, reducciín de tasas, haciendo recomendaciones para la protección del riesgo por nuevos montos de covertura. Mantiene contacto con las partes otorgando detalles sobre el status de las inspecciones realizadas y organizando visitas para inspecciones futuras.</t>
  </si>
  <si>
    <t xml:space="preserve">Jefe Control de perdidas</t>
  </si>
  <si>
    <t xml:space="preserve">FICT70</t>
  </si>
  <si>
    <t xml:space="preserve">ANALISTA CONTABILIDAD</t>
  </si>
  <si>
    <t xml:space="preserve">Realizar las operaciones contables de la empresa tales como, contabilidad de costos, contabilización de activos fijos y elaboración de informes, estados financieros, balances y otros.</t>
  </si>
  <si>
    <t xml:space="preserve">Jefe de contabilidad</t>
  </si>
  <si>
    <t xml:space="preserve">GHCI70</t>
  </si>
  <si>
    <t xml:space="preserve">ANALISTA COMUNICACIONES INTERNAS</t>
  </si>
  <si>
    <t xml:space="preserve">Responsable de equipar e implementar el programa de comunicación interna, publicar boletines, revistas, memorandos y panfletos. También es responsable de la información en los tableros de anuncios.</t>
  </si>
  <si>
    <t xml:space="preserve">Jefe de Comunicación interna</t>
  </si>
  <si>
    <t xml:space="preserve">LSCP70</t>
  </si>
  <si>
    <t xml:space="preserve">ANALISTA ADMINISTRACIÓN CONTRATOS</t>
  </si>
  <si>
    <t xml:space="preserve">Responsable de las actividades de preparación y análisis de contratos de compra, así como las disposiciones para las modificaciones a cláusulas en contratos y otras situaciones, para poder satisfacer las necesidades de suministro de la compañía.</t>
  </si>
  <si>
    <t xml:space="preserve">Jefe compras</t>
  </si>
  <si>
    <t xml:space="preserve">LSCP71</t>
  </si>
  <si>
    <t xml:space="preserve">ANALISTA COMPRAS</t>
  </si>
  <si>
    <t xml:space="preserve">Coordinar la compra de materias primas, realizar comparativos de proveedores y excelente capacidad de negociación.</t>
  </si>
  <si>
    <t xml:space="preserve">LSCP72</t>
  </si>
  <si>
    <t xml:space="preserve">ASISTENTE COMPRAS</t>
  </si>
  <si>
    <t xml:space="preserve">Realizar las compras de materias primas, suministros, equipos y servicio, de acuerdo con lo establecido en los procedimientos y cotizaciones realizadas.</t>
  </si>
  <si>
    <t xml:space="preserve">GHCB70</t>
  </si>
  <si>
    <t xml:space="preserve">ANALISTA COMPENSACIÓN Y BENEFICIOS</t>
  </si>
  <si>
    <t xml:space="preserve">Responsable de las actividades de descripción, análisis y valuación de puestos, preparando estudios de estructuras organizacionales, así como respondiendo y preparando encuestas de salarios. Realiza diversos cálculos, estudios y análisis de compensaciones.</t>
  </si>
  <si>
    <t xml:space="preserve">Jefe de compensación</t>
  </si>
  <si>
    <t xml:space="preserve">GHCB71</t>
  </si>
  <si>
    <t xml:space="preserve">ASISTENTE / ANALISTA COMPENSACIÓN</t>
  </si>
  <si>
    <t xml:space="preserve">Dar apoyo en los estudios técnicos de valoración de cargos y del comportamiento salarial del mercado,  administrar estructuras y políticas de remuneración equitativas y competitivas. y mantener al día los salarios, promedios y registros pertinentes.</t>
  </si>
  <si>
    <t xml:space="preserve">LSCE70</t>
  </si>
  <si>
    <t xml:space="preserve">ANALISTA COMERCIO EXTERIOR</t>
  </si>
  <si>
    <t xml:space="preserve">Conocer las implicaciones de la legislación aduanera que faciliten la operación de comercialización de los productos y/o servicios que ofrece la compañía, así como, los elementos necesarios para realizar efectivas transacciones comerciales tanto para importar como para exportar.</t>
  </si>
  <si>
    <t xml:space="preserve">Director o Jefe de comercio exterior</t>
  </si>
  <si>
    <t xml:space="preserve">LSCE71</t>
  </si>
  <si>
    <t xml:space="preserve">ANALISTA EXPORTACIONES</t>
  </si>
  <si>
    <t xml:space="preserve">Garantizar que la documentación soporte de las exportaciones esté de acuerdo con los requisitos legales, procedimientos establecidos por el área y los convenios de venta pactados, verificando la vigencia de los seguros, condiciones de los operadores logísticos, facturación de servicios, entre otras.</t>
  </si>
  <si>
    <t xml:space="preserve">Jefe de exportaciones</t>
  </si>
  <si>
    <t xml:space="preserve">LSCE72</t>
  </si>
  <si>
    <t xml:space="preserve">ANALISTA IMPORTACIONES Y EXPORTACIONES</t>
  </si>
  <si>
    <t xml:space="preserve">Realizar las actividades relacionadas con la importación de materias primas, maquinaria y elementos requeridos por la compañía para su funcionamiento, así como de las exportaciones de productos en proceso y/o terminados.</t>
  </si>
  <si>
    <t xml:space="preserve">Jefe de importaciones</t>
  </si>
  <si>
    <t xml:space="preserve">SGRT70</t>
  </si>
  <si>
    <t xml:space="preserve">EJEC CUENTA CANAL RETAIL</t>
  </si>
  <si>
    <t xml:space="preserve">Responde por la asistencia comercial y técnica de un grupo de productores, pertencientes a una cartera de producción de una Gerencia Comercial. Realiza visitas regulares a los productores, prestando soporte en la producción, identificando necesidades / dudas, y orientándolos sobre nuevos productos y/ o condiciones de precios de la Compañía. Acompaña los procesos de registro y emisión de pólizas, pago de comisiones, siniestros, etc., asesorando a los productores en propuestas que tengan problemas técnicos. Elabora en conjunto con su gerencia, propuestas formales (condiciones técnicas y precios), de acuerdo con los parámetros establecidos en la negociación con los productores.</t>
  </si>
  <si>
    <t xml:space="preserve">Gerente comercial Canal Retail</t>
  </si>
  <si>
    <t xml:space="preserve">SGCS70</t>
  </si>
  <si>
    <t xml:space="preserve">ANALISTA COASEGUROS</t>
  </si>
  <si>
    <t xml:space="preserve">Analizar, verificar y realizar procesos de Coaseguros con las demás compañías aseguradoras; con el fin de asegurar la correcta distribución y respaldo de los riesgos asumidos por la compañía por siniestros con terceros.</t>
  </si>
  <si>
    <t xml:space="preserve">Jefe Coaseguros</t>
  </si>
  <si>
    <t xml:space="preserve">FICF70</t>
  </si>
  <si>
    <t xml:space="preserve">ANALISTA CARTERA</t>
  </si>
  <si>
    <t xml:space="preserve">Jefe de cartera</t>
  </si>
  <si>
    <t xml:space="preserve">COCV70</t>
  </si>
  <si>
    <t xml:space="preserve">ANALISTA CAPACITACIÓN VENTAS</t>
  </si>
  <si>
    <t xml:space="preserve">Responsable de preparar programas de entrenamiento y encuestas sobre las necesidades de entrenamiento de los empleados y socios del área Comercial. Prepara el material y establece los recursos necesarios para las sesiones de entrenamiento.</t>
  </si>
  <si>
    <t xml:space="preserve">Jefe capacitación ventas</t>
  </si>
  <si>
    <t xml:space="preserve">HEMT70</t>
  </si>
  <si>
    <t xml:space="preserve">TÉCNICO ELECTRICISTA INDUSTRIA</t>
  </si>
  <si>
    <t xml:space="preserve">Bajo supervisión directa instala, revisa, repara y mantiene en condiciones funcionales los componentes eléctricos del equipo productivo y no productivo de la planta o centro de trabajo, para ello interpreta planos y diagramas y selecciona los materiales más idóneos para cada trabajo. Todo ello bajo la vigilancia de su supervisor o de otro electricista más experimentado.</t>
  </si>
  <si>
    <t xml:space="preserve">Supervisor Matenimiento</t>
  </si>
  <si>
    <t xml:space="preserve">HEMT71</t>
  </si>
  <si>
    <t xml:space="preserve">TÉCNICO ELECTRÓNICA</t>
  </si>
  <si>
    <t xml:space="preserve">Bajo supervisión directa instala, repara, ensambla, calibra, prueba y mantiene en condiciones de servicio todo tipo de equipo y productos electrónicos, estudiando diagramas y reemplazando tablillas y otros componentes según se requiera. Todo ello bajo la vigilancia de otro técnico más experimentado o de su supervisor.</t>
  </si>
  <si>
    <t xml:space="preserve">HEEX70</t>
  </si>
  <si>
    <t xml:space="preserve">TÉCNICO EXPLORACIÓN</t>
  </si>
  <si>
    <t xml:space="preserve">Recopila información para reportes, registros eléctricos, maneja el plotter para los planos y mapas.</t>
  </si>
  <si>
    <t xml:space="preserve">Ingeniero Perforaciones</t>
  </si>
  <si>
    <t xml:space="preserve">HEMT72</t>
  </si>
  <si>
    <t xml:space="preserve">TÉCNICO MECÁNICO</t>
  </si>
  <si>
    <t xml:space="preserve">Bajo supervisión directa realiza reparaciones a componentes mecánicos y  electromecánicos de equipo productivo y no productivo, reparando, fabricando, adaptando y/o ajustando partes y componentes según se requiera.  Todo lo  anterior bajo la vigilancia de su supervisor o de un técnico más capacitado.</t>
  </si>
  <si>
    <t xml:space="preserve">HEPR70</t>
  </si>
  <si>
    <t xml:space="preserve">TECNÓLOGO PRODUCCIÓN</t>
  </si>
  <si>
    <t xml:space="preserve">Contribuye significativamente en la formulación y mantenimiento de el portafolio de desarrollo y la evaluación de oportunidades y de maduración de posibilidades para la recuperación de los activos petroleros. Responsable de coordinar y manejar la implementación de nuevas tecnologías de pozos. Realizan las propuestas de pozos para la evaluación y el desarrollo de los yacimientos. Maximiza el valor de los pozos ya existentes, con nuevas y antiguas técnicas de completación.</t>
  </si>
  <si>
    <t xml:space="preserve">Supervisor producción</t>
  </si>
  <si>
    <t xml:space="preserve">COSC70</t>
  </si>
  <si>
    <t xml:space="preserve">ANALISTA ATENCIÓN AL CONSUMIDOR</t>
  </si>
  <si>
    <t xml:space="preserve">Responsable de la atención a los cuestionamientos por teléfono de los clientes, con el objeto de aclarar, orientar y dirigir los problemas detectados hacia una solución.</t>
  </si>
  <si>
    <t xml:space="preserve">Jefe Call Center</t>
  </si>
  <si>
    <t xml:space="preserve">COSC71</t>
  </si>
  <si>
    <t xml:space="preserve">ANALISTA SERVICIOS TÉCNICOS AL CLIENTE</t>
  </si>
  <si>
    <t xml:space="preserve">Proporciona asesoría técnica especializada y servicio a los clientes. Responsable del soporte a clientes y de los servicios post-venta. Colabora en el mantenimiento y elaboración de reportes de las estadísticas de servicios al cliente. </t>
  </si>
  <si>
    <t xml:space="preserve">LSMT71</t>
  </si>
  <si>
    <t xml:space="preserve">SUPERVISOR BODEGA</t>
  </si>
  <si>
    <t xml:space="preserve">Administrar los almacenes de empaques y materias primas. Dirigir, controlar y coordinar el almacenamiento de materias primas y productos terminados, velar por la seguridad y el cuidado de los bienes depositados.</t>
  </si>
  <si>
    <t xml:space="preserve">GHBS70</t>
  </si>
  <si>
    <t xml:space="preserve">ASISTENTE BIENESTAR SOCIAL</t>
  </si>
  <si>
    <t xml:space="preserve">Asiste al Jefe de Bienestar Social en el desarrollo de las actividades sociales y culturales de la empresa. Coordina los planes de beneficios establecidos por la empresa. Se requiere profesional en el área, con una experiencia de 1 año. Reporta a: Jefe de Bienestar Social.</t>
  </si>
  <si>
    <t xml:space="preserve">Jefe salud ocupacional</t>
  </si>
  <si>
    <t xml:space="preserve">SLBS70</t>
  </si>
  <si>
    <t xml:space="preserve">CAPELLÁN</t>
  </si>
  <si>
    <t xml:space="preserve">BIENESTAR SOCIAL</t>
  </si>
  <si>
    <t xml:space="preserve">Da apoyo moral y espiritual a la comunidad del hospital. Da los santos oleos a quienes están por fallecer. Dirige servicios religiosos por la recuperación de las personas, además efectúa ritos de fe como funerales, bautizos y matrimonios. Planea, organiza y controla programas de educación religiosa. El cargo es ocupado por una persona ordenada como clérigo, rabino o ministro.</t>
  </si>
  <si>
    <t xml:space="preserve">Gerente general </t>
  </si>
  <si>
    <t xml:space="preserve">EDBS70</t>
  </si>
  <si>
    <t xml:space="preserve">COORDINADOR BIENESTAR UNIVERSITARIO</t>
  </si>
  <si>
    <t xml:space="preserve">Responsable  de  las actividades deportivas y culturales para los estudiantes, docentes y personal administrativo con el fin de generar un ambiente educativo y laboral de paz y convivencia. El cargo es desempeñado por un profesional en Psicología, Administración, con experiencia en la coordinación de programas de bienestar por un periodo no menor a 2 años.</t>
  </si>
  <si>
    <t xml:space="preserve">Director Bienestar Universitario</t>
  </si>
  <si>
    <t xml:space="preserve">SLBS71</t>
  </si>
  <si>
    <t xml:space="preserve">PROMOTORA SOCIAL</t>
  </si>
  <si>
    <t xml:space="preserve">Realiza trabajos de promoción social, haciendo visitas domiciliarias, atendiendo y orientando directamente al paciente, establece su situación socio – económica y da orientación a sus familiares. El cargo es Desempeñado por un Trabajador Social no necesariamente con experiencia.</t>
  </si>
  <si>
    <t xml:space="preserve">Jefe de Bienestar - Salud</t>
  </si>
  <si>
    <t xml:space="preserve">SGBS70</t>
  </si>
  <si>
    <t xml:space="preserve">ANALISTA BANCASEGUROS</t>
  </si>
  <si>
    <t xml:space="preserve">Realizar acciones de analisis en el proceso de mercadeo mediante la interaccion con los establecimientos de crédito para la promoción y venta de cierta clase de productos de seguros. </t>
  </si>
  <si>
    <t xml:space="preserve">Jefe Bancaseguros</t>
  </si>
  <si>
    <t xml:space="preserve">SGAT70</t>
  </si>
  <si>
    <t xml:space="preserve">AJUSTADOR / PERITO</t>
  </si>
  <si>
    <t xml:space="preserve">Realiza las inspecciones y peritaje de vehículos, mediante la verificación ocular y revisión de los datos del vehículo, en concordancia con las especificaciones físicas del mismo, con la finalidad de establecer su valor a fines de la suscripción o tramitación de siniestros.</t>
  </si>
  <si>
    <t xml:space="preserve">Jefe Autos</t>
  </si>
  <si>
    <t xml:space="preserve">SGAT71</t>
  </si>
  <si>
    <t xml:space="preserve">ANALISTA SINIESTROS AUTO SR</t>
  </si>
  <si>
    <t xml:space="preserve">Analizar casos del proceso de siniestros del ramo autos, a fin que se cumpla con las disposiciones legales y ofrecer una adecuada atención a los asegurados.por el cumplimiento de las normas y los parámetros establecidos. </t>
  </si>
  <si>
    <t xml:space="preserve">SGAT72</t>
  </si>
  <si>
    <t xml:space="preserve">ANALISTA SUSCRIPCIÓN AUTO</t>
  </si>
  <si>
    <t xml:space="preserve">Participar en el analisis del proceso de emisión del ramo automóvil, en relación a las cuentas especiales, colectivos, individuales, etc, en consonancia con las condicionados de las pólizas, a fin de controlar la siniestralidad, desde la emisión y ofrecer una respuesta oportuna a los asegurados.</t>
  </si>
  <si>
    <t xml:space="preserve">AUSC70</t>
  </si>
  <si>
    <t xml:space="preserve">ANALISTA  GARANTÍA</t>
  </si>
  <si>
    <t xml:space="preserve">Monitorea los servicios de Post Venta y abastecimiento de partes al mercado con el objetivo de garantizar la satisfacción de los consumidores y concesionarios con un menor costo de garantía, mayor volumen y margen de ventas de autopartes.</t>
  </si>
  <si>
    <t xml:space="preserve">Coordinador / Jefe servicios Garantia</t>
  </si>
  <si>
    <t xml:space="preserve">AUDE70</t>
  </si>
  <si>
    <t xml:space="preserve">ANALISTA DESARROLLO REDES</t>
  </si>
  <si>
    <t xml:space="preserve">DESARROLLO</t>
  </si>
  <si>
    <t xml:space="preserve">Responsable por la planificación y realización del análisis financiero de la red de concesionarios, con el objetivo de reducir costos, aumentar el margen de ganancias y velar por la calidad en el servicio de atención al cliente prestado. Elabora estudios de viabilidad.</t>
  </si>
  <si>
    <t xml:space="preserve">Jefe/ Coordinador/ espec.desarrollo redes</t>
  </si>
  <si>
    <t xml:space="preserve">CPPC70</t>
  </si>
  <si>
    <t xml:space="preserve">ANALISTA CORPORATIVO</t>
  </si>
  <si>
    <t xml:space="preserve">Jefe / Coordinador de asuntos corporativos</t>
  </si>
  <si>
    <t xml:space="preserve">MAAA70</t>
  </si>
  <si>
    <t xml:space="preserve">ANALISTA AMBIENTAL</t>
  </si>
  <si>
    <t xml:space="preserve">Implementa los programas y planes de mejora ambiental, de acuerdo a las políticas de calidad determinadas por la empresa y los organismos control.</t>
  </si>
  <si>
    <t xml:space="preserve">CPAS70</t>
  </si>
  <si>
    <t xml:space="preserve">ASISTENTE PRESIDENTE / VICEPRESIDENTE</t>
  </si>
  <si>
    <t xml:space="preserve">ASISTENCIAL</t>
  </si>
  <si>
    <t xml:space="preserve">Coordinar la ejecución de estrategias y políticas generales, dirigidas a obtener el mejor aprovechamiento de los recursos  humanos, financieros, materiales y tecnológicos de toda la organización, de tal forma que se logren los objetivos trazados, apoyando las actividades lideradas por su superior inmediato.</t>
  </si>
  <si>
    <t xml:space="preserve">MAGC72</t>
  </si>
  <si>
    <t xml:space="preserve">ANALISTA CALIDAD</t>
  </si>
  <si>
    <t xml:space="preserve">Realizar análisis de muestras, verificar los niveles de calidad de acuerdo con los patrones fijados tanto en materia prima, productos en proceso y terminados y materiales de empaque.</t>
  </si>
  <si>
    <t xml:space="preserve">Jefe laboratorio / Jefe de control de calidad</t>
  </si>
  <si>
    <t xml:space="preserve">MAGC73</t>
  </si>
  <si>
    <t xml:space="preserve">ANALISTA CONTROL DE CALIDAD</t>
  </si>
  <si>
    <t xml:space="preserve">Desarrollar programas relacionados con los procesos de calidad establecidos por la compañía. Dar cumplimiento a los estándares de calidad de los diversos procesos relacionados con los productos y servicios de la compañía.</t>
  </si>
  <si>
    <t xml:space="preserve">MAGC70</t>
  </si>
  <si>
    <t xml:space="preserve">ASISTENTE CALIDAD</t>
  </si>
  <si>
    <t xml:space="preserve">Otros Nombres: Inspector de Garantía de Calidad I, Revisor de Productos. Controla la calidad de los materiales mediante instrumentos, equipos o revisión personal, ciñéndose a normas ó patrones de calidad establecida, en aspectos simples de acabado, funcionamiento y especificaciones de fabricación. Sabe interpretar planos, catálogos y diagramas y el manejo de instrumentos de medida y control no complicados. Se requiere un Tecnólogo o Técnico en control de calidad, con una experiencia de 1-2 años. Reporta a: Jefe de Calidad, Supervisor de Calidad.</t>
  </si>
  <si>
    <t xml:space="preserve">Jefe de Calidad/  Supervisor de Calidad.</t>
  </si>
  <si>
    <t xml:space="preserve">ATGP70</t>
  </si>
  <si>
    <t xml:space="preserve">ANALISTA GERENCIA DE PROYECTOS - ESPECIALISTA</t>
  </si>
  <si>
    <t xml:space="preserve">GERENCIA DE PROYECTOS</t>
  </si>
  <si>
    <t xml:space="preserve">Aplica conocimientos y destrezas especialistas y altamente desarrollados en la gerencia de proyectos, planificación de proyectos, presupuestos y metodologías. Está a cargo de los proyectos más importantes y desafiantes. Define los recursos diarios de los proyectos.</t>
  </si>
  <si>
    <t xml:space="preserve">Gerente proyectos - sistemas</t>
  </si>
  <si>
    <t xml:space="preserve">ATVT70</t>
  </si>
  <si>
    <t xml:space="preserve">CONSULTOR CONTRATOS, LICITACIONES Y PROPUESTAS - JR.</t>
  </si>
  <si>
    <t xml:space="preserve">Profesional de primer nivel en contratos, licitaciones y propuestas, constituye el punto más común de entrada a la organización. Trabaja bajo estrecha supervisión en la realización de trabajos de investigación y de rutina, relacionados con actividades administrativas.</t>
  </si>
  <si>
    <t xml:space="preserve">Consultor pre - venta (producto - técnico)</t>
  </si>
  <si>
    <t xml:space="preserve">GHAP70</t>
  </si>
  <si>
    <t xml:space="preserve">ANALISTA ADMINISTRACIÓN RH</t>
  </si>
  <si>
    <t xml:space="preserve">Responsable de las actividades de administración del personal, incluyendo contrataciones, despidos, vacaciones, permisos, transferencias y otras rutinas. Prepara reportes estadísticos del personal (rotación, ausencias, tiempo extra, etc.)</t>
  </si>
  <si>
    <t xml:space="preserve">COAV70</t>
  </si>
  <si>
    <t xml:space="preserve">ANALISTA COMERCIAL</t>
  </si>
  <si>
    <t xml:space="preserve">Responsable de generar reportes estadísticos, tablas de sustitución de precios de venta, definición de comisiones e incentivos de venta, así como la preparación de reportes de estado referentes a la eficiencia en ventas. Analiza la disponibilidad y devolucionesdeproductos.</t>
  </si>
  <si>
    <t xml:space="preserve"> Coordinador / jefe planeación ventas</t>
  </si>
  <si>
    <t xml:space="preserve">COAV71</t>
  </si>
  <si>
    <t xml:space="preserve">ANALISTA PLANEACION VENTAS PL.</t>
  </si>
  <si>
    <t xml:space="preserve">Responsable de analizar y verificar la disponibilidad de productos en la planta / fábrica, de acuerdo a los pedidos colocados por la fuerza de ventas. Funciona como un enlace entre producción y ventas y puede intervenir en la programación de la producción.</t>
  </si>
  <si>
    <t xml:space="preserve">COVS73</t>
  </si>
  <si>
    <t xml:space="preserve">ANALISTA VENTAS</t>
  </si>
  <si>
    <t xml:space="preserve">ADMINISTRACION VENTAS</t>
  </si>
  <si>
    <t xml:space="preserve">Facturar las ventas, asistencia telefónica a clientes, cobros y actualización de cartera. Soporte para los representantes de ventas.</t>
  </si>
  <si>
    <t xml:space="preserve">Gerente ventas - Gerente comercial</t>
  </si>
  <si>
    <t xml:space="preserve">MCCM70</t>
  </si>
  <si>
    <t xml:space="preserve">ANALISTA CONTENIDOS</t>
  </si>
  <si>
    <t xml:space="preserve">Determinar los criterios de comunicación para la organización y presentación de los sitio Web. Es responsable de las funcionalidad y navegabilidad de los sitios. Trabaja con un equipo de diseño, editores para asegurar que el contenido del sitio sea correctamente delineado.</t>
  </si>
  <si>
    <t xml:space="preserve">FQID70</t>
  </si>
  <si>
    <t xml:space="preserve">ANALISTA INVESTIGACIÓN CLÍNICA</t>
  </si>
  <si>
    <t xml:space="preserve">Responsable del diseño, planeación e implementación de las pruebas / proyectos de investigación clínica de mediana complejidad. Conduce visitas de observación en el campo. Asegura que se cumplan los protocolos y los objetivos generales de investigación. Mantiene un base de conocimiento profesional actualizada acerca de las metodologías de investigación clínica y requerimientos legales.</t>
  </si>
  <si>
    <t xml:space="preserve">Gerente Investigación Clínica</t>
  </si>
  <si>
    <t xml:space="preserve">SGTC70</t>
  </si>
  <si>
    <t xml:space="preserve">ANALISTA RECUPERACIONES</t>
  </si>
  <si>
    <t xml:space="preserve">Analiza lo concerniente al salvamento y recuperación de bienes asegurados que han sido cancelados a los asegurados, a fin de determinar la posibilidad de subastar dichos bienes, con el fin de optimizar la rentabilidad de la empresa.</t>
  </si>
  <si>
    <t xml:space="preserve">Jefe recuperaciones</t>
  </si>
  <si>
    <t xml:space="preserve">MCPR70</t>
  </si>
  <si>
    <t xml:space="preserve">EDITOR GRAFICO</t>
  </si>
  <si>
    <t xml:space="preserve">Responder por el desarrollo de la imagen y distribución de la información en el periódico. Determinar y aprobar espacios y diseños para las ediciones.</t>
  </si>
  <si>
    <t xml:space="preserve">Director gráfico</t>
  </si>
  <si>
    <t xml:space="preserve">MCCM71</t>
  </si>
  <si>
    <t xml:space="preserve">EDITOR SECCION</t>
  </si>
  <si>
    <t xml:space="preserve">Determinar los temas que se van a tratar y de evaluar la labor de cada periodista de su sección en términos de manejo y desarrollo de su trabajo, con el fin de garantizar la excelencia y veracidad de la información a emitir.  Se encarga de responder por la cuota de participación de su sección dentro del medio al cual pertenece, cumpliendo con parámetros definidos tales como cantidad de notas, de informes, etc.  Tiene a su cargo el manejo de programas especiales de su rama.  Autoriza en conjunto con el Jefe de Redacción viajes y salidas de periodistas para cubrir sus fuentes respectivas.</t>
  </si>
  <si>
    <t xml:space="preserve">Jefe de redacción</t>
  </si>
  <si>
    <t xml:space="preserve">MCCM72</t>
  </si>
  <si>
    <t xml:space="preserve">PERIODISTA SENIOR</t>
  </si>
  <si>
    <t xml:space="preserve">Investigar y estructurar los géneros de noticia y entrevista, redactando fluidamente notas de interés, noticias especiales, complejas y/o crónicas informativas.  Dar los elementos necesarios para la creación de la opinión pública a partir de una manejo razonable y ético del material.</t>
  </si>
  <si>
    <t xml:space="preserve">Jefe redacción</t>
  </si>
  <si>
    <t xml:space="preserve">MCCM73</t>
  </si>
  <si>
    <t xml:space="preserve">REDACTOR</t>
  </si>
  <si>
    <t xml:space="preserve">Responder por la redacción de los productos que funcionan en el área de servicios interactivos, desarrollando nuevas formas de expresión e incorporándolas a los contenidos de los diferentes servicios del área. Elaborar guiones y manuales de usuario y pantallas de ayuda.</t>
  </si>
  <si>
    <t xml:space="preserve">HTRS72</t>
  </si>
  <si>
    <t xml:space="preserve">SENIOR CLERK</t>
  </si>
  <si>
    <t xml:space="preserve">Asistir a su jefe inmediato en la prestación de un buen servicio de Recepción incluyendo recibimiento, registro, orientación y salida del huésped, servicio de teléfono y caja. Mantener un alto estándar de servicio y hospitalidad en todo momento.</t>
  </si>
  <si>
    <t xml:space="preserve">Jefe de recepción</t>
  </si>
  <si>
    <t xml:space="preserve">HTAL70</t>
  </si>
  <si>
    <t xml:space="preserve">SOUS CHEFF</t>
  </si>
  <si>
    <t xml:space="preserve">En conjunto con el chef o en su ausencia, coordinar la función general de la cocina, para dar cumplimiento a los pedidos o requerimientos del Restaurante, Room service, Banquetes y eventos.</t>
  </si>
  <si>
    <t xml:space="preserve">Chef ejecutivo</t>
  </si>
  <si>
    <t xml:space="preserve">HEAD70</t>
  </si>
  <si>
    <t xml:space="preserve">SUPERVISOR ADMINISTRATIVO</t>
  </si>
  <si>
    <t xml:space="preserve">Encargado de supervisar y controlar los procesos administrativos y financieros del campo y los trabajos de las compañías de servicio  para garantizar  el cumplimiento de las operaciones.   </t>
  </si>
  <si>
    <t xml:space="preserve">Jefe Admistrativo</t>
  </si>
  <si>
    <t xml:space="preserve">COVS80</t>
  </si>
  <si>
    <t xml:space="preserve">ADMINISTRADOR PUNTO DE VENTA</t>
  </si>
  <si>
    <t xml:space="preserve">PROFESIONAL JR/ ANALISTA</t>
  </si>
  <si>
    <t xml:space="preserve">Responsable por la administración de un punto de venta, sucursal o almacén de la compañía para la oferta de sus productos, dirigiendo y supervisando los vendedores de sala, las relaciones con los clientes y los aspectos relacionados con la calidad del servicio, administración de recursos para el punto del cual es responsable.</t>
  </si>
  <si>
    <t xml:space="preserve">Gerente de ventas/Jefe administración en ventas</t>
  </si>
  <si>
    <t xml:space="preserve">COVS81</t>
  </si>
  <si>
    <t xml:space="preserve">IMPULSADOR</t>
  </si>
  <si>
    <t xml:space="preserve">Ofrecer el producto al cliente de manera directa con el fin de mostrar los beneficios y darle salida al producto.</t>
  </si>
  <si>
    <t xml:space="preserve">Supervisor de ventas</t>
  </si>
  <si>
    <t xml:space="preserve">COVS82</t>
  </si>
  <si>
    <t xml:space="preserve">PROMOTOR SERVICIOS</t>
  </si>
  <si>
    <t xml:space="preserve">Dar información a cerca de los servicios o productos de la entidad, resolviendo también las inquietudes que se puedan generar sobre el portafolio.</t>
  </si>
  <si>
    <t xml:space="preserve">Director comercial</t>
  </si>
  <si>
    <t xml:space="preserve">COVS83</t>
  </si>
  <si>
    <t xml:space="preserve">REPRESENTANTE VENTAS JUNIOR</t>
  </si>
  <si>
    <t xml:space="preserve">Vender en forma directa los productos, tomar los pedidos y en algunos casos hacer los cobros y recibir los pagos. Normalmente atender clientes de menor nivel.</t>
  </si>
  <si>
    <t xml:space="preserve">COVS84</t>
  </si>
  <si>
    <t xml:space="preserve">VENDEDOR SALA</t>
  </si>
  <si>
    <t xml:space="preserve">Responsable de la atención directa a los clientes brindándoles información sobre precios, condiciones de pago, especificaciones del producto, entre otros.</t>
  </si>
  <si>
    <t xml:space="preserve">COVS85</t>
  </si>
  <si>
    <t xml:space="preserve">VENDEDOR TRAINEE</t>
  </si>
  <si>
    <t xml:space="preserve">Promover la venta de productos, tomar pedidos y en algunos casos hacer cobros y recibir pagos. </t>
  </si>
  <si>
    <t xml:space="preserve">Supervisor de ventas / Gerente de ventas</t>
  </si>
  <si>
    <t xml:space="preserve">CMTM80</t>
  </si>
  <si>
    <t xml:space="preserve">PROMOTOR CONSUMO</t>
  </si>
  <si>
    <t xml:space="preserve">Responsable de promocionar la venta de los productos de la compañía, de acuerdo con los programas comerciales definidos. Realiza visitas a los mercados de venta para explicar las condiciones de las ventas y las promociones.</t>
  </si>
  <si>
    <t xml:space="preserve">CMVT80</t>
  </si>
  <si>
    <t xml:space="preserve">VENDEDOR(A) DROGUERÍA</t>
  </si>
  <si>
    <t xml:space="preserve">Se encarga de realizar la gestión propia de la droguería en cuanto a ventas de los artículos de la sección ó área que le sea adjudicada. Revisa la mercancía que se le entrega y efectúa los inventarios respectivos. No es indispensable poseer experiencia pero se requiere conocer la mercancía lo cual se adquiere en la etapa de adiestramiento .</t>
  </si>
  <si>
    <t xml:space="preserve">Administrador droguería</t>
  </si>
  <si>
    <t xml:space="preserve">FITS80</t>
  </si>
  <si>
    <t xml:space="preserve">CAJERO SERVICIOS</t>
  </si>
  <si>
    <t xml:space="preserve">Recibir y entregar dinero o documentos-valores.</t>
  </si>
  <si>
    <t xml:space="preserve">Jefe Tesoreria</t>
  </si>
  <si>
    <t xml:space="preserve">TIWE80</t>
  </si>
  <si>
    <t xml:space="preserve">DIAGRAMADOR</t>
  </si>
  <si>
    <t xml:space="preserve">Responder por la diagramación general del impreso, determinar colores y esquemas dentro de las páginas.  En conjunto con Diseñadores Gráficos y Escanistas, determinan artes finales de los impresos.</t>
  </si>
  <si>
    <t xml:space="preserve">Diseñador gráfico</t>
  </si>
  <si>
    <t xml:space="preserve">SGTC80</t>
  </si>
  <si>
    <t xml:space="preserve">INSPECTOR TÉCNICO</t>
  </si>
  <si>
    <t xml:space="preserve">Verifica que los datos de las solicitudes, condiciones de pago, y los cálculos automáticos (premios y comisiones), estén correctos. Efectúa el registro y la emisión de pólizas y endosos, rectificando información incorrectas de registros anteriores. Mantiene contacto con productores, informando eventuales problemas en la aceptación de las propuestas, solucionando dudas de documentación, etc.</t>
  </si>
  <si>
    <t xml:space="preserve">TIST80</t>
  </si>
  <si>
    <t xml:space="preserve">TÉCNICO HELPDESK SR.</t>
  </si>
  <si>
    <t xml:space="preserve">Responsable por las actividades relacionadas con la Tecnología de la Información (TI) en la compañía hechas por teléfono, comprendiendo la definición, desarrollo, mantenimiento y operación de los sistemas, así como mantener el nivel tecnológico del área.</t>
  </si>
  <si>
    <t xml:space="preserve">EDRH80</t>
  </si>
  <si>
    <t xml:space="preserve">ASISTENTE ÁREA DOCENTE RECURSOS HUMANOS</t>
  </si>
  <si>
    <t xml:space="preserve">RH</t>
  </si>
  <si>
    <t xml:space="preserve">Administrar, desarrollar y supervisar la contratación del grupo docente, vinculados mediante el régimen laboral o por contratación civil, en beneficio de dichos funcionarios y cumpliendo con las normas establecidas por la Universidad.   </t>
  </si>
  <si>
    <t xml:space="preserve">EDAV80</t>
  </si>
  <si>
    <t xml:space="preserve">ASISTENTE AUDIOVISUALES</t>
  </si>
  <si>
    <t xml:space="preserve">AUDIVISUALES</t>
  </si>
  <si>
    <t xml:space="preserve">Opera equipos de audio para grabar y editar música, diálogos y efectos de sonido para videos;, programas de radio y grabaciones; opera consolas de audio para mezclar música y sonido en eventos; opera máquinas de doblaje para producir diálogos, música y pistas de efectos de sonido desde diferentes fuentes.</t>
  </si>
  <si>
    <t xml:space="preserve">Jefe medios audiovisuales</t>
  </si>
  <si>
    <t xml:space="preserve">EDDC80</t>
  </si>
  <si>
    <t xml:space="preserve">ASISTENTE DECANO</t>
  </si>
  <si>
    <t xml:space="preserve">Planear, organizar, controlar y evaluar la efectiva y eficiente gestión de la especialización en los aspectos administrativos, académicos, comunicacionales y de relaciones públicas. Además, debe organizar, controlar y evaluar con la secretaria académica, los aspectos administrativos, extensión y relaciones públicas del pregrado.</t>
  </si>
  <si>
    <t xml:space="preserve">EDPG80</t>
  </si>
  <si>
    <t xml:space="preserve">ASISTENTE POSTGRADO</t>
  </si>
  <si>
    <t xml:space="preserve">Responsable de dar apoyo en la planeación, dirección y coordinación de las actividades académicas, administrativas y financieras, así como en el impulso de los programas.   </t>
  </si>
  <si>
    <t xml:space="preserve">COSC82</t>
  </si>
  <si>
    <t xml:space="preserve">ASISTENTE SERVICIO AL CLIENTE</t>
  </si>
  <si>
    <t xml:space="preserve">Suministrar información relevante, precisa y confiable. Asesorar a los clientes internos y externos en lo relacionado con el proceso de adquisición del producto o servicio, estableciendo un contacto continuo con ellos, a fin de mantener y garantizar la satisfacción de los clientes.</t>
  </si>
  <si>
    <t xml:space="preserve">MASI80</t>
  </si>
  <si>
    <t xml:space="preserve">TÉCNICO SEGURIDAD LABORAL</t>
  </si>
  <si>
    <t xml:space="preserve">Responsable de las actividades relacionadas con la prevención de accidentes laborales y seguridad personal de los empleados en el área de la planta, inspeccionar las instalaciones, el equipo de seguridad, las condiciones de trabajo y asegurar que se cumpla las normas y programas de seguridad laboral.</t>
  </si>
  <si>
    <t xml:space="preserve">Ingeniero seguridad laboral</t>
  </si>
  <si>
    <t xml:space="preserve">ADSF80</t>
  </si>
  <si>
    <t xml:space="preserve">ESCOLTA PERSONAL</t>
  </si>
  <si>
    <t xml:space="preserve">Velar por la protección física y la integridad de las personas asignadas para prevenir cualquier acción delictiva.</t>
  </si>
  <si>
    <t xml:space="preserve">Jefe de escoltas</t>
  </si>
  <si>
    <t xml:space="preserve">TXCT80</t>
  </si>
  <si>
    <t xml:space="preserve">PATRONISTA</t>
  </si>
  <si>
    <t xml:space="preserve">Diseñar y realizar los patrones y moldes de las líneas ofrecidas por la empresa de acuerdo a la ficha técnica elaborada por las diseñadoras.</t>
  </si>
  <si>
    <t xml:space="preserve">Coordinador de corte</t>
  </si>
  <si>
    <t xml:space="preserve">ADRC81</t>
  </si>
  <si>
    <t xml:space="preserve">RECEPCIONISTA</t>
  </si>
  <si>
    <t xml:space="preserve">Atender el conmutador, recibir al público, manejar la correspondencia y desempeñar las funciones de relaciones públicas inherentes al cargo.</t>
  </si>
  <si>
    <t xml:space="preserve">Jefe de servicios generales</t>
  </si>
  <si>
    <t xml:space="preserve">ADRC82</t>
  </si>
  <si>
    <t xml:space="preserve">RECEPCIONISTA BILINGUE</t>
  </si>
  <si>
    <t xml:space="preserve">Atender el conmutador, recibir al público, manejar la correspondencia y desempeñar las funciones de relaciones públicas inherentes al cargo en inglés y español.</t>
  </si>
  <si>
    <t xml:space="preserve">ADSC81</t>
  </si>
  <si>
    <t xml:space="preserve">SECRETARIA BILINGÜE</t>
  </si>
  <si>
    <t xml:space="preserve">Asistir al primer o segundo nivel de la escala organizacional, canalizar las comunicaciones, preparar en forma personal y directa la correspondencia rutinaria, tomar dictados, preparar cartas e informes y organizar el archivo privado, guardando confidencialidad en el manejo de información.</t>
  </si>
  <si>
    <t xml:space="preserve">Gerente de departamento</t>
  </si>
  <si>
    <t xml:space="preserve">ADSC82</t>
  </si>
  <si>
    <t xml:space="preserve">SECRETARIA EJECUTIVA</t>
  </si>
  <si>
    <t xml:space="preserve">Asistir al segundo nivel gerencial de la empresa. Preparar la correspondencia, canalizar comunicaciones telefónicas, mantener al día el archivo, manejar con discreción la información confidencial, además debe realizar funciones de relaciones públicas inherentes al cargo.</t>
  </si>
  <si>
    <t xml:space="preserve">ADSC83</t>
  </si>
  <si>
    <t xml:space="preserve">Realizar funciones de archivo, correspondencia, manejo de información confidencial y funciones de relaciones públicas inherentes al cargo. Por lo regular ocupa el más alto cargo de secretaria de una sección o departamento.</t>
  </si>
  <si>
    <t xml:space="preserve">Jefe de sección</t>
  </si>
  <si>
    <t xml:space="preserve">SLEF80</t>
  </si>
  <si>
    <t xml:space="preserve">AYUDANTE ENFERMERÍA</t>
  </si>
  <si>
    <t xml:space="preserve">Realiza labores de apoyo operativo complementario no complicados, que le sean asignados por la enfermera, incluyendo aspectos de limpieza de instrumentos. Elabora listas y da información sobre pacientes; hace pedidos de medicamentos y demás elementos a farmacia; da apoyo a los pacientes. Este cargo es desempeñado por una persona con un requerimiento mínimo de sexto de bachillerato y con un adiestramiento en funciones generales de enfermería.</t>
  </si>
  <si>
    <t xml:space="preserve">Enfermera </t>
  </si>
  <si>
    <t xml:space="preserve">SLHP80</t>
  </si>
  <si>
    <t xml:space="preserve">INSTRUMENTADOR</t>
  </si>
  <si>
    <t xml:space="preserve">Responsable por mantener todos los instrumentos esterilizados y en perfecto estado, prepara el material requerido para diferentes tratamientos y cirugías, velando por el control estricto del inventario de la instrumentación asignada.</t>
  </si>
  <si>
    <t xml:space="preserve">Médico - odontólogo</t>
  </si>
  <si>
    <t xml:space="preserve">SLRX80</t>
  </si>
  <si>
    <t xml:space="preserve">RADIÓLOGO</t>
  </si>
  <si>
    <t xml:space="preserve">Realiza exámenes de diagnóstico con base en las radiografías tomadas; solicita el mantenimiento y/ó arreglo de los equipos; lleva el control de servicios, codificación de placas, registros y revisión de los que se aceptan o no; precisa 3 años de experiencia y ser profesional en el área.</t>
  </si>
  <si>
    <t xml:space="preserve">SLFM80</t>
  </si>
  <si>
    <t xml:space="preserve">REGENTE DE FARMACIA</t>
  </si>
  <si>
    <t xml:space="preserve">Asesorar las funciones de droguería el los procesos de dispensación formuladas, según las características de cada producto y la normatividad vigente para al manejo y venta de medicamentos, con el fin de garantizar la correcta atención de los usuarios.</t>
  </si>
  <si>
    <t xml:space="preserve">Administrador de Farmacia</t>
  </si>
  <si>
    <t xml:space="preserve">SGRI80</t>
  </si>
  <si>
    <t xml:space="preserve">ASISTENTE PREVENCIÓN</t>
  </si>
  <si>
    <t xml:space="preserve">SGSC80</t>
  </si>
  <si>
    <t xml:space="preserve">SUSCRIPTOR JR GRANDES RIESGOS</t>
  </si>
  <si>
    <t xml:space="preserve">Riesgos</t>
  </si>
  <si>
    <t xml:space="preserve">Responsable por la análisis de riesgo, precios y aceptación de las pólizas solicitadas a la compañía del área de grandes riesgos.</t>
  </si>
  <si>
    <t xml:space="preserve">TIIR80</t>
  </si>
  <si>
    <t xml:space="preserve">DATA ENTRY</t>
  </si>
  <si>
    <t xml:space="preserve">Opera diversos dispositivos de entrada de datos para realizar transcripciones, verificación de información y diversas actividades operativas. Recibe y revisa las entradas y salidas de datos.</t>
  </si>
  <si>
    <t xml:space="preserve">Administrador base de datos</t>
  </si>
  <si>
    <t xml:space="preserve">MKPB80</t>
  </si>
  <si>
    <t xml:space="preserve">ASISTENTE PROMOCION PUBLICITARIA </t>
  </si>
  <si>
    <t xml:space="preserve">Atender y visitar a los proveedores para supervisar el buen desarrollo de los diferentes trabajos. Mantener contacto con agencias de publicidad en el desarrollo y control de las campañas publicitarias.                                     </t>
  </si>
  <si>
    <t xml:space="preserve">Gerente de publicidad / Jefe de publicidad</t>
  </si>
  <si>
    <t xml:space="preserve">MAPP80</t>
  </si>
  <si>
    <t xml:space="preserve">ASISTENTE PLANEACION PRODUCCION</t>
  </si>
  <si>
    <t xml:space="preserve">Mantener la información requerida actualizada para planificar la producción y controlar los inventarios de acuerdo a las normas fijadas.</t>
  </si>
  <si>
    <t xml:space="preserve">Jefe de planeación y control de inventario</t>
  </si>
  <si>
    <t xml:space="preserve">LSPL80</t>
  </si>
  <si>
    <t xml:space="preserve">TÉCNICO LOGÍSTICA</t>
  </si>
  <si>
    <t xml:space="preserve">Responsable de las actividades relacionadas con los procesos de logística, ayuda la programación óptima de las rutas de transporte, etc.; toma parte en el desarrollo de nuevos procesos tanto internos como externos buscando alcanzar los objetivos.</t>
  </si>
  <si>
    <t xml:space="preserve">TIOS80</t>
  </si>
  <si>
    <t xml:space="preserve">OPERADOR COMPUTADOR</t>
  </si>
  <si>
    <t xml:space="preserve">Operar el computador de acuerdo con las instrucciones del manual o programa correspondiente. </t>
  </si>
  <si>
    <t xml:space="preserve">Jefe de procesamiento de datos</t>
  </si>
  <si>
    <t xml:space="preserve">OPOP80</t>
  </si>
  <si>
    <t xml:space="preserve">ASISTENTE OPERACIONES</t>
  </si>
  <si>
    <t xml:space="preserve">Asiste en la operación de la región o distrito donde esté ubicado. Da soporte al supervisor inmediato y a los clientes en el día a día de la operación.</t>
  </si>
  <si>
    <t xml:space="preserve">Jefe de Operacionas</t>
  </si>
  <si>
    <t xml:space="preserve">FNOF80</t>
  </si>
  <si>
    <t xml:space="preserve">CAJERO PRINCIPAL</t>
  </si>
  <si>
    <t xml:space="preserve">Otros Nombres: Cajero General, Cajero Pagador. Vela por la custodia, manejo y control de los fondos de la entidad en las operaciones de caja de la oficina principal y atiende al cliente que solicita estos servicios. Se requiere estudiante universitario con 2 años de experiencia relacionada con el cargo. </t>
  </si>
  <si>
    <t xml:space="preserve">SGMC80</t>
  </si>
  <si>
    <t xml:space="preserve">AUXLIAR MESA CONTROL</t>
  </si>
  <si>
    <t xml:space="preserve">Analista mesa de control</t>
  </si>
  <si>
    <t xml:space="preserve">FNTM80</t>
  </si>
  <si>
    <t xml:space="preserve">TRADER JUNIOR</t>
  </si>
  <si>
    <t xml:space="preserve">Realiza la compra y venta de moneda local y monedas extrajeras, de pesos contra dólares u otras monedas, que afecten la posición del banco; maneja niveles razonables de riesgos de moneda, liquidez y tasa de interés para generar utilidades a la entidad. Invierte a corto y largo plazo según los requerimientos indicados o disponibilidades de recursos, y cubrir a la entidad en los requerimientos de encaje. </t>
  </si>
  <si>
    <t xml:space="preserve">MKMP80</t>
  </si>
  <si>
    <t xml:space="preserve">ASISTENTE MERCADEO</t>
  </si>
  <si>
    <t xml:space="preserve">Prestar servicio en todas las labores del área de mercadeo, da apoyo en promociones y eventos especiales. En ciertas compañías hace estudios estadísticos de los productos o servicios.                                                   </t>
  </si>
  <si>
    <t xml:space="preserve">MAMT80</t>
  </si>
  <si>
    <t xml:space="preserve">TECNICO ELECTROMECÁNICO</t>
  </si>
  <si>
    <t xml:space="preserve">Realizar el mantenimiento industrial, mecánica de ajuste, soldadura, mantenimiento general y de instalaciones eléctricas industriales.</t>
  </si>
  <si>
    <t xml:space="preserve">Jefe mantenimiento / Ingeniero mantenimiento</t>
  </si>
  <si>
    <t xml:space="preserve">MAMT81</t>
  </si>
  <si>
    <t xml:space="preserve">TECNICO MANTENIMIENTO</t>
  </si>
  <si>
    <t xml:space="preserve">Realizar la mecánica de ajuste de máquinas y herramientas, soldaduras de todo tipo, aplicando técnicas de electrónica industrial. Realizar el seguimiento a la seguridad y al mantenimiento de equipos, calderas, instalaciones y cableado de motores eléctricos.</t>
  </si>
  <si>
    <t xml:space="preserve">JULE80</t>
  </si>
  <si>
    <t xml:space="preserve">ABOGADO JUNIOR</t>
  </si>
  <si>
    <t xml:space="preserve">Realizar labores de investigación, revisión y redacción de informes y el seguimiento a los procesos en los estrados judiciales y entidades públicas. Documenta, prepara conceptos e informes y revisión de textos.</t>
  </si>
  <si>
    <t xml:space="preserve">Asociado senior / junior</t>
  </si>
  <si>
    <t xml:space="preserve">MAGC82</t>
  </si>
  <si>
    <t xml:space="preserve">ASISTENTE LABORATORIO</t>
  </si>
  <si>
    <t xml:space="preserve">MAGC81</t>
  </si>
  <si>
    <t xml:space="preserve">TÉCNICO LABORATORIO</t>
  </si>
  <si>
    <t xml:space="preserve">Responsable de las actividades del análisis químico y/o físico de los materiales y productos terminados, preparando soluciones estándar, manteniendo el control de los resultados y controlando los inventarios de materiales y reactivos.</t>
  </si>
  <si>
    <t xml:space="preserve">CTOB85</t>
  </si>
  <si>
    <t xml:space="preserve">TRAMITADOR INMOBILIARIO</t>
  </si>
  <si>
    <t xml:space="preserve">Ejecutar la tramitología y gestión de cartera pertinente a la comercialización de los inmuebles, dentro de los plazos establecidos, de acuerdo con las normas del area para obtener la máxima rentabilidad y contribuir al cumplimiento de las metas.</t>
  </si>
  <si>
    <t xml:space="preserve">Director Tramites </t>
  </si>
  <si>
    <t xml:space="preserve">AGAG80</t>
  </si>
  <si>
    <t xml:space="preserve">CABO CAMPO</t>
  </si>
  <si>
    <t xml:space="preserve">INGENIOS</t>
  </si>
  <si>
    <t xml:space="preserve">Otros nombres: Supervisor Investigación Agrícola. Coordina experimentos con caña, aplica nuevas tecnologías. Se requiere Tecnólogo Agropecuario con 1 año de experiencia.</t>
  </si>
  <si>
    <t xml:space="preserve">Jefe investigación y desarrollo</t>
  </si>
  <si>
    <t xml:space="preserve">AGAG81</t>
  </si>
  <si>
    <t xml:space="preserve">CABO COSECHA</t>
  </si>
  <si>
    <t xml:space="preserve">Otros nombres: Supervisor de Cosecha. Encargado de la supervisión del alce, el transporte y transbordo de caña contribuyendo a la continua disponibilidad de caña. Se requiere Técnico Agrícola con 1 año de experiencia.</t>
  </si>
  <si>
    <t xml:space="preserve">Supervisor Producción - caña</t>
  </si>
  <si>
    <t xml:space="preserve">AGAG82</t>
  </si>
  <si>
    <t xml:space="preserve">MONITOR CORTE CAÑA</t>
  </si>
  <si>
    <t xml:space="preserve">Supervisa el método de trabajo con el fin de contribuir en la calidad y seguridad en la gestión de corte; técnico agrícola con 1 año de experiencia.</t>
  </si>
  <si>
    <t xml:space="preserve">HTAL80</t>
  </si>
  <si>
    <t xml:space="preserve">BARMAN</t>
  </si>
  <si>
    <t xml:space="preserve">Toma pedidos de bebidas al personal de servicio ó directamente a los clientes. Mezcla licores, gaseosas, agua, esencias y otros ingredientes para preparar cócteles y otras bebidas. Recibe el pago de bebidas y registra las ventas; mantiene el inventario y controla las existencias del bar. Se requiere profesional o Tecnólogo con 1 año de experiencia y muy buen manejo del inglés.</t>
  </si>
  <si>
    <t xml:space="preserve">HTSV80</t>
  </si>
  <si>
    <t xml:space="preserve">CAPITÁN BOTONES</t>
  </si>
  <si>
    <t xml:space="preserve">Coordina y apoya la ubicación del huésped en la habitación asignada. Colabora con las maletas al ingreso o salida del hotel, revisa las recámaras para garantizar que estén en orden. Ofrece información sobre las condiciones de las mismas y servicios del hotel, coordina las actividades de otros botones. Necesita ser técnico hotelero, con conocimientos de inglés, no es indispensable experiencia.</t>
  </si>
  <si>
    <t xml:space="preserve">Jefe de Reservaso y /o habitaciones</t>
  </si>
  <si>
    <t xml:space="preserve">HTAL81</t>
  </si>
  <si>
    <t xml:space="preserve">CAPITÁN ROOM SERVICE</t>
  </si>
  <si>
    <t xml:space="preserve">Coordina la atención a los clientes en sus habitaciones. Ofrece información sobre las opciones del servicio a su cargo  y los servicios del hotel. Se requiere Técnico hotelero, con conocimientos de inglés, no es indispensable experiencia.</t>
  </si>
  <si>
    <t xml:space="preserve">HTSV83</t>
  </si>
  <si>
    <t xml:space="preserve">CAPITÁN SERVICIO</t>
  </si>
  <si>
    <t xml:space="preserve">Organizar y hacer el seguimiento al servicio del establecimiento, capacitar a los meseros, hacer evaluaciones de desempeño, indicadores de gestión y toma de pedidos a los clientes.</t>
  </si>
  <si>
    <t xml:space="preserve">HTAL82</t>
  </si>
  <si>
    <t xml:space="preserve">CORTADOR CARNES - BOUCHER</t>
  </si>
  <si>
    <t xml:space="preserve">Coordina los diferentes pedidos de las carnes necesarias para cumplir con los eventos programados. Planea y alista la carne según los contratos y el inventario mínimo del día. Efectúa el corte de la carne según el tipo de la misma y de tal manera que se aproveche al máximo.</t>
  </si>
  <si>
    <t xml:space="preserve">HTSV82</t>
  </si>
  <si>
    <t xml:space="preserve">HOUSE MAN</t>
  </si>
  <si>
    <t xml:space="preserve">Esta a cargo de la planeación y ejecución del montaje y desmontaje de eventos y actividades organizadas por el hotel. Se requiere experiencia en logística, uso de implementos y materiales relacionados a la iluminación, sonido y escenografía. 
Experiencia mínima de tres años en cargos relacionados; el cargo es desempeñado por un tecnólogo con énfasis en la organización de eventos.
</t>
  </si>
  <si>
    <t xml:space="preserve">Coordinador de eventos</t>
  </si>
  <si>
    <t xml:space="preserve">HTRS80</t>
  </si>
  <si>
    <t xml:space="preserve">JEFE TURNO</t>
  </si>
  <si>
    <t xml:space="preserve">Encargado de la manipulación de Alimentos, Manejo de Personal, Servicio al cliente</t>
  </si>
  <si>
    <t xml:space="preserve">HTAL83</t>
  </si>
  <si>
    <t xml:space="preserve">MAITRE</t>
  </si>
  <si>
    <t xml:space="preserve">Revisa diariamente los contratos de eventos y coordina el servicio a prestar. Atiende directamente al cliente. Realiza la preparación de productos en el comedor frente al cliente. Soluciona los problemas y quejas presentadas por los clientes.</t>
  </si>
  <si>
    <t xml:space="preserve">Jefe alimentos y bebidas</t>
  </si>
  <si>
    <t xml:space="preserve">HTSV81</t>
  </si>
  <si>
    <t xml:space="preserve">TELEFONISTA</t>
  </si>
  <si>
    <t xml:space="preserve">Realiza y recibe llamadas telefónicas para el huésped y lo ubica cuando es requerido telefónicamente. Requiere ser bachiller, algo de inglés para desenvolverse adecuadamente en el cargo.</t>
  </si>
  <si>
    <t xml:space="preserve">Jefe recepción</t>
  </si>
  <si>
    <t xml:space="preserve">FIGN80</t>
  </si>
  <si>
    <t xml:space="preserve">ASISTENTE FINANCIERO</t>
  </si>
  <si>
    <t xml:space="preserve">Dar apoyo en la realización de estudios financieros, presupuestos e informes que permiten analizar las desviaciones del presupuesto y formular planes correctivos.</t>
  </si>
  <si>
    <t xml:space="preserve">Jefe financiero</t>
  </si>
  <si>
    <t xml:space="preserve">GHGN80</t>
  </si>
  <si>
    <t xml:space="preserve">ASISTENTE GESTION HUMANA</t>
  </si>
  <si>
    <t xml:space="preserve">Apoyar los diversos procesos y actividades lideradas por el área de gestión humana.</t>
  </si>
  <si>
    <t xml:space="preserve">ADGN81</t>
  </si>
  <si>
    <t xml:space="preserve">PROFESIONAL EN ENTRENAMIENTO</t>
  </si>
  <si>
    <t xml:space="preserve">Profesional recién egresado para ubicarse en cualquier área de la compañía en entrenamiento y observación.</t>
  </si>
  <si>
    <t xml:space="preserve">Jefe de sección o departamento</t>
  </si>
  <si>
    <t xml:space="preserve">ADGN82</t>
  </si>
  <si>
    <t xml:space="preserve">PROFESIONAL JUNIOR</t>
  </si>
  <si>
    <t xml:space="preserve">Profesional encargado de dar apoyo operativo en una de las áreas de la compañía.</t>
  </si>
  <si>
    <t xml:space="preserve">ADGN80</t>
  </si>
  <si>
    <t xml:space="preserve">SUPERNUMERARIO NO FINANCIERO</t>
  </si>
  <si>
    <t xml:space="preserve">Brindar apoyo en las áreas en que se encuentra asignado, especialmente en época de alto trabajo, vacaciones, licencias, incapacidades.</t>
  </si>
  <si>
    <t xml:space="preserve">Jefe Administrativo</t>
  </si>
  <si>
    <t xml:space="preserve">FNFD80</t>
  </si>
  <si>
    <t xml:space="preserve">OFICIAL FIDUCIARIA</t>
  </si>
  <si>
    <t xml:space="preserve">Dar apoyo logístico a la gestión que realiza la gerencia de fiducia de inversión, en la compra y venta de títulos y recursos propios y con los recursos de los fondos que se administran.  Coordina los aspectos operativos de la captación de clientes generados por la compañía.</t>
  </si>
  <si>
    <t xml:space="preserve">Jefe proyectos fiduciarios</t>
  </si>
  <si>
    <t xml:space="preserve">LSTD80</t>
  </si>
  <si>
    <t xml:space="preserve">ANALISTA LOGISTICA</t>
  </si>
  <si>
    <t xml:space="preserve">Realizar el análisis y control de las actividades de logística, abastecimiento, control de stocks, rotación de productos y distribución de espacios. </t>
  </si>
  <si>
    <t xml:space="preserve">Gerente de logística</t>
  </si>
  <si>
    <t xml:space="preserve">LSTD81</t>
  </si>
  <si>
    <t xml:space="preserve">SUPERVISOR TRÁFICO</t>
  </si>
  <si>
    <t xml:space="preserve">Realizan labores de seguimiento de los vehículos transportadores  en las carreteras por medio del monitoreo.</t>
  </si>
  <si>
    <t xml:space="preserve">Jefe Administración del riesgo terrestre</t>
  </si>
  <si>
    <t xml:space="preserve">TIDE80</t>
  </si>
  <si>
    <t xml:space="preserve">TECNICO PROGRAMADOR</t>
  </si>
  <si>
    <t xml:space="preserve">Escribir en instrucciones o código las aplicaciones y/o procedimientos analizados y diseñados, realizando la respectiva prueba y verificación de los programas de computador.                                                      </t>
  </si>
  <si>
    <t xml:space="preserve">Analista programador</t>
  </si>
  <si>
    <t xml:space="preserve">FICC81</t>
  </si>
  <si>
    <t xml:space="preserve">COBRADOR</t>
  </si>
  <si>
    <t xml:space="preserve">Distribuye las facturas de la compañía, reúne los contra recibos y realiza la cobranza de facturas presentadas con anterioridad en las oficinas de los clientes. Informa acerca de las facturas no pagadas y realiza otras actividades relacionadas.</t>
  </si>
  <si>
    <t xml:space="preserve">Coordinador/ Espec / Jefe Crédito y cobranza</t>
  </si>
  <si>
    <t xml:space="preserve">FICO70</t>
  </si>
  <si>
    <t xml:space="preserve">ASISTENTE COSTOS</t>
  </si>
  <si>
    <t xml:space="preserve">Asiste al área en el levantamiento de información para realizar una aproximación de costos para las diferentes áreas, apoyar al área en el análisis de inventarios y activos fijos</t>
  </si>
  <si>
    <t xml:space="preserve">Jefe de Costos</t>
  </si>
  <si>
    <t xml:space="preserve">FICT80</t>
  </si>
  <si>
    <t xml:space="preserve">ASISTENTE CONTABILIDAD</t>
  </si>
  <si>
    <t xml:space="preserve">Llevar los registros e información contable de una actividad o sección específica, por ejemplo nómina, activos, facturación, etc.  Colaborar en labores inherentes a la elaboración de presupuesto.</t>
  </si>
  <si>
    <t xml:space="preserve">CTOB80</t>
  </si>
  <si>
    <t xml:space="preserve">MAESTRO OBRA II</t>
  </si>
  <si>
    <t xml:space="preserve">CONSTRUCCION</t>
  </si>
  <si>
    <t xml:space="preserve">Dirigir cuadrillas de trabajadores, en labores de albañilería y construcción en obras, dirigiendo cada labor e ítem constructivo, verificando la técnica y elementos constructivos adecuados en los frentes de trabajo.  Coordina a los oficiales y a los oficiales, planea la obra, los materiales y la calidad de la obra, pasa los niveles y hace las marcaciones. (Reporta al ingeniero residente). Experiencia de 8 a 10 años.</t>
  </si>
  <si>
    <t xml:space="preserve">Ingeniero Residente</t>
  </si>
  <si>
    <t xml:space="preserve">CTOB81</t>
  </si>
  <si>
    <t xml:space="preserve">TOPÓGRAFO</t>
  </si>
  <si>
    <t xml:space="preserve">Realiza levantamientos topográficos de los terrenos por donde van a pasar tuberías u otras obras civiles que estén previstas en los planos; Requiere Topógrafo con experiencia de 2 años.</t>
  </si>
  <si>
    <t xml:space="preserve">WOSL80</t>
  </si>
  <si>
    <t xml:space="preserve">CONDUCTOR AMBULANCIA</t>
  </si>
  <si>
    <t xml:space="preserve">CONDUCTORES</t>
  </si>
  <si>
    <t xml:space="preserve">Realiza el traslado de pacientes, personal, medicamentos ó material médico; revisa el estado general del vehículo e informa sobre daños al jefe de transportes. Requiere de 1 año de experiencia, ser bachiller y un curso de manejo de vehículos de emergencia.</t>
  </si>
  <si>
    <t xml:space="preserve">Jefe Transportes - Salud</t>
  </si>
  <si>
    <t xml:space="preserve">ADCO80</t>
  </si>
  <si>
    <t xml:space="preserve">CONDUCTOR GERENCIA</t>
  </si>
  <si>
    <t xml:space="preserve">Realiza labores de conducción del vehículo del gerente de un área o del Gerente General; cumpliendo las órdenes que le sean asignadas. Mantiene su vehículo en buenas condiciones de funcionamiento, lubricación y aseo. Efectúa trámites ordenados por el Gerente; posee conocimientos elementales de mecánica automotriz. Bachiller con experiencia de 2 años en actividades similares. Reporta a: Jefe Administrativo, Jefe de Servicios Generales</t>
  </si>
  <si>
    <t xml:space="preserve">Jefe Administrativo /Jefe de Servicios Generales.</t>
  </si>
  <si>
    <t xml:space="preserve">CPPC81</t>
  </si>
  <si>
    <t xml:space="preserve">ASISTENTE RELACIONES PUBLICAS - COMUNIC.</t>
  </si>
  <si>
    <t xml:space="preserve">Asistir al director en labores tales como las relaciones con los medios de comunicación y en actividades que se organicen para promover la imagen de la empresa.</t>
  </si>
  <si>
    <t xml:space="preserve">Director de relaciones publicas</t>
  </si>
  <si>
    <t xml:space="preserve">LSCE82</t>
  </si>
  <si>
    <t xml:space="preserve">ASISTENTE IMPORTACIONES - EXPORTACIONES</t>
  </si>
  <si>
    <t xml:space="preserve">Asistir al área en la realización de las actividades relacionadas con la importación de materias primas, maquinaria y elementos requeridos por la compañía para su funcionamiento, así como de las exportaciones de productos en proceso y/o terminados.</t>
  </si>
  <si>
    <t xml:space="preserve">Jefe de importaciones/exportaciones</t>
  </si>
  <si>
    <t xml:space="preserve">LSCE80</t>
  </si>
  <si>
    <t xml:space="preserve">ASISTENTE OPERACIONES INTERNACIONALES</t>
  </si>
  <si>
    <t xml:space="preserve">Legalizar las transacciones realizadas en moneda extranjera según las normas existentes en materia cambiaria. Revisar y controlar las funciones operativas de los auxiliares del área, revisar la contabilidad, verificar los reportes y mantener comunicación con entidades de comercio exterior con el fin de evitar multas y sanciones por parte de entidades de control.</t>
  </si>
  <si>
    <t xml:space="preserve">Director de operaciones internacionales</t>
  </si>
  <si>
    <t xml:space="preserve">LSCE81</t>
  </si>
  <si>
    <t xml:space="preserve">TRAMITADOR ADUANA</t>
  </si>
  <si>
    <t xml:space="preserve">Se encarga de realizar el tramite y elaborar la póliza de importación</t>
  </si>
  <si>
    <t xml:space="preserve">Jefe aduana</t>
  </si>
  <si>
    <t xml:space="preserve">FICF81</t>
  </si>
  <si>
    <t xml:space="preserve">ASISTENTE CARTERA</t>
  </si>
  <si>
    <t xml:space="preserve">Asiste al área en:  la asignación de creditos y el contro de los mismos y la planificación el cobro a terceros.</t>
  </si>
  <si>
    <t xml:space="preserve">FICF80</t>
  </si>
  <si>
    <t xml:space="preserve">ASISTENTE FACTURACION</t>
  </si>
  <si>
    <t xml:space="preserve">Mantener al día todo lo relacionado con facturación, enviar carta de cobro a los clientes morosos, reportar a contabilidad los pagos, facturas anuladas y elaborar cheques  emitidos por la compañía.</t>
  </si>
  <si>
    <t xml:space="preserve">Jefe de tesorería</t>
  </si>
  <si>
    <t xml:space="preserve">COSC80</t>
  </si>
  <si>
    <t xml:space="preserve">AGENTE ATENCIÓN AL CONSUMIDOR</t>
  </si>
  <si>
    <t xml:space="preserve">Asiste la atención a los cuestionamientos por teléfono de los clientes, con el objeto de aclarar, orientar y dirigir los problemas detectados hacia una solución.</t>
  </si>
  <si>
    <t xml:space="preserve">COSC81</t>
  </si>
  <si>
    <t xml:space="preserve">TÉCNICO SERVICIOS  (CAMPO)</t>
  </si>
  <si>
    <t xml:space="preserve">Instala, modifica, actualiza, mantiene y repara productos complejos o equipamientos recién adquiridos.</t>
  </si>
  <si>
    <t xml:space="preserve">LSMT81</t>
  </si>
  <si>
    <t xml:space="preserve">ALMACENISTA MATERIALES</t>
  </si>
  <si>
    <t xml:space="preserve">Responder por el almacén de materiales y productos terminados. Llevar controles que indiquen la cantidad de existencia disponible en todo momento. Despachar mercancía y recibe materiales de proveedores.</t>
  </si>
  <si>
    <t xml:space="preserve">LSMT82</t>
  </si>
  <si>
    <t xml:space="preserve">ASISTENTE ALMACEN</t>
  </si>
  <si>
    <t xml:space="preserve">Realizar las labores de recibo, almacenamiento y entrega de los elementos. Garantizar un eficiente servicio de distribución de materiales y control de inventarios, que indique la existencia disponible en todo momento.</t>
  </si>
  <si>
    <t xml:space="preserve">Jefe de almacén</t>
  </si>
  <si>
    <t xml:space="preserve">AAAU80</t>
  </si>
  <si>
    <t xml:space="preserve">ASISTENTE AUDITORIA</t>
  </si>
  <si>
    <t xml:space="preserve">Desarrollar y ejecutar los programas de auditoría que se llevan a cabo en el área. Recaudar información y analizarla, asegurar la calidad del sistema de control interno de la empresa.</t>
  </si>
  <si>
    <t xml:space="preserve">MAGC80</t>
  </si>
  <si>
    <t xml:space="preserve">TÉCNICO CALIDAD</t>
  </si>
  <si>
    <t xml:space="preserve">Conduce análisis rutinarios y pruebas de varios componentes del programa de control de calidad compuestos de bases de datos, sistemas de evaluación, valuación del producto y calidad de tecnología. Conduce análisis y pruebas de materia prima, materiales en procesos.</t>
  </si>
  <si>
    <t xml:space="preserve">Ingeniero Calidad</t>
  </si>
  <si>
    <t xml:space="preserve">GHAP80</t>
  </si>
  <si>
    <t xml:space="preserve">ASISTENTE ADMINISTRACIÓN RH</t>
  </si>
  <si>
    <t xml:space="preserve">Responsable de las actividades menos complejas de administración del personal, incluyendo contrataciones, despidos, vacaciones, permisos, transferencias y otras rutinas. Prepara reportes estadísticos del personal (rotación, ausentismo, tiempo extra, etc.)</t>
  </si>
  <si>
    <t xml:space="preserve">COAV80</t>
  </si>
  <si>
    <t xml:space="preserve">ASISTENTE ADMINISTRATIVO VENTAS PL.</t>
  </si>
  <si>
    <t xml:space="preserve">Apoya con diferentes actividades de administración de ventas, incluyendo la verificación de la consistencia en los reportes de los vendedores, para una recuperación posterior de pedidos, el bloqueo y liberación de productos para venta, etc.</t>
  </si>
  <si>
    <t xml:space="preserve">ATAT80</t>
  </si>
  <si>
    <t xml:space="preserve">ARCHIVO</t>
  </si>
  <si>
    <t xml:space="preserve">Determinar la información importante que debe registrarse en los archivos históricos del medio.  Tiene a su cargo la selección, organización y disposición de la información con el fin de que sea accesible en determinado momento. Además de administrar todo el material que se necesita para la realización de noticieros, periódicos y emisiones radiales.</t>
  </si>
  <si>
    <t xml:space="preserve">Jefe archivo</t>
  </si>
  <si>
    <t xml:space="preserve">HTAL84</t>
  </si>
  <si>
    <t xml:space="preserve">ASISTENTE ALIMENTOS Y BEBIDAS</t>
  </si>
  <si>
    <t xml:space="preserve">Asistir en todo lo relacionado con la prestación del servicio de alimentos y bebidas, así como desarrollar nuevos procedimientos y realizar las gestiones con proveedores buscando la mejor calidad de los insumos.</t>
  </si>
  <si>
    <t xml:space="preserve">HEAD80</t>
  </si>
  <si>
    <t xml:space="preserve">ASISTENTE AYUDAS A LA COMUNIDAD</t>
  </si>
  <si>
    <t xml:space="preserve">Asistir al abogado en todas las actividades programadas por la compañía e informar las anomalías que se están presentando por las operaciones que realiza la empresa y que afectan a  la comunidad del área de influencia.  Llevar un control del avance de las obras sociales que se ejecuten en las veredas cercanas al campo.  </t>
  </si>
  <si>
    <t xml:space="preserve">Coordinador de ayudas a la comunidad</t>
  </si>
  <si>
    <t xml:space="preserve">SGID80</t>
  </si>
  <si>
    <t xml:space="preserve">ASISTENTE INDEMNIZACIONES</t>
  </si>
  <si>
    <t xml:space="preserve">Atender las reclamaciones efectuadas por los clientes mediante un proceso de análisis, inspección y trámite de documentación.</t>
  </si>
  <si>
    <t xml:space="preserve">Jefe indemnización / Jefe suscripción</t>
  </si>
  <si>
    <t xml:space="preserve">SGRE80</t>
  </si>
  <si>
    <t xml:space="preserve">ASISTENTE REASEGUROS</t>
  </si>
  <si>
    <t xml:space="preserve">Responsable por respaldar y distribuir riesgos que asume la compañía para protegerla de los siniestros que puedan afectar su patrimonio elaborando los correspondientes cierres mensuales. </t>
  </si>
  <si>
    <t xml:space="preserve">Jefe unidad suscripción / Jefe Reaseguros</t>
  </si>
  <si>
    <t xml:space="preserve">SGSC81</t>
  </si>
  <si>
    <t xml:space="preserve">ASISTENTE SUSCRIPCION</t>
  </si>
  <si>
    <t xml:space="preserve">Atender de manera  gil y oportuna los trámites de expedición de pólizas nuevas, renovación, modificación o liquidación de pólizas y certificados mediante la verificación y control de toda la documentación según los par metros establecidos por la compañía. </t>
  </si>
  <si>
    <t xml:space="preserve">MCIM80</t>
  </si>
  <si>
    <t xml:space="preserve">FOTOMECANICO</t>
  </si>
  <si>
    <t xml:space="preserve">IMPRESION</t>
  </si>
  <si>
    <t xml:space="preserve">Configurar los negativos en películas blancas para enviarla a plancha y determinar el calibraje de tintas. </t>
  </si>
  <si>
    <t xml:space="preserve">Jefe impresión</t>
  </si>
  <si>
    <t xml:space="preserve">MCCM80</t>
  </si>
  <si>
    <t xml:space="preserve">PERIODISTA JUNIOR</t>
  </si>
  <si>
    <t xml:space="preserve">Investigar y estructurar noticias y notas de interés. Colaborar con la redacción de noticias especiales o crónicas informativas.  Dar los elementos necesarios para la creación de la opinión pública a partir de una manejo razonable y ético del material.</t>
  </si>
  <si>
    <t xml:space="preserve">HTAL85</t>
  </si>
  <si>
    <t xml:space="preserve">PRIMER COCINERO</t>
  </si>
  <si>
    <t xml:space="preserve">Colaborar en la preparación de la comida caliente o fría dispuesta por el Chef o Sous Chef.</t>
  </si>
  <si>
    <t xml:space="preserve">Chef / Sous chef</t>
  </si>
  <si>
    <t xml:space="preserve">COVS90</t>
  </si>
  <si>
    <t xml:space="preserve">AUXILIAR VENTAS</t>
  </si>
  <si>
    <t xml:space="preserve">AUXILIAR </t>
  </si>
  <si>
    <t xml:space="preserve">Dar apoyo al área de  ventas de la empresa, atiende clientes suministrándole la información referente al producto o servicio. 
Reporta a Jefe de Ventas/Gerente de Ventas</t>
  </si>
  <si>
    <t xml:space="preserve">Sólo aprendizaje ( 12 meses)</t>
  </si>
  <si>
    <t xml:space="preserve">CMCM90</t>
  </si>
  <si>
    <t xml:space="preserve">CAJERO SUPERMERCADO</t>
  </si>
  <si>
    <t xml:space="preserve">Recibe del cliente el  pago de acuerdo a las mercancías adquiridas, llevando su control y efectuando el arqueo de caja.</t>
  </si>
  <si>
    <t xml:space="preserve">Administrador de supermercado</t>
  </si>
  <si>
    <t xml:space="preserve">CMTM90</t>
  </si>
  <si>
    <t xml:space="preserve">MERCADERISTA</t>
  </si>
  <si>
    <t xml:space="preserve">Da a conocer al cliente las características, beneficios y precios de los productos. Prepara algún tipo de alimentos y realiza su degustación; distribuye muestras; demuestra el funcionamiento y uso de los productos. Mantiene organizados los puntos de degustación y exhibición; recomienda a los clientes sobre el uso y cuidado de la mercancía; mantiene el registro de las mercancías y/o productos para el control de inventarios. Se requiere estar realizando estudios a nivel técnico y entrenamiento en las características y exhibición de productos. Reporta a: Supervisor de Ventas, Vendedor.</t>
  </si>
  <si>
    <t xml:space="preserve">Supervisor de Ventas/ Vendedor.</t>
  </si>
  <si>
    <t xml:space="preserve">No necesaria</t>
  </si>
  <si>
    <t xml:space="preserve">CMCM92</t>
  </si>
  <si>
    <t xml:space="preserve">SURTIDOR SUPERMERCADO</t>
  </si>
  <si>
    <t xml:space="preserve">Se encarga de realizar la distribución y organización de la mercancía en los diferentes estantes del supermercado. Revisa la mercancía entregada, coloca tiquetes de precios a los productos y efectúa inventarios.</t>
  </si>
  <si>
    <t xml:space="preserve">FITS90</t>
  </si>
  <si>
    <t xml:space="preserve">AUXILIAR TESORERIA</t>
  </si>
  <si>
    <t xml:space="preserve">Dar apoyo en el manejo del portafolio de inversión y generación de reportes estadísticos, con el fin de garantizar la toma de decisiones.</t>
  </si>
  <si>
    <t xml:space="preserve">COSC93</t>
  </si>
  <si>
    <t xml:space="preserve">AGENTE DE TELE-VENTAS</t>
  </si>
  <si>
    <t xml:space="preserve">Es responsable de vender por teléfono productos y/o servicios de la empresa. Llama a clientes prospectos y responde preguntas después de haber enviado literatura de mercadeo y ventas. Lleva un registro diario de las llamadas y solicitudes de información comercial.</t>
  </si>
  <si>
    <t xml:space="preserve">Jefe Telemarketing</t>
  </si>
  <si>
    <t xml:space="preserve">EDSI90</t>
  </si>
  <si>
    <t xml:space="preserve">AUXILIAR SOPORTE SISTEMAS</t>
  </si>
  <si>
    <t xml:space="preserve">Analizar y dar soporte preventivo y correctivo de hardware y software.</t>
  </si>
  <si>
    <t xml:space="preserve">Director sistemas</t>
  </si>
  <si>
    <t xml:space="preserve">SGTC90</t>
  </si>
  <si>
    <t xml:space="preserve">AUXILIAR TECNICO</t>
  </si>
  <si>
    <t xml:space="preserve">Analista S  SR Técnico</t>
  </si>
  <si>
    <t xml:space="preserve">FNTJ90</t>
  </si>
  <si>
    <t xml:space="preserve">AUXILIAR TARJETA CRÉDITO</t>
  </si>
  <si>
    <t xml:space="preserve">Cumple las actividades asignadas por el Director de Tarjeta de Crédito, especialmente en la consecución y promoción de la tarjeta. Requiere ser estudiante universitario con entrenamiento en el cargo.</t>
  </si>
  <si>
    <t xml:space="preserve">Director Tarjeta de Crédito</t>
  </si>
  <si>
    <t xml:space="preserve">ADSG95</t>
  </si>
  <si>
    <t xml:space="preserve">AUXILIAR ASEO Y CAFETERÍA</t>
  </si>
  <si>
    <t xml:space="preserve">Otros Nombres: Auxiliar de Cafetería, Auxiliar de Servicios Generales, Auxiliar de Oficios Varios. Realiza labores propias de limpieza de las diferentes dependencias y la distribución en horas determinadas del servicio de bebidas al personal de la empresa. Servicio de cafetería, aseo, mensajería, correspondencia y oficios varios. Se requiere Bachiller y no es indispensable poseer experiencia. Reporta a: Jefe Administrativo, Jefe de Servicios Generales</t>
  </si>
  <si>
    <t xml:space="preserve">Jefe servicios generales</t>
  </si>
  <si>
    <t xml:space="preserve">Básica</t>
  </si>
  <si>
    <t xml:space="preserve">Jefe servicios generales / Jefe Administrativo</t>
  </si>
  <si>
    <t xml:space="preserve">ADSG91</t>
  </si>
  <si>
    <t xml:space="preserve">MENSAJERO</t>
  </si>
  <si>
    <t xml:space="preserve">Recoger y entregar correspondencia y/o paquetes, evacuar diligencias y atender la rutina de encargos.</t>
  </si>
  <si>
    <t xml:space="preserve">ADSG92</t>
  </si>
  <si>
    <t xml:space="preserve">MENSAJERO EXTERNO</t>
  </si>
  <si>
    <t xml:space="preserve">Recoge, clasifica y entrega correo externo de acuerdo con los planes preestablecidos; Hace trámites de documentos y diligencias bancarias. Se  requiere  Bachiller sin experiencia. Reporta a: Jefe Administrativo, Jefe de Servicios Generales.</t>
  </si>
  <si>
    <t xml:space="preserve">Jefe Administrativo/Jefe de Servicios Generales.</t>
  </si>
  <si>
    <t xml:space="preserve">ADSG90</t>
  </si>
  <si>
    <t xml:space="preserve">MENSAJERO INTERNO</t>
  </si>
  <si>
    <t xml:space="preserve">Recoge, clasifica y entrega correo interno de acuerdo con los planes preestablecidos; Puede manejar maquinas simples de oficina como fotocopiadoras o faxes. Se requiere Bachiller sin experiencia. Reporta a: Jefe Administrativo, Jefe de Servicios Generales.</t>
  </si>
  <si>
    <t xml:space="preserve">EDBB90</t>
  </si>
  <si>
    <t xml:space="preserve">AUXILIAR BIBLIOTECA</t>
  </si>
  <si>
    <t xml:space="preserve">Brindar apoyo y atención a las solicitudes de los usuarios, con el fin de satisfacer las necesidades de una manera efectiva.</t>
  </si>
  <si>
    <t xml:space="preserve">COSC92</t>
  </si>
  <si>
    <t xml:space="preserve">AUXILIAR SERVICIO AL CLIENTE</t>
  </si>
  <si>
    <t xml:space="preserve">Brindar apoyo en diversos procesos de adquisición del producto o servicio, estableciendo un contacto continuo con el cliente interno y externo, con el fin de mantener y garantizar la satisfacción de los clientes.</t>
  </si>
  <si>
    <t xml:space="preserve">Jefe de Servicio al cliente</t>
  </si>
  <si>
    <t xml:space="preserve">GHBS90</t>
  </si>
  <si>
    <t xml:space="preserve">AUXILIAR DE SALUD OCUPACIONAL Y SEGURIDAD INDUSTRIAL</t>
  </si>
  <si>
    <t xml:space="preserve">Responsable de la asesoría directa al personal de las plantas en lo relacionado a las diferentes normas en materia de higiene y seguridad industrial que deben cumplirse, para evitar riesgos o enfermedades profesionales.
</t>
  </si>
  <si>
    <t xml:space="preserve">Tecnico en seguridad Laboral</t>
  </si>
  <si>
    <t xml:space="preserve">ADSF90</t>
  </si>
  <si>
    <t xml:space="preserve">VIGILANTE/PORTERO</t>
  </si>
  <si>
    <t xml:space="preserve">Vela por la seguridad de las instalaciones puestas a su cargo. Realiza rondas periódicas. Orienta a los visitantes por las áreas apropiadas. Previene robos, saqueos, vandalismo e incendios; maneja armamento, bastones de mando ó perros adiestrados y equipo de radiocomunicación. Requiere 6 meses de experiencia y preferiblemente ser reservista del Ejército. Reporta a: Jefe de Seguridad, Jefe Administrativo, Jefe de Servicios Generales.</t>
  </si>
  <si>
    <t xml:space="preserve">Jefe de Seguridad/ Jefe Administrativo/ Jefe de Servicios Generales.</t>
  </si>
  <si>
    <t xml:space="preserve">TXCT90</t>
  </si>
  <si>
    <t xml:space="preserve">AUXILIAR CORTE</t>
  </si>
  <si>
    <t xml:space="preserve">Reposar, revisar, extender y numerar las telas y piezas de corte de acuerdo al modelo diseñado y a la orden de producción.</t>
  </si>
  <si>
    <t xml:space="preserve">ADSC90</t>
  </si>
  <si>
    <t xml:space="preserve">SECRETARIA AUXILIAR</t>
  </si>
  <si>
    <t xml:space="preserve">Dar apoyo secretarial a una sección o departamento. Realizar labores de mecanografía, correspondencia y atención al público.</t>
  </si>
  <si>
    <t xml:space="preserve">Secretaria general</t>
  </si>
  <si>
    <t xml:space="preserve">SLEF90</t>
  </si>
  <si>
    <t xml:space="preserve">AUXILIAR ENFERMERIA</t>
  </si>
  <si>
    <t xml:space="preserve">Asistir al medico en lo que requiera durante la consulta y mantiene el consultorio, instrumental y material en perfecto estado orden y limpieza.</t>
  </si>
  <si>
    <t xml:space="preserve">SLFM90</t>
  </si>
  <si>
    <t xml:space="preserve">AUXILIAR FARMACIA</t>
  </si>
  <si>
    <t xml:space="preserve">Verifica la existencia de medicamentos y fechas de vencimiento, para surtir la estantería y poder así despachar fórmulas a los beneficiarios,  al hospital ó clínica; despacha fórmulas y orienta a la gente en el uso de los medicamentos. Archiva las fórmulas para el descargue. Requiere cursos sin nivel profesional y/ó estudios técnicos, con un 1 año de experiencia.</t>
  </si>
  <si>
    <t xml:space="preserve">Administrador de drogueria / farmacia</t>
  </si>
  <si>
    <t xml:space="preserve">SLOD90</t>
  </si>
  <si>
    <t xml:space="preserve">AUXILIAR ODONTOLOGIA</t>
  </si>
  <si>
    <t xml:space="preserve">Asistir al odontólogo en lo que requiera durante la consulta y mantiene el consultorio, material e instrumental en perfecto estado de orden y limpieza.   </t>
  </si>
  <si>
    <t xml:space="preserve">SLAD90</t>
  </si>
  <si>
    <t xml:space="preserve">CAMILLERO</t>
  </si>
  <si>
    <t xml:space="preserve">Encargado de trasladar pacientes según los protocolos establecidos para asegurar oportunidad en los requerimientos asistenciales.</t>
  </si>
  <si>
    <t xml:space="preserve">FISR90</t>
  </si>
  <si>
    <t xml:space="preserve">AUXILIAR RIESGOS</t>
  </si>
  <si>
    <t xml:space="preserve">Encargado de la administración y custodia de los archivos de créditos otorgados. Solicita, revisa y provee información de crédito de los clientes. Prepara cartas y organiza los expedientes que se utilicen en el Comité de Crédito.</t>
  </si>
  <si>
    <t xml:space="preserve">GHGN90</t>
  </si>
  <si>
    <t xml:space="preserve">AUXILIAR GESTION HUMANA</t>
  </si>
  <si>
    <t xml:space="preserve">Dar el apoyo logístico necesario a los procesos desarrollados por el área.</t>
  </si>
  <si>
    <t xml:space="preserve">MKPB91</t>
  </si>
  <si>
    <t xml:space="preserve">AUXILIAR AYUDAS AUDIOVISUALES</t>
  </si>
  <si>
    <t xml:space="preserve">Brindar asesoría y apoyo a las personas que solicitan los servicios de audiovisuales y en algunos casos de filmar, grabar y editar los diferentes eventos y actividades que realiza la compañía.</t>
  </si>
  <si>
    <t xml:space="preserve">MAPR90</t>
  </si>
  <si>
    <t xml:space="preserve">AUXILIAR PRODUCCIÓN</t>
  </si>
  <si>
    <t xml:space="preserve">Actualiza la información necesaria para la planeación de la producción y el control de inventarios. Prepara informes  diarios de producción en cuanto a unidades producidas, en proceso y pendientes por producir. Mantiene actualizada la información de la materia prima utilizada en el proceso de producción. Técnico en producción, con una experiencia de 1 año. Reporta a: Jefe de producción, Jefe de Planta, Supervisor de Producción</t>
  </si>
  <si>
    <t xml:space="preserve">Jefe de producción / Jefe de Planta, Supervisor de Producción</t>
  </si>
  <si>
    <t xml:space="preserve">TIOS90</t>
  </si>
  <si>
    <t xml:space="preserve">DIGITADOR</t>
  </si>
  <si>
    <t xml:space="preserve">Transcribir información en los sistemas de información, velando por la calidad de la misma; generar las salidas necesarias (reportes) para el funcionamiento óptimo del sistema.</t>
  </si>
  <si>
    <t xml:space="preserve">Jefe división de sistemas</t>
  </si>
  <si>
    <t xml:space="preserve">FNOF90</t>
  </si>
  <si>
    <t xml:space="preserve">AUXILIAR CAJERO AUTOMÁTICO</t>
  </si>
  <si>
    <t xml:space="preserve">Tiene a su cuidado el adecuado funcionamiento de los cajeros automáticos conforme a los turnos en que trabaje. Se requiere ser bachiller  y 1 año de experiencia.</t>
  </si>
  <si>
    <t xml:space="preserve">Gerente Oficina</t>
  </si>
  <si>
    <t xml:space="preserve">FNOF92</t>
  </si>
  <si>
    <t xml:space="preserve">CAJERO </t>
  </si>
  <si>
    <t xml:space="preserve">Desarrolla las actividades propias de caja, consignaciones, pagos, recibos de facturas, pagos de servicios públicos y movimiento interno de la oficina o sucursal. Efectúa el cuadre general y diario de caja. Es responsable de la custodia de los diversos documentos negociables y elabora los informes estadísticos respectivos; requiere ser estudiante universitario con un año de experiencia.</t>
  </si>
  <si>
    <t xml:space="preserve">Cajero Principal</t>
  </si>
  <si>
    <t xml:space="preserve">CTOB91</t>
  </si>
  <si>
    <t xml:space="preserve">AUXILIAR INGENIERIA</t>
  </si>
  <si>
    <t xml:space="preserve">Controla medidas y calidad en las obras (reporta al ingeniero resiente)</t>
  </si>
  <si>
    <t xml:space="preserve">CTOB90</t>
  </si>
  <si>
    <t xml:space="preserve">AUXILIAR RESIDENTE</t>
  </si>
  <si>
    <t xml:space="preserve">Desarrolla conceptos preliminares, bosquejos y diseños de ingeniería. Prepara especificaciones de construcción, costos, cálculos de materiales y programaciones del proyecto. Realiza la medición de áreas, inspecciones o estudios técnicos de topografía, suelos, sistemas de drenaje y suministro de agua, vías, bases y estructuras.</t>
  </si>
  <si>
    <t xml:space="preserve">GHNO90</t>
  </si>
  <si>
    <t xml:space="preserve">AUXILIAR NOMINA</t>
  </si>
  <si>
    <t xml:space="preserve">Ejecutar la liquidación de la nómina del personal que labora en la Institución, calculando y verificando los datos correspondientes para su elaboración, a fin de asegurar el oportuno y correcto pago al personal.</t>
  </si>
  <si>
    <t xml:space="preserve">CMGC90</t>
  </si>
  <si>
    <t xml:space="preserve">AUXILIAR CATEGORÍA</t>
  </si>
  <si>
    <t xml:space="preserve">Apoya al área de Categoría en la ejecución de las comunicaciones con los consumidores y promociones en las tiendas.</t>
  </si>
  <si>
    <t xml:space="preserve">Analista categoría</t>
  </si>
  <si>
    <t xml:space="preserve">MKPB90</t>
  </si>
  <si>
    <t xml:space="preserve">AUXILIAR MERCADEO</t>
  </si>
  <si>
    <t xml:space="preserve">Apoyar al área de mercadeo en la promocionar los productos de la empresa en los puntos de venta. Coordina la demostración y degustación de productos. Informa a los clientes sobre las ventajas y utilización de las mercancías y servicios, les resuelve problemas y brinda asesoría. Elabora inventarios, hace pedidos de productos e informes diarios de venta; selecciona y entrena personal para demostraciones y degustaciones; apoya las actividades operativas de las investigaciones de mercadeo. </t>
  </si>
  <si>
    <t xml:space="preserve">Jefe de Mercadeo</t>
  </si>
  <si>
    <t xml:space="preserve">MKMP90</t>
  </si>
  <si>
    <t xml:space="preserve">AUXILIAR MERCADEO Y VENTAS</t>
  </si>
  <si>
    <t xml:space="preserve">Promocionar los productos de la empresa en los puntos de venta. Coordina la demostración y degustación de productos. Informa a los clientes sobre las ventajas y utilización de las mercancías y servicios, les resuelve problemas y brinda asesoría. Elabora inventarios, hace pedidos de productos e informes diarios de venta; selecciona y entrena personal para demostraciones y degustaciones; apoya las actividades operativas de las investigaciones de mercadeo. Se requiere formación a nivel técnico, y una experiencia de 1 a 2 años. Reporta a: Jefe de Mercadeo, Jefe de Ventas.</t>
  </si>
  <si>
    <t xml:space="preserve">Jefe de Mercadeo / Jefe de Ventas.</t>
  </si>
  <si>
    <t xml:space="preserve">FIIV90</t>
  </si>
  <si>
    <t xml:space="preserve">AUXILIAR INVERSIONES</t>
  </si>
  <si>
    <t xml:space="preserve">Apoya el desarrollo de estudios técnicos que soportan las inversiones, realizando seguimiento al mercado, identificando las oportunidades de inversión y analizando el nivel de riesgo. Recopilan información para la generación de reportes especiales para los inversores y para las entidades regulatorias.</t>
  </si>
  <si>
    <t xml:space="preserve">Analista S  SR Inversiones</t>
  </si>
  <si>
    <t xml:space="preserve">LSMT92</t>
  </si>
  <si>
    <t xml:space="preserve">AUXILIAR CONTROL INVENTARIOS</t>
  </si>
  <si>
    <t xml:space="preserve">Responsable de desempeñar una variedad de tareas de soporte para poder mantener el control sobre los inventarios de productos terminados, tales como: asegurar el suministro de materia prima y componentes para las áreas de producción, registrar las entradas de los productos terminados en las bodegas correspondientes y preparar diversos reportes. Este cargo puede ser desempeñado por un estudiante sin experiencia. Reporta a: Supervisor de Distribución, Analista Control de Inventarios.</t>
  </si>
  <si>
    <t xml:space="preserve">Supervisor de Distribución /Analista Control de Inventarios.</t>
  </si>
  <si>
    <t xml:space="preserve">SGIN90</t>
  </si>
  <si>
    <t xml:space="preserve">AUXILIAR INSPECCIÓN</t>
  </si>
  <si>
    <t xml:space="preserve">Jefe ingenieros inspección</t>
  </si>
  <si>
    <t xml:space="preserve">FIIP90</t>
  </si>
  <si>
    <t xml:space="preserve">AUXILIAR IMPUESTOS</t>
  </si>
  <si>
    <t xml:space="preserve">Realizar los trámites operativos relacionados con el procesamiento, consolidación y entrega oportuna de información de Impuestos Nacionales y Aduaneros, Declaración de Renta, IVA, pagos a terceros, con el fin de cumplir con los términos establecidos y dar cumplimiento a los requerimientos de entidades gubernamentales.</t>
  </si>
  <si>
    <t xml:space="preserve">Jefe impuestos</t>
  </si>
  <si>
    <t xml:space="preserve">HTAL90</t>
  </si>
  <si>
    <t xml:space="preserve">AUXILIAR BAR</t>
  </si>
  <si>
    <t xml:space="preserve">Recoge la cristalería de todas las áreas, hace el mise and place de jugos y frutas para decorar el servicio de todas las áreas; recoge pedidos según requisiciones hechas al almacén; presta el servicio de bar a los clientes, sirviendo las bebidas, licores y cócteles solicitados. Atiende eventos en los que se sirvan licores y bebidas según los contratos; lava y brilla la cristalería.</t>
  </si>
  <si>
    <t xml:space="preserve">Jefe de Alimentos y bebidas</t>
  </si>
  <si>
    <t xml:space="preserve">HTAL94</t>
  </si>
  <si>
    <t xml:space="preserve">AUXILIAR COCINA</t>
  </si>
  <si>
    <t xml:space="preserve">Apoyar el proceso de producción siguiendo los procedimientos de manera efectiva y oportuna. Preparar y apoyar las preparaciones de algunos productos de la carta según instrucciones del jefe de cocina * Recibir las materias primas, inspeccionarlas, rotularlas y organizarlas dentro de la cocina según procedimiento * Elaboración de los inventarios de materias primas * Mantener el puesto de trabajo en óptimas condiciones de aseo</t>
  </si>
  <si>
    <t xml:space="preserve">Sous Chef / Chef Ejecutivo</t>
  </si>
  <si>
    <t xml:space="preserve">HTAL91</t>
  </si>
  <si>
    <t xml:space="preserve">AUXILIAR COCINA I</t>
  </si>
  <si>
    <t xml:space="preserve">Prepara y cocina menús completos, platos individuales o menús especiales para clientes según las instrucciones del mismo cliente, del dietista, o del Chef; lava y pela frutas y verduras, y otros tipos de alimentos; desempaca y coloca alimentos en refrigeradores, alacenas y otras áreas de almacenamiento. Requiere ser cocinero con 4 años de experiencia</t>
  </si>
  <si>
    <t xml:space="preserve">HTRS90</t>
  </si>
  <si>
    <t xml:space="preserve">AUXILIAR HABITACIONES</t>
  </si>
  <si>
    <t xml:space="preserve">Atiende la ubicación de los clientes en el hotel conforme las reservas hechas, confirma la ubicación del cliente en la habitación que se le ha asignado y asegura que el estado de la misma sea acorde a la solicitud del cliente. Requiere ser técnico ó profesional hotelero con 1 año de experiencia y muy buen manejo del inglés.</t>
  </si>
  <si>
    <t xml:space="preserve">Asistente de reservas y o habitaciones</t>
  </si>
  <si>
    <t xml:space="preserve">HTSV90</t>
  </si>
  <si>
    <t xml:space="preserve">AUXILIAR LAVANDERÍA</t>
  </si>
  <si>
    <t xml:space="preserve">Recibe ropa en la lavandería haciendo el respectivo conteo y clasificación de acuerdo con las diferentes áreas; entrega lencería al personal diligenciando los respectivos formatos de control; arregla ropa de los meseros y cocineros.</t>
  </si>
  <si>
    <t xml:space="preserve">Jefe de Lavandería</t>
  </si>
  <si>
    <t xml:space="preserve">HTAL92</t>
  </si>
  <si>
    <t xml:space="preserve">AUXILIAR MINIBAR</t>
  </si>
  <si>
    <t xml:space="preserve">Desempaca y coloca los productos en los refrigeradores que así lo requieran; toma pedidos de los clientes.</t>
  </si>
  <si>
    <t xml:space="preserve">Barman</t>
  </si>
  <si>
    <t xml:space="preserve">HTRS91</t>
  </si>
  <si>
    <t xml:space="preserve">CONSERJE</t>
  </si>
  <si>
    <t xml:space="preserve">Ayuda a las personas que entran y salen del hotel. Recibe, guarda y devuelve prendas, paquetes y similares.</t>
  </si>
  <si>
    <t xml:space="preserve">HTSV91</t>
  </si>
  <si>
    <t xml:space="preserve">LENCERÍA - COSTURERA</t>
  </si>
  <si>
    <t xml:space="preserve">Responsable por la confección de piezas varias, uniformes, tejidos manteles, etc.; arregla ropa de los meseros y cocineros, colocando botones a los uniformes y plancha en casos de que así se requiera, confecciona muletones, repasadores, limpiones, individuales, servilletas, chingues, forros de camillas, sabanas, bolsas de grecas y material para festividades. Precisa una experiencia de 2 años en labores de costura, con bachillerato completo.</t>
  </si>
  <si>
    <t xml:space="preserve">Jefe lavandería</t>
  </si>
  <si>
    <t xml:space="preserve">HTSV92</t>
  </si>
  <si>
    <t xml:space="preserve">MESERO</t>
  </si>
  <si>
    <t xml:space="preserve">Prepara el salón conforme a las especificaciones del contrato del evento; alista y hace el montaje del menaje, cubertería, cristalería y lencería según servicio; recoge y lleva a la cocina loza y lencería para ser lavada. Atiende a los clientes en las diferentes áreas del hotel o club; solicita y sirve la comida según las órdenes dadas por los capitanes. Precisa ser  Bachiller, y entrenamiento en el cargo.</t>
  </si>
  <si>
    <t xml:space="preserve">Capitan de servicio</t>
  </si>
  <si>
    <t xml:space="preserve">HTSV97</t>
  </si>
  <si>
    <t xml:space="preserve">MESEROS</t>
  </si>
  <si>
    <t xml:space="preserve">Brindar atención calidad y oportuna a todos nuestros clientes, garantizando la satisfacción de todas las personas dentro del servicio. Mercadear nuestros productos y servicios y apoyar al equipo de trabajo en el adecuado manejo del proceso de atención, entregas a tiempo y garantizadas.</t>
  </si>
  <si>
    <t xml:space="preserve">HTAL93</t>
  </si>
  <si>
    <t xml:space="preserve">PASTELERO - PANADERO</t>
  </si>
  <si>
    <t xml:space="preserve">Prepara distintas masas, pastas y cremas para los diferentes productos de panadería y pastelería. Elabora tortas, ponqués, bizcochos para los diferentes eventos. Controla la distribución necesaria del pan para cada evento y servicio; produce bases para pasabocas. Se requiere capacitación en panadería y pastelería con un mínimo de tres años de experiencia.</t>
  </si>
  <si>
    <t xml:space="preserve">HTSV93</t>
  </si>
  <si>
    <t xml:space="preserve">PORTERO</t>
  </si>
  <si>
    <t xml:space="preserve">Solicita taxi al cliente, esta encargado de abrir y cerrar la puerta al huésped; necesita ser bachiller o acreditar estudios en hotelería y entender inglés.</t>
  </si>
  <si>
    <t xml:space="preserve">Jefe Mantenimiento (servicios)</t>
  </si>
  <si>
    <t xml:space="preserve">HTAL95</t>
  </si>
  <si>
    <t xml:space="preserve">PREPARADOR ALIMENTOS</t>
  </si>
  <si>
    <t xml:space="preserve">Encargado de la preparación de productos alimenticios, lavado y secado de menaje y atención al cliente, con el fin de que la venta de productos para consumo inmediato, se realice en forma ágil y satisfaga las necesidades de los clientes.</t>
  </si>
  <si>
    <t xml:space="preserve">HTSV94</t>
  </si>
  <si>
    <t xml:space="preserve">STEWARD</t>
  </si>
  <si>
    <t xml:space="preserve">Lava y seca la loza en el sitio y con el equipo correspondiente, efectúa el lavado de los equipos utilizados en el proceso de preparación de los alimentos; lava filtros de cocina, material de acero inoxidable, batería de cocina; mantiene existencias de menaje.</t>
  </si>
  <si>
    <t xml:space="preserve">ADGN90</t>
  </si>
  <si>
    <t xml:space="preserve">AUXILIAR ADMINISTRATIVO</t>
  </si>
  <si>
    <t xml:space="preserve">Colaborar en todas las labores que le sean asignadas en cualquier área de la organización. Dar apoyo a los jefes de área.</t>
  </si>
  <si>
    <t xml:space="preserve">Jefe de área</t>
  </si>
  <si>
    <t xml:space="preserve">FNOF91</t>
  </si>
  <si>
    <t xml:space="preserve">AUXILIAR CUENTAS CORRIENTES</t>
  </si>
  <si>
    <t xml:space="preserve">Verifica la autenticidad de los documentos en las funciones de caja y canje y el adecuado cumplimiento de trámites establecidos en la entidad de las transacciones relacionadas con cuentas corrientes. Realiza el cuadre correspondiente al movimiento de acuerdo con los controles y normas establecidos.</t>
  </si>
  <si>
    <t xml:space="preserve">Jefe cuentas corrientes</t>
  </si>
  <si>
    <t xml:space="preserve">FIGN90</t>
  </si>
  <si>
    <t xml:space="preserve">AUXILIAR FINANCIERO</t>
  </si>
  <si>
    <t xml:space="preserve">Consolidar y validar los datos financieros  de la compañía, para garantizar la elaboración de presupuestos</t>
  </si>
  <si>
    <t xml:space="preserve">Analista Financiero</t>
  </si>
  <si>
    <t xml:space="preserve">FNOP90</t>
  </si>
  <si>
    <t xml:space="preserve">AUXILIAR GIROS Y REMESAS</t>
  </si>
  <si>
    <t xml:space="preserve">Elabora y contabiliza los giros, sobregiros y remesas a otras sucursales u oficinas con su respectiva contabilidad; hace la relación diaria de remesas negociadas y al cobro; liquida comisiones; hace planillas de incorporación y lleva registro de las remesas negociadas y al cobro; contabiliza los cheques devueltos; elabora reembolsos; elabora los comprobantes de contabilidad.</t>
  </si>
  <si>
    <t xml:space="preserve">Jefe giros y remesas</t>
  </si>
  <si>
    <t xml:space="preserve">ADDA90</t>
  </si>
  <si>
    <t xml:space="preserve">AUXILIAR ARCHIVO</t>
  </si>
  <si>
    <t xml:space="preserve">Organizar y mantener al día todos los documentos  que se generan dentro de la organización, brindar un eficiente servicio al cliente interno cuando se requiera alguno de estos documentos.</t>
  </si>
  <si>
    <t xml:space="preserve">LSTD90</t>
  </si>
  <si>
    <t xml:space="preserve">AUXILIAR DISTRIBUCIÓN</t>
  </si>
  <si>
    <t xml:space="preserve">Responsable de las actividades relacionadas con la entrega de materiales, llevando a cabo una distribución correcta, a través de un control eficiente de verificación de piezas, dirigidas a satisfacer las necesidades de clientes internos / externos.</t>
  </si>
  <si>
    <t xml:space="preserve">Analsita distribución</t>
  </si>
  <si>
    <t xml:space="preserve">AAPL90</t>
  </si>
  <si>
    <t xml:space="preserve">AUXILIAR CUMPLIMIENTO</t>
  </si>
  <si>
    <t xml:space="preserve">Da apoyo en el cumplimiento de todas las normas relativas al área de Prevención y Control de Legitimación de Capitales, en virtud de la supervisión ejercida por los entes reguladores. Realiza actividades de análisis de información y seguimiento al cumplimiento de la legislación vigente, el código de ética, las normas y procedimientos destinados a evitar que el Sujeto Obligado o alguna de sus empresas sea utilizado para la legitimación de capitales provenientes de actividades ilícitas.</t>
  </si>
  <si>
    <t xml:space="preserve">Analista de Cumplimiento</t>
  </si>
  <si>
    <t xml:space="preserve">FICC90</t>
  </si>
  <si>
    <t xml:space="preserve">AUXILIAR CRÉDITO Y COBRANZA</t>
  </si>
  <si>
    <t xml:space="preserve">Desempeña una variedad de tareas relacionadas con crédito y/o cobranza, tales como: verificar las referencias crediticias, registrar cargos o abonos en las cuentas de los clientes, detectar cuentas morosas y realizar otros análisis sencillos.</t>
  </si>
  <si>
    <t xml:space="preserve">FICO90</t>
  </si>
  <si>
    <t xml:space="preserve">AUXILIAR COSTOS</t>
  </si>
  <si>
    <t xml:space="preserve">Registra y controla oportunamente la información de costos que le sea asignada. Determina los consumos de materiales y niveles de inventarios.  Produce informes sobre los movimientos de cuentas y desviaciones en los costos. Se requiere Técnico Contable o Estudiante de Contabilidad con experiencia aproximada de 1 año en el manejo de costos. Reporta a: Jefe de Costos, Analista de Costos</t>
  </si>
  <si>
    <t xml:space="preserve"> Jefe de Costos / Analista de Costos</t>
  </si>
  <si>
    <t xml:space="preserve">EDPB90</t>
  </si>
  <si>
    <t xml:space="preserve">AUXILIAR PUBLICACIONES</t>
  </si>
  <si>
    <t xml:space="preserve">Recibe textos para avisos clasificados, apoya la preparación de avisos y otro material para publicación, lee revistas, periódicos, artículos de prensa y otras publicaciones para localizar y sugerir artículos de interés para el personal y el público en general.</t>
  </si>
  <si>
    <t xml:space="preserve">Asistente publicaciones</t>
  </si>
  <si>
    <t xml:space="preserve">FQGC90</t>
  </si>
  <si>
    <t xml:space="preserve">AUXILIAR LABORATORIO</t>
  </si>
  <si>
    <t xml:space="preserve">Apoya al bacteriólogo en la toma de muestras de productos o materias primas para llevar a cabo los respectivos análisis; lava y prepara los elementos necesarios para los estudios que realizan en el laboratorio. Se requiere preparación en el área de laboratorio y una experiencia de un año.</t>
  </si>
  <si>
    <t xml:space="preserve">Bacteriologo ( Laboratorios)</t>
  </si>
  <si>
    <t xml:space="preserve">SGCP90</t>
  </si>
  <si>
    <t xml:space="preserve">AUXILIAR CONTROL PERDIDAS </t>
  </si>
  <si>
    <t xml:space="preserve">Apoya la preparacion de reportes tecnicos del riesgo a ser asegurado, dando soporte en la aceptación o rechazo de la compañía, haciendo uso de planes, dimensionando equipos, haciendo recomendaciones y fotografias. </t>
  </si>
  <si>
    <t xml:space="preserve">Analista SR. Control de pérdidas</t>
  </si>
  <si>
    <t xml:space="preserve">FICT90</t>
  </si>
  <si>
    <t xml:space="preserve">AUXILIAR CONTABILIDAD</t>
  </si>
  <si>
    <t xml:space="preserve">Mantener actualizadas cuentas con gran variedad o volumen de movimientos tales como: cuentas por cobrar, cuentas por pagar, gastos generales, etc. Ayudar en responsabilidades contables básicas tales como sumas de control, cuadre de cuentas, comprobantes, etc.</t>
  </si>
  <si>
    <t xml:space="preserve">Asistente contable / Jefe de control</t>
  </si>
  <si>
    <t xml:space="preserve">WOII916</t>
  </si>
  <si>
    <t xml:space="preserve">MAESTRO OBRA I</t>
  </si>
  <si>
    <t xml:space="preserve">WOII913</t>
  </si>
  <si>
    <t xml:space="preserve">WOII915</t>
  </si>
  <si>
    <t xml:space="preserve">OPERARIOS GENERALES</t>
  </si>
  <si>
    <t xml:space="preserve">Procesar y suministrar información técnica, en cuanto los diseños y planos de los proyectos durante su ejecución, de acuerdo a las instrucciones asignadas.</t>
  </si>
  <si>
    <t xml:space="preserve">WOAD90</t>
  </si>
  <si>
    <t xml:space="preserve">CONDUCTOR</t>
  </si>
  <si>
    <t xml:space="preserve">Realizar el traslado de los funcionarios de primer y segundo nivel de la entidad, velar por el adecuado mantenimiento del vehículo y la seguridad de los funcionarios. </t>
  </si>
  <si>
    <t xml:space="preserve">Gte Gral. ó Presidente / Jefe servicios generales</t>
  </si>
  <si>
    <t xml:space="preserve">WOAD91</t>
  </si>
  <si>
    <t xml:space="preserve">CONDUCTOR SERVICIOS GENERALES</t>
  </si>
  <si>
    <t xml:space="preserve">Maneja un automóvil de la compañía para la entrega y recolecta de correspondencia y paquetes. Transporta a personal de la compañía según se requiera. Requiere una experiencia mínima de un año en cargos similares. Reporta a: Jefe Administrativo, Jefe de Servicios Generales.</t>
  </si>
  <si>
    <t xml:space="preserve">LSCP90</t>
  </si>
  <si>
    <t xml:space="preserve">AUXILIAR COMPRAS</t>
  </si>
  <si>
    <t xml:space="preserve">Realizar el seguimiento de órdenes de compra de la compañía. Da soporte en la recepción de insumos y  distribuye los pedidos a cada una de las áreas de la compañía. </t>
  </si>
  <si>
    <t xml:space="preserve">Analista de compras</t>
  </si>
  <si>
    <t xml:space="preserve">LSCE92</t>
  </si>
  <si>
    <t xml:space="preserve">AUXILIAR COMERCIO EXTERIOR</t>
  </si>
  <si>
    <t xml:space="preserve">Apoyar al área en el cumplimiento de la llegada de todos los pedidos /ventas/ compras que realizar la Compañía en el exterior, con el fin de  procurar  el cumplimiento del los tiempos y tiempos establecidos </t>
  </si>
  <si>
    <t xml:space="preserve">Analista de Importaciones y exportaciones</t>
  </si>
  <si>
    <t xml:space="preserve">LSCE90</t>
  </si>
  <si>
    <t xml:space="preserve">AUXILIAR DE IMPORTACIONES</t>
  </si>
  <si>
    <t xml:space="preserve">Apoya al área en :el cumplimiento de todos los requisitos necesarios para llevar a cabo la importación de suministros y activos para la empresa; entradas, traspasos, liquidaciones y salidas de los productos o servicios
</t>
  </si>
  <si>
    <t xml:space="preserve">LSCE91</t>
  </si>
  <si>
    <t xml:space="preserve">AUXILIAR EXPORTACIONES</t>
  </si>
  <si>
    <t xml:space="preserve">Apoya al área en :el cumplimiento de todos los requisitos necesarios para llevar a cabo la Exportación de suministros y activos para la empresa; si se requiere contacta proveedores e informa a las agencias y/o clientes sobre el estatus de la carga, realiza la facturación por los servicios prestados o productos.
</t>
  </si>
  <si>
    <t xml:space="preserve">Analista de Exportaciones</t>
  </si>
  <si>
    <t xml:space="preserve">SGCS90</t>
  </si>
  <si>
    <t xml:space="preserve">AUXILIAR COASEGUROS</t>
  </si>
  <si>
    <t xml:space="preserve">Participar en el proceso de analisis y ejecucion de actividades de Coaseguros con las demás compañías aseguradoras; con el fin de asegurar la correcta distribución y respaldo de los riesgos asumidos por la compañía por siniestros con terceros.</t>
  </si>
  <si>
    <t xml:space="preserve">Analista Coseguros</t>
  </si>
  <si>
    <t xml:space="preserve">FICF90</t>
  </si>
  <si>
    <t xml:space="preserve">AUXILIAR CARTERA</t>
  </si>
  <si>
    <t xml:space="preserve">Realizar el análisis e interpretación de todos los pagos recibidos por la compañía, teniendo en cuenta las diferencias significativas y tomando las acciones correctivas. Dar apoyo en el cobro y recaudo.</t>
  </si>
  <si>
    <t xml:space="preserve">FICF91</t>
  </si>
  <si>
    <t xml:space="preserve">AUXILIAR FACTURACION</t>
  </si>
  <si>
    <t xml:space="preserve">Mantener al día el proceso de emisión de facturas para su envío a los clientes. Actualizar registros e informes para otras áreas</t>
  </si>
  <si>
    <t xml:space="preserve">Asistente facturación</t>
  </si>
  <si>
    <t xml:space="preserve">WOOP90</t>
  </si>
  <si>
    <t xml:space="preserve">CONDUCTOR   CAMIÓN PESADO</t>
  </si>
  <si>
    <t xml:space="preserve">CHOFERES</t>
  </si>
  <si>
    <t xml:space="preserve">Bajo supervisión indirecta conduce un camión pesado tipo Tortón de más de 7 toneladas conteniendo partes o productos en rutas predeterminadas que pueden incluir zonas urbanas y carreteras.  Realiza diversas labores de mantenimiento preventivo a su vehículo tales como probar los sistemas operativos y el nivel de distintos fluidos.  Realiza algunas reparaciones menores en caso de fallas.</t>
  </si>
  <si>
    <t xml:space="preserve">Superintendente de campo</t>
  </si>
  <si>
    <t xml:space="preserve">HEPR90</t>
  </si>
  <si>
    <t xml:space="preserve">OPERADOR PRODUCCIÓN</t>
  </si>
  <si>
    <t xml:space="preserve">Bajo supervisión directa ejecuta todo lo concerniente a la tareas de producción en los pozos para así mantener en altos niveles la producción de los mismos, utilizando los servicios tecnológicos y automatizados de producción. Interpreta las señales electrónicas de los mismos a fin de diagnósticar , corregir y prevenir problemas en la producción.</t>
  </si>
  <si>
    <t xml:space="preserve">Supervisor de campo</t>
  </si>
  <si>
    <t xml:space="preserve">COSC91</t>
  </si>
  <si>
    <t xml:space="preserve">ASESOR CALL CENTER</t>
  </si>
  <si>
    <t xml:space="preserve">Suministrar información sobre los productos y servicios de la compañía, resolviendo también las inquietudes que se puedan generar.</t>
  </si>
  <si>
    <t xml:space="preserve">LSMT91</t>
  </si>
  <si>
    <t xml:space="preserve">AUXILIAR ALMACÉN</t>
  </si>
  <si>
    <t xml:space="preserve">Recibe y clasifica materias primas, suministros, repuestos y equipos de oficina. Inspecciona y verifica los implementos  recibidos con lo relacionado en la factura y a su vez con lo solicitado en la orden de compra. Atiende las solicitudes de suministros de cada área con los formatos de requisición debidamente firmados y autorizados. Este cargo puede ser desempeñado por un estudiante sin experiencia previa. Reporta a: Supervisor de Almacén.</t>
  </si>
  <si>
    <t xml:space="preserve">Jefe almacén /Supervisor de Almacén</t>
  </si>
  <si>
    <t xml:space="preserve">SGBS90</t>
  </si>
  <si>
    <t xml:space="preserve">AUXILIAR BANCASEGUROS</t>
  </si>
  <si>
    <t xml:space="preserve">Realizar acciones de auxiliar en el proceso de mercadeo mediante la interaccion con los establecimientos de crédito para la promoción y venta de cierta clase de productos de seguros. </t>
  </si>
  <si>
    <t xml:space="preserve">Analista Bancaseguros</t>
  </si>
  <si>
    <t xml:space="preserve">AAAU90</t>
  </si>
  <si>
    <t xml:space="preserve">AUXILIAR AUDITORIA</t>
  </si>
  <si>
    <t xml:space="preserve">Responsable del control interno de los procesos de la organización, revisa documentos comerciales y financieros, verifica el cumplimiento de procedimientos, evalúa información de la empresa, apoya a las distintas dependencias en el adecuado control de gestión, estima los riesgos existentes y efectúa las observaciones necesarias al superior inmediato. El cargo requiere ser profesional o estudiante en contaduría, auditoria y/o revisoría fiscal. Reporta a: Jefe de Auditoría Interna, Asistente de Auditoría.</t>
  </si>
  <si>
    <t xml:space="preserve">Jefe de auditoría / Asistente auditoria / Auditor</t>
  </si>
  <si>
    <t xml:space="preserve">SGAR90</t>
  </si>
  <si>
    <t xml:space="preserve">AUXILIAR EMISIONES ARP</t>
  </si>
  <si>
    <t xml:space="preserve">Aclara dudas de los clientes del área de ARP, en cuanto a las normas de aceptación, reclamos y modificaciones de propuestas. Efectúa el procesamiento de la documentación técnica del área, y prepara los formularios a ser enviados a los asegurados.</t>
  </si>
  <si>
    <t xml:space="preserve">Jefe Emisiones ARP</t>
  </si>
  <si>
    <t xml:space="preserve">ATVT90</t>
  </si>
  <si>
    <t xml:space="preserve">ASESOR SUSCRIPCIONES</t>
  </si>
  <si>
    <t xml:space="preserve">Atender al público en temas relacionados con las suscripciones, ofertas, promociones, etc.  Llevar a cabo el proceso de suscripción; manejar tarifas y descuentos de acuerdo con las políticas empresariales.</t>
  </si>
  <si>
    <t xml:space="preserve">Jefe de suscripciones</t>
  </si>
  <si>
    <t xml:space="preserve">GHAP90</t>
  </si>
  <si>
    <t xml:space="preserve">AUXILIAR ADMINISTRACIÓN RH</t>
  </si>
  <si>
    <t xml:space="preserve">Tareas de oficina de la administración de personal, tales como mantenimiento y archivo de los registros personales, procesamiento y captura de documentos personales.</t>
  </si>
  <si>
    <t xml:space="preserve">Jefe gestión humana</t>
  </si>
  <si>
    <t xml:space="preserve">HTRS92</t>
  </si>
  <si>
    <t xml:space="preserve">AMA DE LLAVES</t>
  </si>
  <si>
    <t xml:space="preserve">Responder por todas las habitaciones, áreas públicas de los bloques del hotel, manteniendo los estándares de calidad, velando por un aseo, presentación y mantenimiento impecable.</t>
  </si>
  <si>
    <t xml:space="preserve">MCIM90</t>
  </si>
  <si>
    <t xml:space="preserve">ASISTENTE PLANCHAS</t>
  </si>
  <si>
    <t xml:space="preserve">Responder por el funcionamiento adecuado de las planchas y que la impresión final del medio escrito sea la adecuada.  Controlar y verificar que los mecanismos de la plancha estén operando debidamente; calcular y determinar porcentajes de tintes, funcionamiento de rodamientos y calidad del producto final.</t>
  </si>
  <si>
    <t xml:space="preserve">Jefe de impresión</t>
  </si>
  <si>
    <t xml:space="preserve">MCIM91</t>
  </si>
  <si>
    <t xml:space="preserve">ASISTENTE ROTATIVA</t>
  </si>
  <si>
    <t xml:space="preserve">Responder por el funcionamiento adecuado y la emisión  oportuna del rotativo.  Controlar y verificar que las impresiones sean las indicadas para las diferentes zonas hacia las cuales se envían.  Controlar los operarios a su cargo</t>
  </si>
  <si>
    <t xml:space="preserve">Asistente Rotativa</t>
  </si>
  <si>
    <t xml:space="preserve">ADOM90</t>
  </si>
  <si>
    <t xml:space="preserve">AUXILIAR ORG Y MÉTODOS</t>
  </si>
  <si>
    <t xml:space="preserve">Desarrolla los procedimientos operativos de implantación / revisión de productos y servicios, buscando optimizar el flujo de las rutinas, estándares de calidad del procesamiento, garantizar su adecuación a los principios de registro y control adoptados, minimizar costos y optimizar el potencial de ventas, propiciando mejores condiciones para las áreas de negocios externos, así como también maximizar la rentabilidad de la empresa. Promueve la divulgación del "modus operanti" entre las diferentes unidades involucradas en el proceso, buscando capacitarlas técnica y operacionalmente.</t>
  </si>
  <si>
    <t xml:space="preserve">Analista de Organización y métodos</t>
  </si>
  <si>
    <t xml:space="preserve">MCIM92</t>
  </si>
  <si>
    <t xml:space="preserve">AUXILIAR ROTATIVA</t>
  </si>
  <si>
    <t xml:space="preserve">Verificar que el impreso salga adecuadamente.  Organizar paquetes y remesas para el envío local y nacional del impreso.</t>
  </si>
  <si>
    <t xml:space="preserve">HTSV95</t>
  </si>
  <si>
    <t xml:space="preserve">BOTONES</t>
  </si>
  <si>
    <t xml:space="preserve">Encargado de recibir a los huéspedes, cuidar su equipaje atender sus necesidades durante la estadía y mantener el hotel según sus estándares.</t>
  </si>
  <si>
    <t xml:space="preserve">Capitan de Botones</t>
  </si>
  <si>
    <t xml:space="preserve">HTSV96</t>
  </si>
  <si>
    <t xml:space="preserve">CAMARERA</t>
  </si>
  <si>
    <t xml:space="preserve">Encargada de mantener las habitaciones limpias y con todo lo necesario para el huésped, realizar el tendido y destendido a la hora programada.</t>
  </si>
  <si>
    <t xml:space="preserve">ATAT90</t>
  </si>
  <si>
    <t xml:space="preserve">DIGITADOR CORRECTOR</t>
  </si>
  <si>
    <t xml:space="preserve">Apoyar y revisar la labor de los digitadores, detectando y corrigiendo las falencias en los procesos realizados.   Tiene a su cargo la revisión de la información final que se imprimirá.</t>
  </si>
  <si>
    <t xml:space="preserve">WOOP92</t>
  </si>
  <si>
    <t xml:space="preserve">CONDUCTOR VEHÍCULO PESADO</t>
  </si>
  <si>
    <t xml:space="preserve">OPERARIOS</t>
  </si>
  <si>
    <t xml:space="preserve">SECTOR LOGISTICA, TRANSPORTE AEREO Y DE CARGA</t>
  </si>
  <si>
    <t xml:space="preserve">OPERARIOS ESPECIALIZADOS</t>
  </si>
  <si>
    <t xml:space="preserve">Conduce vehículos automotores pesados de más de cinco toneladas, tales como camiones, furgones, carro tanques, remolques, volquetas, buses, cumpliendo los reglamentos del tránsito y seguridad establecidos. Mantiene su vehículo en buenas condiciones de funcionamiento, lubricación y aseo; posee los conocimientos de mecánica indispensables para reparaciones menores del vehículo.</t>
  </si>
  <si>
    <t xml:space="preserve">Supervisor Logística</t>
  </si>
  <si>
    <t xml:space="preserve">WOII95</t>
  </si>
  <si>
    <t xml:space="preserve">AYUDANTE ENTENDIDO</t>
  </si>
  <si>
    <t xml:space="preserve">Reparación y Mantenimiento</t>
  </si>
  <si>
    <t xml:space="preserve">Prepara la mezcla, hacer remiendos menores como resanes, transporta los materiales, hace el aseo del área que le corresponde, sigue las ordenes del oficial</t>
  </si>
  <si>
    <t xml:space="preserve">Oficial de la Construcción</t>
  </si>
  <si>
    <t xml:space="preserve">WOIII810</t>
  </si>
  <si>
    <t xml:space="preserve">TÉCNICO MECÁNICO II</t>
  </si>
  <si>
    <t xml:space="preserve">REPARACIÓN Y MANTENIMIENTO</t>
  </si>
  <si>
    <t xml:space="preserve">Realiza reparaciones a componentes mecánicos y  electromecánicos de equipo productivo y no productivo, reparando, fabricando, adaptando y/o ajustando partes y componentes según se requiera.  Todo lo  anterior bajo la vigilancia de su supervisor o de un técnico especializado.</t>
  </si>
  <si>
    <t xml:space="preserve">Supervisor Mantenimiento</t>
  </si>
  <si>
    <t xml:space="preserve">WOIV83</t>
  </si>
  <si>
    <t xml:space="preserve">OPERADOR MAQUINARIA ESPECIALIZADA</t>
  </si>
  <si>
    <t xml:space="preserve">Responsable por el monitoreo y correcta manipulación de maquinaria altamente especializada como subestaciones, equipos de control numérico computarizado, sistemas CAD/CAM, sala de control, entre otras,  que requieren un alto nivel de destreza técnica y entrenamiento, siguiendo las instrucciones indicadas en los documentos técnicos, en condiciones de calidad y seguridad idóneas.  </t>
  </si>
  <si>
    <t xml:space="preserve">WOIII811</t>
  </si>
  <si>
    <t xml:space="preserve">OPERARIO MONTACARGA  
</t>
  </si>
  <si>
    <t xml:space="preserve">Operar la monta carga dentro de las instalaciones de la planta para movilizar y almacenar materiales, productos, o máquinas y equipos. Responder por su correcto funcionamiento, lubricación y aseo.</t>
  </si>
  <si>
    <t xml:space="preserve">WOIII812</t>
  </si>
  <si>
    <t xml:space="preserve">PINTOR</t>
  </si>
  <si>
    <t xml:space="preserve">Aplicar las bases y pinturas utilizando equipo deaspersiòn, hornos, etc, en piezas de ensamble y artefactos.</t>
  </si>
  <si>
    <t xml:space="preserve">Jefe de producción / Jefe administrativo</t>
  </si>
  <si>
    <t xml:space="preserve">WOIII813</t>
  </si>
  <si>
    <t xml:space="preserve">PLOMERO</t>
  </si>
  <si>
    <t xml:space="preserve">Realizar reparaciones menores referentes a desagues, alcantarillados, acueducto y humedades, en las diferentes instalaciones de la Empresa.</t>
  </si>
  <si>
    <t xml:space="preserve">WOIII814</t>
  </si>
  <si>
    <t xml:space="preserve">SOLDADOR</t>
  </si>
  <si>
    <t xml:space="preserve">Corta y une piezas de metal utilizando diferentes tecnicas de soldadura, repara dispositivos, revestimientos y otras piezas.</t>
  </si>
  <si>
    <t xml:space="preserve">WOIII87</t>
  </si>
  <si>
    <t xml:space="preserve">OPERADOR III</t>
  </si>
  <si>
    <t xml:space="preserve">MANUFACTURA</t>
  </si>
  <si>
    <t xml:space="preserve">Realiza prácticamente todo tipo de labores productivas (dentro de una línea de actividad) o procesos, lo que supone una prolongada experiencia.</t>
  </si>
  <si>
    <t xml:space="preserve">AGAG92</t>
  </si>
  <si>
    <t xml:space="preserve">MONTADOR PRIMERA</t>
  </si>
  <si>
    <t xml:space="preserve">Otros nombres: Mecánico Montador. Realiza la construcción, el montaje y/o reparación de los equipos que requieren la mayor precisión; tecnólogo en Mecánica de Mantenimiento con 5 años de experiencia.</t>
  </si>
  <si>
    <t xml:space="preserve">AGAG94</t>
  </si>
  <si>
    <t xml:space="preserve">OPERADOR CENTRIFUGAS PRIMERA</t>
  </si>
  <si>
    <t xml:space="preserve">Se encarga de centrifugar la masa, para separar los cristales de azúcar de la miel; opera máquinas discontinuas para purga de masa de primera: se requiere Bachiller clásico con conocimientos en mantenimiento mecánico y 3 años de experiencia.</t>
  </si>
  <si>
    <t xml:space="preserve">AGAG95</t>
  </si>
  <si>
    <t xml:space="preserve">OPERADOR CRISTALIZADORES</t>
  </si>
  <si>
    <t xml:space="preserve">Otros nombres: Tachero. Realiza el control de la estación de tachos. Elabora masas de primera, segunda, tercera y cristales. Se requiere educación técnica con años de experiencia.</t>
  </si>
  <si>
    <t xml:space="preserve">AGAG96</t>
  </si>
  <si>
    <t xml:space="preserve">OPERADOR MESA CAÑA</t>
  </si>
  <si>
    <t xml:space="preserve">Otros nombres: Brequero Mesas de Caña. Operar los equipos de mesa de caña y transportadores para garantizar una permanente alimentación de los molinos. Supervisar la operación de picadores para evitar tacos y objetos extraños en el transportador. Se requiere Bachiller Técnico en Mecánica General con 1 año de experiencia.</t>
  </si>
  <si>
    <t xml:space="preserve">AGAG97</t>
  </si>
  <si>
    <t xml:space="preserve">OPERADOR MOLINOS</t>
  </si>
  <si>
    <t xml:space="preserve">Otros Nombres: Brequero de Molinos. Opera transportadores de caña para lograr una alimentación adecuada de caña a los molinos con el fin de obtener una buena rata de molienda y buena extracción. Se requiere Bachiller técnico en mecánica con 1 año de experiencia.</t>
  </si>
  <si>
    <t xml:space="preserve">WOIII88</t>
  </si>
  <si>
    <t xml:space="preserve">TÉCNICO ELECTRICISTA INDUSTRIAL II</t>
  </si>
  <si>
    <t xml:space="preserve">INGENIERÍA</t>
  </si>
  <si>
    <t xml:space="preserve">Instala, revisa, repara y mantiene en condiciones funcionales los componentes eléctricos del equipo productivo y no productivo de la planta o centro de trabajo, para ello interpreta planos y diagramas y selecciona los materiales más idóneos para cada trabajo.</t>
  </si>
  <si>
    <t xml:space="preserve">Supervisor de Producción</t>
  </si>
  <si>
    <t xml:space="preserve">WOIII89</t>
  </si>
  <si>
    <t xml:space="preserve">TÉCNICO ELECTRÓNICA II</t>
  </si>
  <si>
    <t xml:space="preserve">Instala, repara, ensambla, calibra, prueba y mantiene en condiciones de servicio todo tipo de equipo y productos electrónicos, estudiando diagramas y reemplazando tablillas y otros componentes según se requiera. Todo ello bajo la vigilancia de otro técnico especializado.</t>
  </si>
  <si>
    <t xml:space="preserve">WOIII80</t>
  </si>
  <si>
    <t xml:space="preserve">ALMACENISTA PRODUCCIÓN</t>
  </si>
  <si>
    <t xml:space="preserve">Otros Nombres: Almacenistas de Obra, Jefe de Proiductos terminados, Jefe de Sección Materiales, Supervisor de Productos Terminados. Responde por el correcto y oportuno suministro de materiales en las áreas de fabricación de acuerdo con los programas de producción establecidos. Mantiene almacenadas y protegidas las materias primas, e insumos; recibe y despacha materiales a los sitios de trabajo al igual que los productos intermedios; coordina el flujo de material en los sitios de labor. Requiere una experiencia de 2 a 3 años y se reporta al Jefe de bodegas (en las grandes fábricas).</t>
  </si>
  <si>
    <t xml:space="preserve">Supervisor Almacén</t>
  </si>
  <si>
    <t xml:space="preserve">WOIII81</t>
  </si>
  <si>
    <t xml:space="preserve">ELECTRICISTA EXPERTO</t>
  </si>
  <si>
    <t xml:space="preserve">Otros nombres: Electrisista Mecánico Ajustador, Mantenimienot Industrial, Supervisor Elecrtico Ajusta, monta y repara instalaciones eléctricas industriales y domésticas de partes eléctricas en máquinas y equipo de fabricación como motores, dínamos, transformadores, dispositivos de distribución y control de energías, sistemas de señales. Se requiere un Ingeniero Electricista sin experiencia o por un Técnico con una experiencia mínima de 2 años.</t>
  </si>
  <si>
    <t xml:space="preserve">WOIII82</t>
  </si>
  <si>
    <t xml:space="preserve">ELECTROMECÁNICO</t>
  </si>
  <si>
    <t xml:space="preserve">Interpreta los planos y especificaciones de los códigos eléctricos para determinar la ubicación de las instalaciones del equipo eléctrico industrial. Instala, examina, reemplaza o repara redes,  equipos y accesorios eléctricos y mecánicos.</t>
  </si>
  <si>
    <t xml:space="preserve">WOIV80</t>
  </si>
  <si>
    <t xml:space="preserve">MECÁNICO AJUSTADOR EXPERTO</t>
  </si>
  <si>
    <t xml:space="preserve">Estudia los planos, diagramas, diseños y las especificaciones del artículo que va a ser fabricado y determina los cálculos necesarios; escoge los materiales apropiados para el trabajo, utiliza aparatos y herramientas de medida; hace las piezas, las ajusta y las coloca en la maquinaria o equipo a reparar. Arma, repara y efectúa calibraciones a los equipos y máquinas, ajusta piezas de alta precisión Se requiere Tecnólogo en Mecánica de Mantenimiento con 3 años de experiencia.</t>
  </si>
  <si>
    <t xml:space="preserve">WOIII83</t>
  </si>
  <si>
    <t xml:space="preserve">MECÁNICO MANTENIMIENTO</t>
  </si>
  <si>
    <t xml:space="preserve">Otros Nombres: Mecánico Industrial. Realiza mantenimiento de varios tipos de maquinas de producción; hace reparaciones menores en estas maquinarias, salvo instrumentos de precisión y equipo eléctrico y electrónico; ejecuta servicios generales de mecánica de mantenimiento industrial de acuerdo con las instrucciones escritas o verbales; interpreta planos, diagramas, catálogos. Requiere experiencia mínima de 2 años en labores de mantenimiento mecánico y conocimientos específicos del oficio; se reporta al mecánico experto.</t>
  </si>
  <si>
    <t xml:space="preserve">Mecánico Experto</t>
  </si>
  <si>
    <t xml:space="preserve">WOIV82</t>
  </si>
  <si>
    <t xml:space="preserve">OPERARIO EXPERTO MÁQUINAS PRODUCCIÓN</t>
  </si>
  <si>
    <t xml:space="preserve">Otros Nombres: Mecánico Reparador Maquinaria de Producción Efectúa reparaciones y ajustes de cierta complejidad en la máquina de producción; esta labor requiere conocimientos técnicos y habilidad profesional en mecánica de mantenimiento y electricidad; Se requiere Tecnólogo con más de 2 años de experiencia.</t>
  </si>
  <si>
    <t xml:space="preserve">WOIII84</t>
  </si>
  <si>
    <t xml:space="preserve">OPERARIO III PRODUCCIÓN</t>
  </si>
  <si>
    <t xml:space="preserve">Opera maquinas y equipos de fabricación industrial, de cierta complejidad siguiendo instrucciones preparadas en el proceso de producción individual o en serie, tales como hornos metalúrgicos, laminadoras, cortadoras, maquinas de moldear, inyectores de metal y de plástico, equipos de pruebas. Requiere experiencia mínima de 2 años y conocimientos específicos de su labor.</t>
  </si>
  <si>
    <t xml:space="preserve">WOIV81</t>
  </si>
  <si>
    <t xml:space="preserve">OPERARIO MAQUINARIA PESADA</t>
  </si>
  <si>
    <t xml:space="preserve">Otros Nombres: Operario Buldózer, Operario retroexcavadora, Operario Cilindro. Conduce maquinaría pesada de más de cinco toneladas, tales como buldózer, retroexcavadora, cilindro, Pala mecánica, moto niveladora y demás vehículos que por su condición deben ser transportados en un vehículo especial al lugar de la obra cumpliendo las normas vigentes de tránsito y seguridad. Mantiene la maquina en buenas condiciones de funcionamiento, lubricación y aseo; posee pase de sexta categoría y los conocimientos necesarios para la operación de la maquina. Puede hacerle las reparaciones mecánicas indispensables y de índole menor al vehículo. Requiere una experiencia de 2 años en labores con maquinaría similar.</t>
  </si>
  <si>
    <t xml:space="preserve">WOIII85</t>
  </si>
  <si>
    <t xml:space="preserve">SOLDADOR EXPERTO</t>
  </si>
  <si>
    <t xml:space="preserve">Otros Nombres: Soldador Especialista, Soldador Técnico. Efectúa trabajos complejos de soldadura industrial de toda clase,  en piezas metálicas, artefactos, muebles, equipos y maquinaria con calidad y precisión. Este cargo es desempeñado por un Técnico con una experiencia mínima de 2 años en labores de soldadura.</t>
  </si>
  <si>
    <t xml:space="preserve">CTOB93</t>
  </si>
  <si>
    <t xml:space="preserve">OFICIAL DE CONSTRUCCION II</t>
  </si>
  <si>
    <t xml:space="preserve">Realiza labores de obra (plomería, pintura, eléctricos, etc.) hace levantamiento de columnas.  Realiza labores de oficial de albañilería y construcción en obras, participando en cuadrillas de cada uno de los frentes de trabajo. Experiencia de 3 a 5 años.</t>
  </si>
  <si>
    <t xml:space="preserve">HEMT80</t>
  </si>
  <si>
    <t xml:space="preserve">HERRAMENTISTA</t>
  </si>
  <si>
    <t xml:space="preserve">Bajo supervisión directa fabrica, repara, acondiciona y rectifica  herramental dados y herramientas de corte con especificaciones de alta precisión, para  lo cual interpreta planos, consulta especificaciones, hace pruebas funcionales  y opera todo tipo de máquinas herramientas. Todo ello bajo la vigilancia de  un herramentista más experimentado o de su supervisor.</t>
  </si>
  <si>
    <t xml:space="preserve">HECH90</t>
  </si>
  <si>
    <t xml:space="preserve">MONTACARGUISTA</t>
  </si>
  <si>
    <t xml:space="preserve">Bajo supervisión indirecta opera tractor montacargas accionando controles de pie o manuales, según se requiera con objeto de descargar, transportar o estibar materiales voluminosos. Realiza el mantenimiento preventivo de su vehículo verificando sistemáticamente niveles de agua, lubricante y combustible y  realizando pruebas operativas de rutina. Requiere licencia de montacarguista.</t>
  </si>
  <si>
    <t xml:space="preserve">HEMT90</t>
  </si>
  <si>
    <t xml:space="preserve">OPERADOR GENERACIÓN ELÉCTRICA</t>
  </si>
  <si>
    <t xml:space="preserve">Ejecuta las actividades de generación eléctrica en campo.</t>
  </si>
  <si>
    <t xml:space="preserve">HEOP90</t>
  </si>
  <si>
    <t xml:space="preserve">OPERADOR II</t>
  </si>
  <si>
    <t xml:space="preserve">Bajo supervisión directa realiza labores en áreas productivas, que demandan el desarrollo de habilidades especializadas lo que sólo ocurre conociendo el proceso productivo.</t>
  </si>
  <si>
    <t xml:space="preserve">HEOP91</t>
  </si>
  <si>
    <t xml:space="preserve">Bajo supervisión directa puede realizar prácticamente todo tipo de labores productivas (dentro de una línea de actividad) o procesos, lo que supone una prolongada experiencia.</t>
  </si>
  <si>
    <t xml:space="preserve">WOIII86</t>
  </si>
  <si>
    <t xml:space="preserve">INSPECTOR CALIDAD</t>
  </si>
  <si>
    <t xml:space="preserve">CALIDAD</t>
  </si>
  <si>
    <t xml:space="preserve">Responsable por validar la calidad final de los productos en la línea de producción para separar aquellos que no cumplen con las especificaciones técnicas, a través de instrumentos de medición, herramientas o equipos de verificación, con el objetivo de certificar.</t>
  </si>
  <si>
    <t xml:space="preserve">WOIII815</t>
  </si>
  <si>
    <t xml:space="preserve">TORNERO</t>
  </si>
  <si>
    <t xml:space="preserve">Es el encargado de realizar mediciones, mantenimiento de maquinaria y soldaduras, específicamente manejo de torno paralelo, fresadora y troqueladora. (reporta al supervisor de producción)</t>
  </si>
  <si>
    <t xml:space="preserve">ADSG94</t>
  </si>
  <si>
    <t xml:space="preserve">AUXILIAR MANTENIMIENTO</t>
  </si>
  <si>
    <t xml:space="preserve">Responder por el mantenimiento de las redes eléctricas, del funcionamiento adecuado de equipos y de instalación de bases de funcionamiento fuera del centro de operaciones.</t>
  </si>
  <si>
    <t xml:space="preserve">ADSG93</t>
  </si>
  <si>
    <t xml:space="preserve">OPERARIO ASEO Y/O LIMPIEZA  
</t>
  </si>
  <si>
    <t xml:space="preserve">Mantener limpias y organizar las áreas que le sean asignadas.</t>
  </si>
  <si>
    <t xml:space="preserve">WOC90</t>
  </si>
  <si>
    <t xml:space="preserve">AUXILIAR VEHICULO</t>
  </si>
  <si>
    <t xml:space="preserve">Encargado de bajar y subir materiales del vehículo. Asegura la carga, colabora con el mantenimiento del vehículo. </t>
  </si>
  <si>
    <t xml:space="preserve">WOOP91</t>
  </si>
  <si>
    <t xml:space="preserve">CONDUCTOR VEHÍCULO LIVIANO</t>
  </si>
  <si>
    <t xml:space="preserve">Conduce de acuerdo con las normas de tránsito y de la empresa los vehículos  livianos asignados. Bachiller con 2 años de experiencia.</t>
  </si>
  <si>
    <t xml:space="preserve">HERRAMENTISTA II</t>
  </si>
  <si>
    <t xml:space="preserve">Fabrica, repara, acondiciona y rectifica  herramental dados y herramientas de corte con especificaciones de alta precisión, para  lo cual interpreta planos, consulta especificaciones, hace pruebas funcionales y opera todo tipo de máquinas herramientas.</t>
  </si>
  <si>
    <t xml:space="preserve">WOII97</t>
  </si>
  <si>
    <t xml:space="preserve">ALBAÑIL</t>
  </si>
  <si>
    <t xml:space="preserve">Colabora en la ejecución de actividades de construcción y otras reparación asignada</t>
  </si>
  <si>
    <t xml:space="preserve">WOII911</t>
  </si>
  <si>
    <t xml:space="preserve">OPERARIO ENVOLTURA  
</t>
  </si>
  <si>
    <t xml:space="preserve">Abastecer la máquina, atender paros, controlar el proceso y retirar la producción.</t>
  </si>
  <si>
    <t xml:space="preserve">Jefe de empaque</t>
  </si>
  <si>
    <t xml:space="preserve">WOII912</t>
  </si>
  <si>
    <t xml:space="preserve">OPERARIO PREPARADOR PRODUCTOS QUIMICOS  
</t>
  </si>
  <si>
    <t xml:space="preserve">Pesar y preparar los productos químicos de acuerdo a la formulación establecida para el proceso.</t>
  </si>
  <si>
    <t xml:space="preserve">WOI93</t>
  </si>
  <si>
    <t xml:space="preserve">OPERADOR I</t>
  </si>
  <si>
    <t xml:space="preserve">Realiza labores de producción que demandan la aplicación de habilidades tales como precisión y rapidez compatible con el proceso.</t>
  </si>
  <si>
    <t xml:space="preserve">WOII96</t>
  </si>
  <si>
    <t xml:space="preserve">Realiza labores en áreas productivas, que demandan el desarrollo de habilidades especializadas lo que sólo ocurre conociendo el proceso productivo.</t>
  </si>
  <si>
    <t xml:space="preserve">AGAG90</t>
  </si>
  <si>
    <t xml:space="preserve">AYUDANTE MOLINOS</t>
  </si>
  <si>
    <t xml:space="preserve">Otros nombres: Platero de Molinos. Revisa y Efectúa la remoción de bagacillo de los platos de los molinos evitando que se tapen los drenajes. Se requiere bachiller técnico en mecánica de mantenimiento con 2 años de experiencia.</t>
  </si>
  <si>
    <t xml:space="preserve">AGAG91</t>
  </si>
  <si>
    <t xml:space="preserve">AYUDANTE TACHOS</t>
  </si>
  <si>
    <t xml:space="preserve">Realiza funciones operativas en el proceso de cristalización del azúcar según instrucciones del tachero, como cargue y descargue de tachos, verificación de suministro de materiales, inspección de tanques de meladura, entre otras; se requiere bachillerato clásico con 2 años de experiencia.</t>
  </si>
  <si>
    <t xml:space="preserve">Tachero / operador Cristalizadores</t>
  </si>
  <si>
    <t xml:space="preserve">WOAG98</t>
  </si>
  <si>
    <t xml:space="preserve">CONDUCTOR REMOLCADOR CAÑA</t>
  </si>
  <si>
    <t xml:space="preserve">Otros Nombres: Conductor de Tractomula. Conduce tractomulas siguiendo las normas de seguridad empresariales y de tránsito establecidas, manteniendo en buen estado el vehículo; bachiller clásico con 3 años de experiencia en manejo de vehículo pesado.</t>
  </si>
  <si>
    <t xml:space="preserve">AGAG93</t>
  </si>
  <si>
    <t xml:space="preserve">MONTADOR SEGUNDA</t>
  </si>
  <si>
    <t xml:space="preserve">Colabora en el montaje o reparación de equipos que requieren de precisión. Se requiere técnico en Soldadura con 3 años de experiencia.</t>
  </si>
  <si>
    <t xml:space="preserve">WOII91</t>
  </si>
  <si>
    <t xml:space="preserve">AYUDANTE ALMACÉN</t>
  </si>
  <si>
    <t xml:space="preserve">Responsable de las tareas básicas de almacén tales como mantenimiento del registro de inventario así como la captura de los documentos relacionados con transferencias, entregas y reabastecimiento de inventarios.</t>
  </si>
  <si>
    <t xml:space="preserve">WOI90</t>
  </si>
  <si>
    <t xml:space="preserve">AYUDANTE MANTENIMIENTO</t>
  </si>
  <si>
    <t xml:space="preserve">Otros Nombres: Ayudante II Mecánica Hace la limpieza de la maquinaria y/ó equipos que se encuentran en mantenimiento o reparación. Bajo supervisión  efectúa trabajos simples de mantenimiento. El cargo no requiere de experiencia, y los conocimientos de mecánica pueden adquirirse durante el entrenamiento.</t>
  </si>
  <si>
    <t xml:space="preserve">WOI91</t>
  </si>
  <si>
    <t xml:space="preserve">AYUDANTE MECÁNICA</t>
  </si>
  <si>
    <t xml:space="preserve">Colabora al mecánico de primera en los trabajos de reparación asignados; técnico en mecánica con experiencia de 1 año. Reporta a: Mecánico de Primera.</t>
  </si>
  <si>
    <t xml:space="preserve">Mecánico de Primera.</t>
  </si>
  <si>
    <t xml:space="preserve">WOII92</t>
  </si>
  <si>
    <t xml:space="preserve">ELECTRICISTA INSTALADOR</t>
  </si>
  <si>
    <t xml:space="preserve">Otros Nombres: Electricista, Técnico Electricista. Monta, mantiene y opera individual o colectivamente las instalaciones eléctricas y equipos accesorios, en fábricas, oficinas o viviendas. Desempeña actividades de mantenimiento, revisión o instalaciones de luces, señales, controles, transformadores, elevadores, interpreta diagramas y planos Posee una experiencia mínima de 2 años en montaje de instalaciones eléctricas y reporta al electricista experto.</t>
  </si>
  <si>
    <t xml:space="preserve">WOI92</t>
  </si>
  <si>
    <t xml:space="preserve">EMPACADOR PRODUCTOS</t>
  </si>
  <si>
    <t xml:space="preserve">Otros Nombres: Operario de Empaque. Empaca o ayuda a empacar productos de acuerdo con los procedimientos establecidos de empaque, postura de marcas o etiquetas, rótulos de dirección del destinatario; informa a su inmediato superior sobre problemas de calidad en el producto o del empaque. No se requiere experiencia.</t>
  </si>
  <si>
    <t xml:space="preserve">WOII94</t>
  </si>
  <si>
    <t xml:space="preserve">OPERARIO I PRODUCCIÓN</t>
  </si>
  <si>
    <t xml:space="preserve">Realiza labores sencillas que no exigen ninguna especialización ni experiencia pero que por lo General requieren gran esfuerzo, utilizando herramientas simples como palas, picos, carretillas, barras, martillos, etc., o sin ellas, como el cargue o descargue de materiales, lavado de plantas y equipos, transporte de piezas, etc.</t>
  </si>
  <si>
    <t xml:space="preserve">WOII93</t>
  </si>
  <si>
    <t xml:space="preserve">OPERARIO II PRODUCCIÓN</t>
  </si>
  <si>
    <t xml:space="preserve">Trabaja en forma individual o colectiva en operaciones sencillas tales como taladrar, pulir, enroscar, esmerilar, troquelar, soldar y en procesos similares de fabricación y manufactura de diversa índole, utilizando y operando máquinas que exigen su cargo. Mantiene ordenado, limpio y seguro su sitio de labor.</t>
  </si>
  <si>
    <t xml:space="preserve">AGAV95</t>
  </si>
  <si>
    <t xml:space="preserve">AYUDANTE VACUNACIÓN</t>
  </si>
  <si>
    <t xml:space="preserve">Realiza aplicacion de vacunas a animales en las granjas, y participa en el proceso de registro de las muestras tomadas. Esta pendiente de las dosis asignadas acorde con las necesidades de las jornadas. </t>
  </si>
  <si>
    <t xml:space="preserve">Administrador de granjas</t>
  </si>
  <si>
    <t xml:space="preserve">AGAV96</t>
  </si>
  <si>
    <t xml:space="preserve">GALPONEROS GRANJA</t>
  </si>
  <si>
    <t xml:space="preserve">Realiza funciones operativas en el proceso de cria y levante de pollos en galpon. </t>
  </si>
  <si>
    <t xml:space="preserve">WOII90</t>
  </si>
  <si>
    <t xml:space="preserve">AUXILIAR CALIDAD</t>
  </si>
  <si>
    <t xml:space="preserve">Lleva el registro de las muestras tomadas para efectuar el control de calidad de los materiales. Esta pendiente de que los instrumentos y equipos estén perfectamente calibrados. Mantiene el archivo de planos, catálogos y diagramas de manejo de instrumentos de medida y control. Se requiere un Técnico en control de calidad, con una experiencia de 1 año. Reporta a: Jefe de Calidad, Supervisor de Calidad.</t>
  </si>
  <si>
    <t xml:space="preserve">Jefe de Calidad /Supervisor de Calidad.</t>
  </si>
  <si>
    <t xml:space="preserve">WOII910</t>
  </si>
  <si>
    <t xml:space="preserve">Apoyar el manejo de equipos de precisión, manejo de material de vidrio, equipos planta piloto, procesamiento y conservación de alimentos, análisis fisicoquímicos y microbiológicos.</t>
  </si>
  <si>
    <t xml:space="preserve">Jefe Laboratorio /Supervisor de Calidad.</t>
  </si>
  <si>
    <t xml:space="preserve">FQPD90</t>
  </si>
  <si>
    <t xml:space="preserve">AUXILIAR GRANULACIÓN</t>
  </si>
  <si>
    <t xml:space="preserve">Trabaja en forma individual o colectiva en procesos de produccion de granulos farmaceuticos, realizando operaciones sencillas en la linea de fabricación y manufactura de diversa índole, utilizando y operando máquinas que exigen su cargo. Mantiene ordenado, limpio y seguro su sitio de labor.</t>
  </si>
  <si>
    <t xml:space="preserve">Supervisor Producción</t>
  </si>
  <si>
    <t xml:space="preserve">CTOB92</t>
  </si>
  <si>
    <t xml:space="preserve">AYUDANTE OBRA</t>
  </si>
  <si>
    <t xml:space="preserve">Realiza labores de ayudante de albañilería en obras de construcción. Experiencia de 1 año. Prepara la mezcla, hacer remiendos menores como resanes, transporta los materiales, hace el aseo del área que le corresponde, sigue las ordenes del oficial (reporta al oficial).</t>
  </si>
  <si>
    <t xml:space="preserve">WOII914</t>
  </si>
  <si>
    <t xml:space="preserve">OFICIAL DE CONSTRUCCION I</t>
  </si>
  <si>
    <t xml:space="preserve">HEOP80</t>
  </si>
  <si>
    <t xml:space="preserve">Bajo supervisión directa realiza labores de producción que demandan la aplicación de habilidades tales como precisión y rapidez compatible con el proceso.</t>
  </si>
  <si>
    <t xml:space="preserve">WOII98</t>
  </si>
  <si>
    <t xml:space="preserve">AUXILIAR BODEGA</t>
  </si>
  <si>
    <t xml:space="preserve">Coordinar el almacenamiento de materias primas y productos terminados, velar por la seguridad y el cuidado de los bienes depositados.</t>
  </si>
  <si>
    <t xml:space="preserve">Supervisor Bodega</t>
  </si>
  <si>
    <t xml:space="preserve">WOII99</t>
  </si>
  <si>
    <t xml:space="preserve">AUXILIAR DESPACHOS</t>
  </si>
  <si>
    <t xml:space="preserve">Revisar los pedidos de los productos antes de su despacho y de coordinar los envíos. Supervisarlas operaciones de carga y atender reclamos originados en la distribución. Mantener relaciones operativas y administrativas en los casos en que la empresa contrata fleteros individuales o remesas de transporte.</t>
  </si>
  <si>
    <t xml:space="preserve">Supervisor Despachos</t>
  </si>
  <si>
    <t xml:space="preserve">Cargo Valorado</t>
  </si>
  <si>
    <t xml:space="preserve">Cargo Homologado 1</t>
  </si>
  <si>
    <t xml:space="preserve">Descripción 1</t>
  </si>
  <si>
    <t xml:space="preserve">Cargo Homologado 2</t>
  </si>
  <si>
    <t xml:space="preserve">Descripción 2</t>
  </si>
  <si>
    <t xml:space="preserve">Observaciones</t>
  </si>
  <si>
    <t xml:space="preserve">NOMBRE CARGO</t>
  </si>
  <si>
    <t xml:space="preserve">AREA EMPRESA</t>
  </si>
  <si>
    <t xml:space="preserve">CARGO HOMOLOGADO</t>
  </si>
  <si>
    <t xml:space="preserve">PISTA</t>
  </si>
  <si>
    <t xml:space="preserve">CAT</t>
  </si>
  <si>
    <t xml:space="preserve">NIVEL</t>
  </si>
  <si>
    <t xml:space="preserve">MEDIOS</t>
  </si>
  <si>
    <t xml:space="preserve">TEXTILES CONFECCIONES Y CALZADO</t>
  </si>
  <si>
    <t xml:space="preserve">CATEGORIA</t>
  </si>
  <si>
    <t xml:space="preserve">RUTA CARRERA GERENCIAL</t>
  </si>
  <si>
    <t xml:space="preserve">RUTA CARRERA CONTRIBUCION INDIVIDUAL</t>
  </si>
  <si>
    <t xml:space="preserve">B</t>
  </si>
  <si>
    <t xml:space="preserve">Presidente Global</t>
  </si>
  <si>
    <t xml:space="preserve">C</t>
  </si>
  <si>
    <t xml:space="preserve">Presidente Regional</t>
  </si>
  <si>
    <t xml:space="preserve">D</t>
  </si>
  <si>
    <t xml:space="preserve">Presidente Pais</t>
  </si>
  <si>
    <t xml:space="preserve">E</t>
  </si>
  <si>
    <t xml:space="preserve"> Vicepresidente  / Director Región  / Presidente  País</t>
  </si>
  <si>
    <t xml:space="preserve">F</t>
  </si>
  <si>
    <t xml:space="preserve">G</t>
  </si>
  <si>
    <t xml:space="preserve">H</t>
  </si>
  <si>
    <t xml:space="preserve">Gerente / Gerente Región / Gerente País / Gerente Unidad de Negocio</t>
  </si>
  <si>
    <t xml:space="preserve">I</t>
  </si>
  <si>
    <t xml:space="preserve">Gerente de Cuenta</t>
  </si>
  <si>
    <t xml:space="preserve">J</t>
  </si>
  <si>
    <t xml:space="preserve">K</t>
  </si>
  <si>
    <t xml:space="preserve">L</t>
  </si>
  <si>
    <t xml:space="preserve">Director / Jefe</t>
  </si>
  <si>
    <t xml:space="preserve">Especialista Sr / Ingeniero / Ejecutivo de Cuenta</t>
  </si>
  <si>
    <t xml:space="preserve">M</t>
  </si>
  <si>
    <t xml:space="preserve">N</t>
  </si>
  <si>
    <t xml:space="preserve">O</t>
  </si>
  <si>
    <t xml:space="preserve">Especialista / Ingeniero / Ejecutivo de Cuenta</t>
  </si>
  <si>
    <t xml:space="preserve">P</t>
  </si>
  <si>
    <t xml:space="preserve">Coordinador</t>
  </si>
  <si>
    <t xml:space="preserve">Q</t>
  </si>
  <si>
    <t xml:space="preserve">R</t>
  </si>
  <si>
    <t xml:space="preserve">Analista Sr / Ingeniero / Asesor Comercial</t>
  </si>
  <si>
    <t xml:space="preserve">S</t>
  </si>
  <si>
    <t xml:space="preserve">Supervisor</t>
  </si>
  <si>
    <t xml:space="preserve">Analista Sr / Técnico / Operario Especializado / Ingeniero / Asesor Comercial</t>
  </si>
  <si>
    <t xml:space="preserve">T</t>
  </si>
  <si>
    <t xml:space="preserve">Analista / Técnico / Operario Especializado / Ingeniero / Asesor Comercial</t>
  </si>
  <si>
    <t xml:space="preserve">U</t>
  </si>
  <si>
    <t xml:space="preserve">Analista / Técnico / Operario Especializado / Asesor Comercial</t>
  </si>
  <si>
    <t xml:space="preserve">V</t>
  </si>
  <si>
    <t xml:space="preserve">Auxiliar/Operario III / Representante de Ventas Sr</t>
  </si>
  <si>
    <t xml:space="preserve">W</t>
  </si>
  <si>
    <t xml:space="preserve">Auxiliar / Operario II / Representante de Ventas Sr</t>
  </si>
  <si>
    <t xml:space="preserve">X</t>
  </si>
  <si>
    <t xml:space="preserve">Auxiliar / Operario I / Representante de Ventas Jr</t>
  </si>
  <si>
    <t xml:space="preserve">Y</t>
  </si>
  <si>
    <t xml:space="preserve">Z</t>
  </si>
  <si>
    <t xml:space="preserve">Operario I / Ayudante</t>
  </si>
  <si>
    <t xml:space="preserve">AA</t>
  </si>
  <si>
    <t xml:space="preserve">AB</t>
  </si>
</sst>
</file>

<file path=xl/styles.xml><?xml version="1.0" encoding="utf-8"?>
<styleSheet xmlns="http://schemas.openxmlformats.org/spreadsheetml/2006/main">
  <numFmts count="2">
    <numFmt numFmtId="164" formatCode="General"/>
    <numFmt numFmtId="165" formatCode="0.00"/>
  </numFmts>
  <fonts count="20">
    <font>
      <sz val="11"/>
      <color theme="1"/>
      <name val="Calibri"/>
      <family val="2"/>
      <charset val="1"/>
    </font>
    <font>
      <sz val="10"/>
      <name val="Arial"/>
      <family val="0"/>
    </font>
    <font>
      <sz val="10"/>
      <name val="Arial"/>
      <family val="0"/>
    </font>
    <font>
      <sz val="10"/>
      <name val="Arial"/>
      <family val="0"/>
    </font>
    <font>
      <sz val="10"/>
      <name val="MS Sans Serif"/>
      <family val="2"/>
      <charset val="1"/>
    </font>
    <font>
      <b val="true"/>
      <sz val="8"/>
      <color theme="0"/>
      <name val="Arial"/>
      <family val="2"/>
      <charset val="1"/>
    </font>
    <font>
      <b val="true"/>
      <sz val="11"/>
      <color theme="1"/>
      <name val="Calibri"/>
      <family val="2"/>
      <charset val="1"/>
    </font>
    <font>
      <b val="true"/>
      <sz val="8"/>
      <color theme="1"/>
      <name val="Arial"/>
      <family val="2"/>
      <charset val="1"/>
    </font>
    <font>
      <sz val="8"/>
      <name val="Arial"/>
      <family val="2"/>
      <charset val="1"/>
    </font>
    <font>
      <sz val="8"/>
      <color theme="1"/>
      <name val="Arial"/>
      <family val="2"/>
      <charset val="1"/>
    </font>
    <font>
      <b val="true"/>
      <sz val="8"/>
      <name val="Arial"/>
      <family val="2"/>
      <charset val="1"/>
    </font>
    <font>
      <sz val="8"/>
      <color rgb="FF000000"/>
      <name val="Arial"/>
      <family val="2"/>
      <charset val="1"/>
    </font>
    <font>
      <sz val="8.5"/>
      <color rgb="FF000000"/>
      <name val="Arial"/>
      <family val="2"/>
      <charset val="1"/>
    </font>
    <font>
      <b val="true"/>
      <sz val="11"/>
      <color theme="0"/>
      <name val="Calibri"/>
      <family val="2"/>
      <charset val="1"/>
    </font>
    <font>
      <sz val="9"/>
      <color theme="1"/>
      <name val="Calibri"/>
      <family val="2"/>
      <charset val="1"/>
    </font>
    <font>
      <b val="true"/>
      <sz val="9"/>
      <color theme="1"/>
      <name val="Calibri"/>
      <family val="2"/>
      <charset val="1"/>
    </font>
    <font>
      <b val="true"/>
      <sz val="8"/>
      <color rgb="FF000000"/>
      <name val="Calibri Light"/>
      <family val="2"/>
      <charset val="1"/>
    </font>
    <font>
      <sz val="8"/>
      <color rgb="FF000000"/>
      <name val="Calibri Light"/>
      <family val="2"/>
      <charset val="1"/>
    </font>
    <font>
      <sz val="8"/>
      <color rgb="FF000000"/>
      <name val="Arial"/>
      <family val="0"/>
      <charset val="1"/>
    </font>
    <font>
      <sz val="8"/>
      <color theme="1"/>
      <name val="Calibri"/>
      <family val="2"/>
      <charset val="1"/>
    </font>
  </fonts>
  <fills count="6">
    <fill>
      <patternFill patternType="none"/>
    </fill>
    <fill>
      <patternFill patternType="gray125"/>
    </fill>
    <fill>
      <patternFill patternType="solid">
        <fgColor rgb="FF7FBC32"/>
        <bgColor rgb="FFA6A6A6"/>
      </patternFill>
    </fill>
    <fill>
      <patternFill patternType="solid">
        <fgColor rgb="FFFFFF00"/>
        <bgColor rgb="FFFFFF00"/>
      </patternFill>
    </fill>
    <fill>
      <patternFill patternType="solid">
        <fgColor rgb="FF009999"/>
        <bgColor rgb="FF008080"/>
      </patternFill>
    </fill>
    <fill>
      <patternFill patternType="solid">
        <fgColor rgb="FFFFFFFF"/>
        <bgColor rgb="FFFFFFCC"/>
      </patternFill>
    </fill>
  </fills>
  <borders count="12">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color theme="0" tint="-0.5"/>
      </left>
      <right style="thin">
        <color theme="0" tint="-0.5"/>
      </right>
      <top style="thin">
        <color theme="0" tint="-0.5"/>
      </top>
      <bottom/>
      <diagonal/>
    </border>
    <border diagonalUp="false" diagonalDown="false">
      <left style="thin">
        <color theme="0" tint="-0.5"/>
      </left>
      <right style="thin">
        <color theme="0" tint="-0.5"/>
      </right>
      <top style="thin">
        <color theme="0" tint="-0.5"/>
      </top>
      <bottom style="thin">
        <color theme="0" tint="-0.5"/>
      </bottom>
      <diagonal/>
    </border>
    <border diagonalUp="false" diagonalDown="false">
      <left/>
      <right style="thin">
        <color theme="0" tint="-0.5"/>
      </right>
      <top style="thin">
        <color theme="0" tint="-0.5"/>
      </top>
      <bottom style="thin">
        <color theme="0" tint="-0.5"/>
      </bottom>
      <diagonal/>
    </border>
    <border diagonalUp="false" diagonalDown="false">
      <left style="medium">
        <color rgb="FFA6A6A6"/>
      </left>
      <right style="medium">
        <color rgb="FFA6A6A6"/>
      </right>
      <top style="medium">
        <color rgb="FFA6A6A6"/>
      </top>
      <bottom style="medium">
        <color rgb="FFA6A6A6"/>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5" fontId="5" fillId="2" borderId="1" xfId="20" applyFont="true" applyBorder="true" applyAlignment="true" applyProtection="true">
      <alignment horizontal="center" vertical="center" textRotation="0" wrapText="true" indent="0" shrinkToFit="false"/>
      <protection locked="true" hidden="false"/>
    </xf>
    <xf numFmtId="164" fontId="5" fillId="2" borderId="1" xfId="20" applyFont="true" applyBorder="true" applyAlignment="true" applyProtection="true">
      <alignment horizontal="center" vertical="center" textRotation="0" wrapText="tru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5" fontId="7" fillId="0" borderId="1" xfId="20" applyFont="true" applyBorder="true" applyAlignment="true" applyProtection="true">
      <alignment horizontal="center" vertical="center" textRotation="0" wrapText="true" indent="0" shrinkToFit="false"/>
      <protection locked="true" hidden="false"/>
    </xf>
    <xf numFmtId="164" fontId="7" fillId="0" borderId="1" xfId="20" applyFont="true" applyBorder="true" applyAlignment="true" applyProtection="true">
      <alignment horizontal="center" vertical="center" textRotation="0" wrapText="true" indent="0" shrinkToFit="false"/>
      <protection locked="true" hidden="false"/>
    </xf>
    <xf numFmtId="164" fontId="8" fillId="0" borderId="1" xfId="21" applyFont="true" applyBorder="true" applyAlignment="true" applyProtection="true">
      <alignment horizontal="center" vertical="center" textRotation="0" wrapText="true" indent="0" shrinkToFit="false"/>
      <protection locked="false" hidden="false"/>
    </xf>
    <xf numFmtId="164" fontId="8" fillId="0" borderId="1" xfId="0" applyFont="true" applyBorder="true" applyAlignment="true" applyProtection="true">
      <alignment horizontal="center" vertical="center" textRotation="0" wrapText="true" indent="0" shrinkToFit="false"/>
      <protection locked="false" hidden="false"/>
    </xf>
    <xf numFmtId="164" fontId="9" fillId="0" borderId="1" xfId="20" applyFont="true" applyBorder="true" applyAlignment="true" applyProtection="true">
      <alignment horizontal="center" vertical="center" textRotation="0" wrapText="true" indent="0" shrinkToFit="false"/>
      <protection locked="true" hidden="false"/>
    </xf>
    <xf numFmtId="164" fontId="9" fillId="0" borderId="1" xfId="20" applyFont="true" applyBorder="true" applyAlignment="true" applyProtection="true">
      <alignment horizontal="general" vertical="top" textRotation="0" wrapText="true" indent="0" shrinkToFit="false"/>
      <protection locked="true" hidden="false"/>
    </xf>
    <xf numFmtId="164" fontId="8" fillId="0" borderId="1" xfId="21" applyFont="true" applyBorder="true" applyAlignment="true" applyProtection="true">
      <alignment horizontal="general" vertical="center" textRotation="0" wrapText="true" indent="0" shrinkToFit="false"/>
      <protection locked="false" hidden="false"/>
    </xf>
    <xf numFmtId="165" fontId="7" fillId="0" borderId="1" xfId="21" applyFont="true" applyBorder="true" applyAlignment="true" applyProtection="true">
      <alignment horizontal="center" vertical="center" textRotation="0" wrapText="false" indent="0" shrinkToFit="false"/>
      <protection locked="true" hidden="false"/>
    </xf>
    <xf numFmtId="164" fontId="7" fillId="0" borderId="1" xfId="21" applyFont="true" applyBorder="true" applyAlignment="true" applyProtection="true">
      <alignment horizontal="center" vertical="center" textRotation="0" wrapText="true" indent="0" shrinkToFit="false"/>
      <protection locked="true" hidden="false"/>
    </xf>
    <xf numFmtId="164" fontId="7" fillId="0" borderId="1" xfId="21" applyFont="true" applyBorder="true" applyAlignment="true" applyProtection="true">
      <alignment horizontal="center" vertical="center" textRotation="0" wrapText="false" indent="0" shrinkToFit="false"/>
      <protection locked="true" hidden="false"/>
    </xf>
    <xf numFmtId="164" fontId="9" fillId="0" borderId="1" xfId="21" applyFont="true" applyBorder="true" applyAlignment="true" applyProtection="true">
      <alignment horizontal="center" vertical="center" textRotation="0" wrapText="true" indent="0" shrinkToFit="false"/>
      <protection locked="true" hidden="false"/>
    </xf>
    <xf numFmtId="164" fontId="9" fillId="0" borderId="1" xfId="21" applyFont="true" applyBorder="true" applyAlignment="true" applyProtection="true">
      <alignment horizontal="justify" vertical="center" textRotation="0" wrapText="true" indent="0" shrinkToFit="false"/>
      <protection locked="true" hidden="false"/>
    </xf>
    <xf numFmtId="164" fontId="8" fillId="0" borderId="1" xfId="21" applyFont="true" applyBorder="true" applyAlignment="true" applyProtection="true">
      <alignment horizontal="justify" vertical="center" textRotation="0" wrapText="true" indent="0" shrinkToFit="false"/>
      <protection locked="true" hidden="false"/>
    </xf>
    <xf numFmtId="165" fontId="10" fillId="0" borderId="1" xfId="21" applyFont="true" applyBorder="true" applyAlignment="true" applyProtection="true">
      <alignment horizontal="center" vertical="center" textRotation="0" wrapText="false" indent="0" shrinkToFit="false"/>
      <protection locked="false" hidden="false"/>
    </xf>
    <xf numFmtId="164" fontId="9" fillId="0" borderId="1" xfId="21" applyFont="true" applyBorder="true" applyAlignment="true" applyProtection="true">
      <alignment horizontal="left" vertical="center" textRotation="0" wrapText="true" indent="0" shrinkToFit="false"/>
      <protection locked="true" hidden="false"/>
    </xf>
    <xf numFmtId="165" fontId="10" fillId="0" borderId="1" xfId="20" applyFont="true" applyBorder="true" applyAlignment="true" applyProtection="true">
      <alignment horizontal="center" vertical="center" textRotation="0" wrapText="true" indent="0" shrinkToFit="false"/>
      <protection locked="true" hidden="false"/>
    </xf>
    <xf numFmtId="164" fontId="8" fillId="0" borderId="1" xfId="20" applyFont="true" applyBorder="true" applyAlignment="true" applyProtection="true">
      <alignment horizontal="general" vertical="center" textRotation="0" wrapText="true" indent="0" shrinkToFit="false"/>
      <protection locked="false" hidden="false"/>
    </xf>
    <xf numFmtId="165" fontId="7" fillId="0" borderId="1" xfId="21" applyFont="true" applyBorder="true" applyAlignment="true" applyProtection="true">
      <alignment horizontal="center" vertical="center" textRotation="0" wrapText="true" indent="0" shrinkToFit="false"/>
      <protection locked="true" hidden="false"/>
    </xf>
    <xf numFmtId="164" fontId="4" fillId="0" borderId="0" xfId="20" applyFont="true" applyBorder="false" applyAlignment="true" applyProtection="true">
      <alignment horizontal="general" vertical="bottom" textRotation="0" wrapText="true" indent="0" shrinkToFit="false"/>
      <protection locked="true" hidden="false"/>
    </xf>
    <xf numFmtId="164" fontId="8" fillId="0" borderId="0" xfId="20" applyFont="true" applyBorder="false" applyAlignment="true" applyProtection="true">
      <alignment horizontal="general" vertical="top" textRotation="0" wrapText="true" indent="0" shrinkToFit="false"/>
      <protection locked="true" hidden="false"/>
    </xf>
    <xf numFmtId="164" fontId="7" fillId="0" borderId="0" xfId="20" applyFont="true" applyBorder="false" applyAlignment="true" applyProtection="true">
      <alignment horizontal="center"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true" indent="0" shrinkToFit="false"/>
      <protection locked="true" hidden="false"/>
    </xf>
    <xf numFmtId="164" fontId="9" fillId="0" borderId="1" xfId="20" applyFont="true" applyBorder="true" applyAlignment="true" applyProtection="true">
      <alignment horizontal="justify" vertical="center" textRotation="0" wrapText="true" indent="0" shrinkToFit="false"/>
      <protection locked="true" hidden="false"/>
    </xf>
    <xf numFmtId="164" fontId="8" fillId="0" borderId="1" xfId="20" applyFont="true" applyBorder="true" applyAlignment="true" applyProtection="true">
      <alignment horizontal="general" vertical="top" textRotation="0" wrapText="true" indent="0" shrinkToFit="false"/>
      <protection locked="true" hidden="false"/>
    </xf>
    <xf numFmtId="164" fontId="9" fillId="0" borderId="1" xfId="20" applyFont="true" applyBorder="true" applyAlignment="true" applyProtection="true">
      <alignment horizontal="left" vertical="center" textRotation="0" wrapText="true" indent="0" shrinkToFit="false"/>
      <protection locked="true" hidden="false"/>
    </xf>
    <xf numFmtId="164" fontId="9" fillId="3" borderId="1" xfId="20" applyFont="true" applyBorder="true" applyAlignment="true" applyProtection="true">
      <alignment horizontal="general" vertical="top" textRotation="0" wrapText="true" indent="0" shrinkToFit="false"/>
      <protection locked="true" hidden="false"/>
    </xf>
    <xf numFmtId="165" fontId="7" fillId="0" borderId="2" xfId="20" applyFont="true" applyBorder="true" applyAlignment="true" applyProtection="true">
      <alignment horizontal="center" vertical="center" textRotation="0" wrapText="true" indent="0" shrinkToFit="false"/>
      <protection locked="true" hidden="false"/>
    </xf>
    <xf numFmtId="164" fontId="7" fillId="0" borderId="2" xfId="20" applyFont="true" applyBorder="true" applyAlignment="true" applyProtection="true">
      <alignment horizontal="center" vertical="center" textRotation="0" wrapText="true" indent="0" shrinkToFit="false"/>
      <protection locked="true" hidden="false"/>
    </xf>
    <xf numFmtId="164" fontId="8" fillId="0" borderId="2" xfId="21" applyFont="true" applyBorder="true" applyAlignment="true" applyProtection="true">
      <alignment horizontal="center" vertical="center" textRotation="0" wrapText="true" indent="0" shrinkToFit="false"/>
      <protection locked="false" hidden="false"/>
    </xf>
    <xf numFmtId="164" fontId="8" fillId="0" borderId="2" xfId="0" applyFont="true" applyBorder="true" applyAlignment="true" applyProtection="true">
      <alignment horizontal="center" vertical="center" textRotation="0" wrapText="true" indent="0" shrinkToFit="false"/>
      <protection locked="false" hidden="false"/>
    </xf>
    <xf numFmtId="164" fontId="9" fillId="0" borderId="2" xfId="20" applyFont="true" applyBorder="true" applyAlignment="true" applyProtection="true">
      <alignment horizontal="center" vertical="center" textRotation="0" wrapText="true" indent="0" shrinkToFit="false"/>
      <protection locked="true" hidden="false"/>
    </xf>
    <xf numFmtId="164" fontId="9" fillId="0" borderId="2" xfId="20" applyFont="true" applyBorder="true" applyAlignment="true" applyProtection="true">
      <alignment horizontal="general" vertical="top" textRotation="0" wrapText="true" indent="0" shrinkToFit="false"/>
      <protection locked="true" hidden="false"/>
    </xf>
    <xf numFmtId="164" fontId="8" fillId="0" borderId="2" xfId="21" applyFont="true" applyBorder="true" applyAlignment="true" applyProtection="true">
      <alignment horizontal="general" vertical="center" textRotation="0" wrapText="true" indent="0" shrinkToFit="false"/>
      <protection locked="false" hidden="false"/>
    </xf>
    <xf numFmtId="165" fontId="10" fillId="0" borderId="0" xfId="21" applyFont="true" applyBorder="false" applyAlignment="true" applyProtection="true">
      <alignment horizontal="center" vertical="center" textRotation="0" wrapText="false" indent="0" shrinkToFit="false"/>
      <protection locked="false" hidden="false"/>
    </xf>
    <xf numFmtId="164" fontId="7" fillId="0" borderId="0" xfId="21" applyFont="true" applyBorder="false" applyAlignment="true" applyProtection="true">
      <alignment horizontal="center" vertical="center" textRotation="0" wrapText="true" indent="0" shrinkToFit="false"/>
      <protection locked="true" hidden="false"/>
    </xf>
    <xf numFmtId="164" fontId="8" fillId="0" borderId="0" xfId="21" applyFont="true" applyBorder="false" applyAlignment="true" applyProtection="true">
      <alignment horizontal="center" vertical="center" textRotation="0" wrapText="true" indent="0" shrinkToFit="false"/>
      <protection locked="false" hidden="false"/>
    </xf>
    <xf numFmtId="164" fontId="8" fillId="0" borderId="0" xfId="0" applyFont="true" applyBorder="false" applyAlignment="true" applyProtection="true">
      <alignment horizontal="center" vertical="center" textRotation="0" wrapText="true" indent="0" shrinkToFit="false"/>
      <protection locked="false" hidden="false"/>
    </xf>
    <xf numFmtId="164" fontId="9" fillId="0" borderId="0" xfId="21" applyFont="true" applyBorder="false" applyAlignment="true" applyProtection="true">
      <alignment horizontal="center" vertical="center" textRotation="0" wrapText="true" indent="0" shrinkToFit="false"/>
      <protection locked="true" hidden="false"/>
    </xf>
    <xf numFmtId="164" fontId="9" fillId="0" borderId="0" xfId="2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center" vertical="bottom" textRotation="0" wrapText="false" indent="0" shrinkToFit="false"/>
      <protection locked="true" hidden="false"/>
    </xf>
    <xf numFmtId="164" fontId="0" fillId="0" borderId="4" xfId="0" applyFont="true" applyBorder="true" applyAlignment="true" applyProtection="true">
      <alignment horizontal="center" vertical="bottom" textRotation="0" wrapText="false" indent="0" shrinkToFit="false"/>
      <protection locked="true" hidden="false"/>
    </xf>
    <xf numFmtId="164" fontId="0" fillId="0" borderId="5"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6" xfId="0" applyFont="false" applyBorder="true" applyAlignment="true" applyProtection="true">
      <alignment horizontal="general" vertical="center" textRotation="0" wrapText="false" indent="0" shrinkToFit="false"/>
      <protection locked="true" hidden="false"/>
    </xf>
    <xf numFmtId="164" fontId="0" fillId="0" borderId="1" xfId="0" applyFont="false" applyBorder="true" applyAlignment="true" applyProtection="true">
      <alignment horizontal="center" vertical="center" textRotation="0" wrapText="true" indent="0" shrinkToFit="false"/>
      <protection locked="true" hidden="false"/>
    </xf>
    <xf numFmtId="164" fontId="0" fillId="0" borderId="7" xfId="0" applyFont="fals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13" fillId="4" borderId="8" xfId="0" applyFont="true" applyBorder="true" applyAlignment="true" applyProtection="true">
      <alignment horizontal="center" vertical="center" textRotation="0" wrapText="false" indent="0" shrinkToFit="false"/>
      <protection locked="true" hidden="false"/>
    </xf>
    <xf numFmtId="164" fontId="13" fillId="4" borderId="9" xfId="0" applyFont="true" applyBorder="true" applyAlignment="true" applyProtection="true">
      <alignment horizontal="center" vertical="center" textRotation="0" wrapText="false" indent="0" shrinkToFit="false"/>
      <protection locked="true" hidden="false"/>
    </xf>
    <xf numFmtId="164" fontId="0" fillId="0" borderId="9" xfId="0" applyFont="true" applyBorder="true" applyAlignment="true" applyProtection="true">
      <alignment horizontal="center" vertical="center" textRotation="0" wrapText="false" indent="0" shrinkToFit="false"/>
      <protection locked="true" hidden="false"/>
    </xf>
    <xf numFmtId="164" fontId="0" fillId="0" borderId="9" xfId="0" applyFont="fals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4" fontId="0" fillId="3" borderId="1" xfId="0" applyFont="false" applyBorder="true" applyAlignment="true" applyProtection="true">
      <alignment horizontal="center" vertical="center" textRotation="0" wrapText="false" indent="0" shrinkToFit="false"/>
      <protection locked="true" hidden="false"/>
    </xf>
    <xf numFmtId="164" fontId="0" fillId="0" borderId="10" xfId="0" applyFont="fals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13" fillId="4"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3" borderId="1"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center" vertical="center" textRotation="0" wrapText="true" indent="0" shrinkToFit="false"/>
      <protection locked="true" hidden="false"/>
    </xf>
    <xf numFmtId="164" fontId="15" fillId="0" borderId="0" xfId="0" applyFont="true" applyBorder="false" applyAlignment="true" applyProtection="true">
      <alignment horizontal="center" vertical="center" textRotation="0" wrapText="true" indent="0" shrinkToFit="false"/>
      <protection locked="true" hidden="false"/>
    </xf>
    <xf numFmtId="164" fontId="16" fillId="0" borderId="11" xfId="0" applyFont="true" applyBorder="true" applyAlignment="true" applyProtection="true">
      <alignment horizontal="center" vertical="center" textRotation="0" wrapText="true" indent="0" shrinkToFit="false" readingOrder="1"/>
      <protection locked="true" hidden="false"/>
    </xf>
    <xf numFmtId="164" fontId="17" fillId="0" borderId="11" xfId="0" applyFont="true" applyBorder="true" applyAlignment="true" applyProtection="true">
      <alignment horizontal="center" vertical="center" textRotation="0" wrapText="true" indent="0" shrinkToFit="false" readingOrder="1"/>
      <protection locked="true" hidden="false"/>
    </xf>
    <xf numFmtId="164" fontId="18" fillId="0" borderId="11" xfId="0" applyFont="true" applyBorder="true" applyAlignment="true" applyProtection="true">
      <alignment horizontal="center" vertical="center" textRotation="0" wrapText="true" indent="0" shrinkToFit="false" readingOrder="1"/>
      <protection locked="true" hidden="false"/>
    </xf>
    <xf numFmtId="164" fontId="8" fillId="0" borderId="11" xfId="0" applyFont="true" applyBorder="true" applyAlignment="true" applyProtection="true">
      <alignment horizontal="center" vertical="center" textRotation="0" wrapText="true" indent="0" shrinkToFit="false"/>
      <protection locked="true" hidden="false"/>
    </xf>
    <xf numFmtId="164" fontId="8" fillId="5" borderId="11" xfId="0" applyFont="true" applyBorder="true" applyAlignment="true" applyProtection="true">
      <alignment horizontal="center" vertical="center" textRotation="0" wrapText="true" indent="0" shrinkToFit="false"/>
      <protection locked="true" hidden="false"/>
    </xf>
    <xf numFmtId="164" fontId="18" fillId="5" borderId="11" xfId="0" applyFont="true" applyBorder="true" applyAlignment="true" applyProtection="true">
      <alignment horizontal="center" vertical="center" textRotation="0" wrapText="true" indent="0" shrinkToFit="false" readingOrder="1"/>
      <protection locked="true" hidden="false"/>
    </xf>
    <xf numFmtId="164" fontId="19" fillId="0" borderId="0" xfId="0" applyFont="true" applyBorder="false" applyAlignment="true" applyProtection="true">
      <alignment horizontal="center" vertical="center"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3" xfId="20"/>
    <cellStyle name="Normal 7" xfId="21"/>
  </cellStyles>
  <dxfs count="6">
    <dxf>
      <fill>
        <patternFill patternType="solid">
          <fgColor rgb="FF7FBC3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99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9999"/>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7FBC32"/>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a1" displayName="Tabla1" ref="C2:H4" headerRowCount="1" totalsRowCount="0" totalsRowShown="0">
  <autoFilter ref="C2:H4"/>
  <tableColumns count="6">
    <tableColumn id="1" name="Cargo Valorado"/>
    <tableColumn id="2" name="Cargo Homologado 1"/>
    <tableColumn id="3" name="Descripción 1"/>
    <tableColumn id="4" name="Cargo Homologado 2"/>
    <tableColumn id="5" name="Descripción 2"/>
    <tableColumn id="6" name="Observaciones"/>
  </tableColumns>
</table>
</file>

<file path=xl/theme/theme1.xml><?xml version="1.0" encoding="utf-8"?>
<a:theme xmlns:a="http://schemas.openxmlformats.org/drawingml/2006/main" xmlns:r="http://schemas.openxmlformats.org/officeDocument/2006/relationships"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U2052"/>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B1" activeCellId="0" sqref="B1"/>
    </sheetView>
  </sheetViews>
  <sheetFormatPr defaultColWidth="11.2890625" defaultRowHeight="15" customHeight="false" zeroHeight="false" outlineLevelRow="0" outlineLevelCol="0"/>
  <cols>
    <col collapsed="false" customWidth="true" hidden="true" outlineLevel="0" max="1" min="1" style="1" width="16"/>
    <col collapsed="false" customWidth="true" hidden="false" outlineLevel="0" max="2" min="2" style="2" width="23.57"/>
    <col collapsed="false" customWidth="true" hidden="true" outlineLevel="0" max="3" min="3" style="1" width="16"/>
    <col collapsed="false" customWidth="true" hidden="true" outlineLevel="0" max="4" min="4" style="2" width="9.42"/>
    <col collapsed="false" customWidth="true" hidden="false" outlineLevel="0" max="5" min="5" style="2" width="13"/>
    <col collapsed="false" customWidth="true" hidden="true" outlineLevel="0" max="6" min="6" style="2" width="16.71"/>
    <col collapsed="false" customWidth="true" hidden="true" outlineLevel="0" max="7" min="7" style="2" width="13"/>
    <col collapsed="false" customWidth="true" hidden="false" outlineLevel="0" max="8" min="8" style="2" width="11.43"/>
    <col collapsed="false" customWidth="true" hidden="false" outlineLevel="0" max="9" min="9" style="2" width="16.71"/>
    <col collapsed="false" customWidth="true" hidden="false" outlineLevel="0" max="10" min="10" style="2" width="56.29"/>
    <col collapsed="false" customWidth="true" hidden="true" outlineLevel="0" max="11" min="11" style="2" width="23.29"/>
    <col collapsed="false" customWidth="true" hidden="true" outlineLevel="0" max="12" min="12" style="2" width="19.29"/>
    <col collapsed="false" customWidth="true" hidden="true" outlineLevel="0" max="13" min="13" style="2" width="18"/>
    <col collapsed="false" customWidth="true" hidden="true" outlineLevel="0" max="14" min="14" style="2" width="14.29"/>
    <col collapsed="false" customWidth="false" hidden="false" outlineLevel="0" max="256" min="15" style="2" width="11.29"/>
    <col collapsed="false" customWidth="true" hidden="false" outlineLevel="0" max="257" min="257" style="2" width="16"/>
    <col collapsed="false" customWidth="true" hidden="false" outlineLevel="0" max="258" min="258" style="2" width="23.57"/>
    <col collapsed="false" customWidth="true" hidden="false" outlineLevel="0" max="259" min="259" style="2" width="16"/>
    <col collapsed="false" customWidth="true" hidden="false" outlineLevel="0" max="260" min="260" style="2" width="9.42"/>
    <col collapsed="false" customWidth="true" hidden="false" outlineLevel="0" max="261" min="261" style="2" width="13"/>
    <col collapsed="false" customWidth="true" hidden="false" outlineLevel="0" max="262" min="262" style="2" width="16.71"/>
    <col collapsed="false" customWidth="true" hidden="false" outlineLevel="0" max="263" min="263" style="2" width="13"/>
    <col collapsed="false" customWidth="true" hidden="false" outlineLevel="0" max="264" min="264" style="2" width="11.43"/>
    <col collapsed="false" customWidth="true" hidden="false" outlineLevel="0" max="265" min="265" style="2" width="16.71"/>
    <col collapsed="false" customWidth="true" hidden="false" outlineLevel="0" max="266" min="266" style="2" width="56.29"/>
    <col collapsed="false" customWidth="true" hidden="false" outlineLevel="0" max="267" min="267" style="2" width="23.29"/>
    <col collapsed="false" customWidth="true" hidden="false" outlineLevel="0" max="268" min="268" style="2" width="19.29"/>
    <col collapsed="false" customWidth="true" hidden="false" outlineLevel="0" max="269" min="269" style="2" width="18"/>
    <col collapsed="false" customWidth="true" hidden="false" outlineLevel="0" max="270" min="270" style="2" width="14.29"/>
    <col collapsed="false" customWidth="false" hidden="false" outlineLevel="0" max="512" min="271" style="2" width="11.29"/>
    <col collapsed="false" customWidth="true" hidden="false" outlineLevel="0" max="513" min="513" style="2" width="16"/>
    <col collapsed="false" customWidth="true" hidden="false" outlineLevel="0" max="514" min="514" style="2" width="23.57"/>
    <col collapsed="false" customWidth="true" hidden="false" outlineLevel="0" max="515" min="515" style="2" width="16"/>
    <col collapsed="false" customWidth="true" hidden="false" outlineLevel="0" max="516" min="516" style="2" width="9.42"/>
    <col collapsed="false" customWidth="true" hidden="false" outlineLevel="0" max="517" min="517" style="2" width="13"/>
    <col collapsed="false" customWidth="true" hidden="false" outlineLevel="0" max="518" min="518" style="2" width="16.71"/>
    <col collapsed="false" customWidth="true" hidden="false" outlineLevel="0" max="519" min="519" style="2" width="13"/>
    <col collapsed="false" customWidth="true" hidden="false" outlineLevel="0" max="520" min="520" style="2" width="11.43"/>
    <col collapsed="false" customWidth="true" hidden="false" outlineLevel="0" max="521" min="521" style="2" width="16.71"/>
    <col collapsed="false" customWidth="true" hidden="false" outlineLevel="0" max="522" min="522" style="2" width="56.29"/>
    <col collapsed="false" customWidth="true" hidden="false" outlineLevel="0" max="523" min="523" style="2" width="23.29"/>
    <col collapsed="false" customWidth="true" hidden="false" outlineLevel="0" max="524" min="524" style="2" width="19.29"/>
    <col collapsed="false" customWidth="true" hidden="false" outlineLevel="0" max="525" min="525" style="2" width="18"/>
    <col collapsed="false" customWidth="true" hidden="false" outlineLevel="0" max="526" min="526" style="2" width="14.29"/>
    <col collapsed="false" customWidth="false" hidden="false" outlineLevel="0" max="768" min="527" style="2" width="11.29"/>
    <col collapsed="false" customWidth="true" hidden="false" outlineLevel="0" max="769" min="769" style="2" width="16"/>
    <col collapsed="false" customWidth="true" hidden="false" outlineLevel="0" max="770" min="770" style="2" width="23.57"/>
    <col collapsed="false" customWidth="true" hidden="false" outlineLevel="0" max="771" min="771" style="2" width="16"/>
    <col collapsed="false" customWidth="true" hidden="false" outlineLevel="0" max="772" min="772" style="2" width="9.42"/>
    <col collapsed="false" customWidth="true" hidden="false" outlineLevel="0" max="773" min="773" style="2" width="13"/>
    <col collapsed="false" customWidth="true" hidden="false" outlineLevel="0" max="774" min="774" style="2" width="16.71"/>
    <col collapsed="false" customWidth="true" hidden="false" outlineLevel="0" max="775" min="775" style="2" width="13"/>
    <col collapsed="false" customWidth="true" hidden="false" outlineLevel="0" max="776" min="776" style="2" width="11.43"/>
    <col collapsed="false" customWidth="true" hidden="false" outlineLevel="0" max="777" min="777" style="2" width="16.71"/>
    <col collapsed="false" customWidth="true" hidden="false" outlineLevel="0" max="778" min="778" style="2" width="56.29"/>
    <col collapsed="false" customWidth="true" hidden="false" outlineLevel="0" max="779" min="779" style="2" width="23.29"/>
    <col collapsed="false" customWidth="true" hidden="false" outlineLevel="0" max="780" min="780" style="2" width="19.29"/>
    <col collapsed="false" customWidth="true" hidden="false" outlineLevel="0" max="781" min="781" style="2" width="18"/>
    <col collapsed="false" customWidth="true" hidden="false" outlineLevel="0" max="782" min="782" style="2" width="14.29"/>
    <col collapsed="false" customWidth="false" hidden="false" outlineLevel="0" max="1024" min="783" style="2" width="11.29"/>
    <col collapsed="false" customWidth="true" hidden="false" outlineLevel="0" max="1025" min="1025" style="2" width="16"/>
    <col collapsed="false" customWidth="true" hidden="false" outlineLevel="0" max="1026" min="1026" style="2" width="23.57"/>
    <col collapsed="false" customWidth="true" hidden="false" outlineLevel="0" max="1027" min="1027" style="2" width="16"/>
    <col collapsed="false" customWidth="true" hidden="false" outlineLevel="0" max="1028" min="1028" style="2" width="9.42"/>
    <col collapsed="false" customWidth="true" hidden="false" outlineLevel="0" max="1029" min="1029" style="2" width="13"/>
    <col collapsed="false" customWidth="true" hidden="false" outlineLevel="0" max="1030" min="1030" style="2" width="16.71"/>
    <col collapsed="false" customWidth="true" hidden="false" outlineLevel="0" max="1031" min="1031" style="2" width="13"/>
    <col collapsed="false" customWidth="true" hidden="false" outlineLevel="0" max="1032" min="1032" style="2" width="11.43"/>
    <col collapsed="false" customWidth="true" hidden="false" outlineLevel="0" max="1033" min="1033" style="2" width="16.71"/>
    <col collapsed="false" customWidth="true" hidden="false" outlineLevel="0" max="1034" min="1034" style="2" width="56.29"/>
    <col collapsed="false" customWidth="true" hidden="false" outlineLevel="0" max="1035" min="1035" style="2" width="23.29"/>
    <col collapsed="false" customWidth="true" hidden="false" outlineLevel="0" max="1036" min="1036" style="2" width="19.29"/>
    <col collapsed="false" customWidth="true" hidden="false" outlineLevel="0" max="1037" min="1037" style="2" width="18"/>
    <col collapsed="false" customWidth="true" hidden="false" outlineLevel="0" max="1038" min="1038" style="2" width="14.29"/>
    <col collapsed="false" customWidth="false" hidden="false" outlineLevel="0" max="1280" min="1039" style="2" width="11.29"/>
    <col collapsed="false" customWidth="true" hidden="false" outlineLevel="0" max="1281" min="1281" style="2" width="16"/>
    <col collapsed="false" customWidth="true" hidden="false" outlineLevel="0" max="1282" min="1282" style="2" width="23.57"/>
    <col collapsed="false" customWidth="true" hidden="false" outlineLevel="0" max="1283" min="1283" style="2" width="16"/>
    <col collapsed="false" customWidth="true" hidden="false" outlineLevel="0" max="1284" min="1284" style="2" width="9.42"/>
    <col collapsed="false" customWidth="true" hidden="false" outlineLevel="0" max="1285" min="1285" style="2" width="13"/>
    <col collapsed="false" customWidth="true" hidden="false" outlineLevel="0" max="1286" min="1286" style="2" width="16.71"/>
    <col collapsed="false" customWidth="true" hidden="false" outlineLevel="0" max="1287" min="1287" style="2" width="13"/>
    <col collapsed="false" customWidth="true" hidden="false" outlineLevel="0" max="1288" min="1288" style="2" width="11.43"/>
    <col collapsed="false" customWidth="true" hidden="false" outlineLevel="0" max="1289" min="1289" style="2" width="16.71"/>
    <col collapsed="false" customWidth="true" hidden="false" outlineLevel="0" max="1290" min="1290" style="2" width="56.29"/>
    <col collapsed="false" customWidth="true" hidden="false" outlineLevel="0" max="1291" min="1291" style="2" width="23.29"/>
    <col collapsed="false" customWidth="true" hidden="false" outlineLevel="0" max="1292" min="1292" style="2" width="19.29"/>
    <col collapsed="false" customWidth="true" hidden="false" outlineLevel="0" max="1293" min="1293" style="2" width="18"/>
    <col collapsed="false" customWidth="true" hidden="false" outlineLevel="0" max="1294" min="1294" style="2" width="14.29"/>
    <col collapsed="false" customWidth="false" hidden="false" outlineLevel="0" max="1536" min="1295" style="2" width="11.29"/>
    <col collapsed="false" customWidth="true" hidden="false" outlineLevel="0" max="1537" min="1537" style="2" width="16"/>
    <col collapsed="false" customWidth="true" hidden="false" outlineLevel="0" max="1538" min="1538" style="2" width="23.57"/>
    <col collapsed="false" customWidth="true" hidden="false" outlineLevel="0" max="1539" min="1539" style="2" width="16"/>
    <col collapsed="false" customWidth="true" hidden="false" outlineLevel="0" max="1540" min="1540" style="2" width="9.42"/>
    <col collapsed="false" customWidth="true" hidden="false" outlineLevel="0" max="1541" min="1541" style="2" width="13"/>
    <col collapsed="false" customWidth="true" hidden="false" outlineLevel="0" max="1542" min="1542" style="2" width="16.71"/>
    <col collapsed="false" customWidth="true" hidden="false" outlineLevel="0" max="1543" min="1543" style="2" width="13"/>
    <col collapsed="false" customWidth="true" hidden="false" outlineLevel="0" max="1544" min="1544" style="2" width="11.43"/>
    <col collapsed="false" customWidth="true" hidden="false" outlineLevel="0" max="1545" min="1545" style="2" width="16.71"/>
    <col collapsed="false" customWidth="true" hidden="false" outlineLevel="0" max="1546" min="1546" style="2" width="56.29"/>
    <col collapsed="false" customWidth="true" hidden="false" outlineLevel="0" max="1547" min="1547" style="2" width="23.29"/>
    <col collapsed="false" customWidth="true" hidden="false" outlineLevel="0" max="1548" min="1548" style="2" width="19.29"/>
    <col collapsed="false" customWidth="true" hidden="false" outlineLevel="0" max="1549" min="1549" style="2" width="18"/>
    <col collapsed="false" customWidth="true" hidden="false" outlineLevel="0" max="1550" min="1550" style="2" width="14.29"/>
    <col collapsed="false" customWidth="false" hidden="false" outlineLevel="0" max="1792" min="1551" style="2" width="11.29"/>
    <col collapsed="false" customWidth="true" hidden="false" outlineLevel="0" max="1793" min="1793" style="2" width="16"/>
    <col collapsed="false" customWidth="true" hidden="false" outlineLevel="0" max="1794" min="1794" style="2" width="23.57"/>
    <col collapsed="false" customWidth="true" hidden="false" outlineLevel="0" max="1795" min="1795" style="2" width="16"/>
    <col collapsed="false" customWidth="true" hidden="false" outlineLevel="0" max="1796" min="1796" style="2" width="9.42"/>
    <col collapsed="false" customWidth="true" hidden="false" outlineLevel="0" max="1797" min="1797" style="2" width="13"/>
    <col collapsed="false" customWidth="true" hidden="false" outlineLevel="0" max="1798" min="1798" style="2" width="16.71"/>
    <col collapsed="false" customWidth="true" hidden="false" outlineLevel="0" max="1799" min="1799" style="2" width="13"/>
    <col collapsed="false" customWidth="true" hidden="false" outlineLevel="0" max="1800" min="1800" style="2" width="11.43"/>
    <col collapsed="false" customWidth="true" hidden="false" outlineLevel="0" max="1801" min="1801" style="2" width="16.71"/>
    <col collapsed="false" customWidth="true" hidden="false" outlineLevel="0" max="1802" min="1802" style="2" width="56.29"/>
    <col collapsed="false" customWidth="true" hidden="false" outlineLevel="0" max="1803" min="1803" style="2" width="23.29"/>
    <col collapsed="false" customWidth="true" hidden="false" outlineLevel="0" max="1804" min="1804" style="2" width="19.29"/>
    <col collapsed="false" customWidth="true" hidden="false" outlineLevel="0" max="1805" min="1805" style="2" width="18"/>
    <col collapsed="false" customWidth="true" hidden="false" outlineLevel="0" max="1806" min="1806" style="2" width="14.29"/>
    <col collapsed="false" customWidth="false" hidden="false" outlineLevel="0" max="2048" min="1807" style="2" width="11.29"/>
    <col collapsed="false" customWidth="true" hidden="false" outlineLevel="0" max="2049" min="2049" style="2" width="16"/>
    <col collapsed="false" customWidth="true" hidden="false" outlineLevel="0" max="2050" min="2050" style="2" width="23.57"/>
    <col collapsed="false" customWidth="true" hidden="false" outlineLevel="0" max="2051" min="2051" style="2" width="16"/>
    <col collapsed="false" customWidth="true" hidden="false" outlineLevel="0" max="2052" min="2052" style="2" width="9.42"/>
    <col collapsed="false" customWidth="true" hidden="false" outlineLevel="0" max="2053" min="2053" style="2" width="13"/>
    <col collapsed="false" customWidth="true" hidden="false" outlineLevel="0" max="2054" min="2054" style="2" width="16.71"/>
    <col collapsed="false" customWidth="true" hidden="false" outlineLevel="0" max="2055" min="2055" style="2" width="13"/>
    <col collapsed="false" customWidth="true" hidden="false" outlineLevel="0" max="2056" min="2056" style="2" width="11.43"/>
    <col collapsed="false" customWidth="true" hidden="false" outlineLevel="0" max="2057" min="2057" style="2" width="16.71"/>
    <col collapsed="false" customWidth="true" hidden="false" outlineLevel="0" max="2058" min="2058" style="2" width="56.29"/>
    <col collapsed="false" customWidth="true" hidden="false" outlineLevel="0" max="2059" min="2059" style="2" width="23.29"/>
    <col collapsed="false" customWidth="true" hidden="false" outlineLevel="0" max="2060" min="2060" style="2" width="19.29"/>
    <col collapsed="false" customWidth="true" hidden="false" outlineLevel="0" max="2061" min="2061" style="2" width="18"/>
    <col collapsed="false" customWidth="true" hidden="false" outlineLevel="0" max="2062" min="2062" style="2" width="14.29"/>
    <col collapsed="false" customWidth="false" hidden="false" outlineLevel="0" max="2304" min="2063" style="2" width="11.29"/>
    <col collapsed="false" customWidth="true" hidden="false" outlineLevel="0" max="2305" min="2305" style="2" width="16"/>
    <col collapsed="false" customWidth="true" hidden="false" outlineLevel="0" max="2306" min="2306" style="2" width="23.57"/>
    <col collapsed="false" customWidth="true" hidden="false" outlineLevel="0" max="2307" min="2307" style="2" width="16"/>
    <col collapsed="false" customWidth="true" hidden="false" outlineLevel="0" max="2308" min="2308" style="2" width="9.42"/>
    <col collapsed="false" customWidth="true" hidden="false" outlineLevel="0" max="2309" min="2309" style="2" width="13"/>
    <col collapsed="false" customWidth="true" hidden="false" outlineLevel="0" max="2310" min="2310" style="2" width="16.71"/>
    <col collapsed="false" customWidth="true" hidden="false" outlineLevel="0" max="2311" min="2311" style="2" width="13"/>
    <col collapsed="false" customWidth="true" hidden="false" outlineLevel="0" max="2312" min="2312" style="2" width="11.43"/>
    <col collapsed="false" customWidth="true" hidden="false" outlineLevel="0" max="2313" min="2313" style="2" width="16.71"/>
    <col collapsed="false" customWidth="true" hidden="false" outlineLevel="0" max="2314" min="2314" style="2" width="56.29"/>
    <col collapsed="false" customWidth="true" hidden="false" outlineLevel="0" max="2315" min="2315" style="2" width="23.29"/>
    <col collapsed="false" customWidth="true" hidden="false" outlineLevel="0" max="2316" min="2316" style="2" width="19.29"/>
    <col collapsed="false" customWidth="true" hidden="false" outlineLevel="0" max="2317" min="2317" style="2" width="18"/>
    <col collapsed="false" customWidth="true" hidden="false" outlineLevel="0" max="2318" min="2318" style="2" width="14.29"/>
    <col collapsed="false" customWidth="false" hidden="false" outlineLevel="0" max="2560" min="2319" style="2" width="11.29"/>
    <col collapsed="false" customWidth="true" hidden="false" outlineLevel="0" max="2561" min="2561" style="2" width="16"/>
    <col collapsed="false" customWidth="true" hidden="false" outlineLevel="0" max="2562" min="2562" style="2" width="23.57"/>
    <col collapsed="false" customWidth="true" hidden="false" outlineLevel="0" max="2563" min="2563" style="2" width="16"/>
    <col collapsed="false" customWidth="true" hidden="false" outlineLevel="0" max="2564" min="2564" style="2" width="9.42"/>
    <col collapsed="false" customWidth="true" hidden="false" outlineLevel="0" max="2565" min="2565" style="2" width="13"/>
    <col collapsed="false" customWidth="true" hidden="false" outlineLevel="0" max="2566" min="2566" style="2" width="16.71"/>
    <col collapsed="false" customWidth="true" hidden="false" outlineLevel="0" max="2567" min="2567" style="2" width="13"/>
    <col collapsed="false" customWidth="true" hidden="false" outlineLevel="0" max="2568" min="2568" style="2" width="11.43"/>
    <col collapsed="false" customWidth="true" hidden="false" outlineLevel="0" max="2569" min="2569" style="2" width="16.71"/>
    <col collapsed="false" customWidth="true" hidden="false" outlineLevel="0" max="2570" min="2570" style="2" width="56.29"/>
    <col collapsed="false" customWidth="true" hidden="false" outlineLevel="0" max="2571" min="2571" style="2" width="23.29"/>
    <col collapsed="false" customWidth="true" hidden="false" outlineLevel="0" max="2572" min="2572" style="2" width="19.29"/>
    <col collapsed="false" customWidth="true" hidden="false" outlineLevel="0" max="2573" min="2573" style="2" width="18"/>
    <col collapsed="false" customWidth="true" hidden="false" outlineLevel="0" max="2574" min="2574" style="2" width="14.29"/>
    <col collapsed="false" customWidth="false" hidden="false" outlineLevel="0" max="2816" min="2575" style="2" width="11.29"/>
    <col collapsed="false" customWidth="true" hidden="false" outlineLevel="0" max="2817" min="2817" style="2" width="16"/>
    <col collapsed="false" customWidth="true" hidden="false" outlineLevel="0" max="2818" min="2818" style="2" width="23.57"/>
    <col collapsed="false" customWidth="true" hidden="false" outlineLevel="0" max="2819" min="2819" style="2" width="16"/>
    <col collapsed="false" customWidth="true" hidden="false" outlineLevel="0" max="2820" min="2820" style="2" width="9.42"/>
    <col collapsed="false" customWidth="true" hidden="false" outlineLevel="0" max="2821" min="2821" style="2" width="13"/>
    <col collapsed="false" customWidth="true" hidden="false" outlineLevel="0" max="2822" min="2822" style="2" width="16.71"/>
    <col collapsed="false" customWidth="true" hidden="false" outlineLevel="0" max="2823" min="2823" style="2" width="13"/>
    <col collapsed="false" customWidth="true" hidden="false" outlineLevel="0" max="2824" min="2824" style="2" width="11.43"/>
    <col collapsed="false" customWidth="true" hidden="false" outlineLevel="0" max="2825" min="2825" style="2" width="16.71"/>
    <col collapsed="false" customWidth="true" hidden="false" outlineLevel="0" max="2826" min="2826" style="2" width="56.29"/>
    <col collapsed="false" customWidth="true" hidden="false" outlineLevel="0" max="2827" min="2827" style="2" width="23.29"/>
    <col collapsed="false" customWidth="true" hidden="false" outlineLevel="0" max="2828" min="2828" style="2" width="19.29"/>
    <col collapsed="false" customWidth="true" hidden="false" outlineLevel="0" max="2829" min="2829" style="2" width="18"/>
    <col collapsed="false" customWidth="true" hidden="false" outlineLevel="0" max="2830" min="2830" style="2" width="14.29"/>
    <col collapsed="false" customWidth="false" hidden="false" outlineLevel="0" max="3072" min="2831" style="2" width="11.29"/>
    <col collapsed="false" customWidth="true" hidden="false" outlineLevel="0" max="3073" min="3073" style="2" width="16"/>
    <col collapsed="false" customWidth="true" hidden="false" outlineLevel="0" max="3074" min="3074" style="2" width="23.57"/>
    <col collapsed="false" customWidth="true" hidden="false" outlineLevel="0" max="3075" min="3075" style="2" width="16"/>
    <col collapsed="false" customWidth="true" hidden="false" outlineLevel="0" max="3076" min="3076" style="2" width="9.42"/>
    <col collapsed="false" customWidth="true" hidden="false" outlineLevel="0" max="3077" min="3077" style="2" width="13"/>
    <col collapsed="false" customWidth="true" hidden="false" outlineLevel="0" max="3078" min="3078" style="2" width="16.71"/>
    <col collapsed="false" customWidth="true" hidden="false" outlineLevel="0" max="3079" min="3079" style="2" width="13"/>
    <col collapsed="false" customWidth="true" hidden="false" outlineLevel="0" max="3080" min="3080" style="2" width="11.43"/>
    <col collapsed="false" customWidth="true" hidden="false" outlineLevel="0" max="3081" min="3081" style="2" width="16.71"/>
    <col collapsed="false" customWidth="true" hidden="false" outlineLevel="0" max="3082" min="3082" style="2" width="56.29"/>
    <col collapsed="false" customWidth="true" hidden="false" outlineLevel="0" max="3083" min="3083" style="2" width="23.29"/>
    <col collapsed="false" customWidth="true" hidden="false" outlineLevel="0" max="3084" min="3084" style="2" width="19.29"/>
    <col collapsed="false" customWidth="true" hidden="false" outlineLevel="0" max="3085" min="3085" style="2" width="18"/>
    <col collapsed="false" customWidth="true" hidden="false" outlineLevel="0" max="3086" min="3086" style="2" width="14.29"/>
    <col collapsed="false" customWidth="false" hidden="false" outlineLevel="0" max="3328" min="3087" style="2" width="11.29"/>
    <col collapsed="false" customWidth="true" hidden="false" outlineLevel="0" max="3329" min="3329" style="2" width="16"/>
    <col collapsed="false" customWidth="true" hidden="false" outlineLevel="0" max="3330" min="3330" style="2" width="23.57"/>
    <col collapsed="false" customWidth="true" hidden="false" outlineLevel="0" max="3331" min="3331" style="2" width="16"/>
    <col collapsed="false" customWidth="true" hidden="false" outlineLevel="0" max="3332" min="3332" style="2" width="9.42"/>
    <col collapsed="false" customWidth="true" hidden="false" outlineLevel="0" max="3333" min="3333" style="2" width="13"/>
    <col collapsed="false" customWidth="true" hidden="false" outlineLevel="0" max="3334" min="3334" style="2" width="16.71"/>
    <col collapsed="false" customWidth="true" hidden="false" outlineLevel="0" max="3335" min="3335" style="2" width="13"/>
    <col collapsed="false" customWidth="true" hidden="false" outlineLevel="0" max="3336" min="3336" style="2" width="11.43"/>
    <col collapsed="false" customWidth="true" hidden="false" outlineLevel="0" max="3337" min="3337" style="2" width="16.71"/>
    <col collapsed="false" customWidth="true" hidden="false" outlineLevel="0" max="3338" min="3338" style="2" width="56.29"/>
    <col collapsed="false" customWidth="true" hidden="false" outlineLevel="0" max="3339" min="3339" style="2" width="23.29"/>
    <col collapsed="false" customWidth="true" hidden="false" outlineLevel="0" max="3340" min="3340" style="2" width="19.29"/>
    <col collapsed="false" customWidth="true" hidden="false" outlineLevel="0" max="3341" min="3341" style="2" width="18"/>
    <col collapsed="false" customWidth="true" hidden="false" outlineLevel="0" max="3342" min="3342" style="2" width="14.29"/>
    <col collapsed="false" customWidth="false" hidden="false" outlineLevel="0" max="3584" min="3343" style="2" width="11.29"/>
    <col collapsed="false" customWidth="true" hidden="false" outlineLevel="0" max="3585" min="3585" style="2" width="16"/>
    <col collapsed="false" customWidth="true" hidden="false" outlineLevel="0" max="3586" min="3586" style="2" width="23.57"/>
    <col collapsed="false" customWidth="true" hidden="false" outlineLevel="0" max="3587" min="3587" style="2" width="16"/>
    <col collapsed="false" customWidth="true" hidden="false" outlineLevel="0" max="3588" min="3588" style="2" width="9.42"/>
    <col collapsed="false" customWidth="true" hidden="false" outlineLevel="0" max="3589" min="3589" style="2" width="13"/>
    <col collapsed="false" customWidth="true" hidden="false" outlineLevel="0" max="3590" min="3590" style="2" width="16.71"/>
    <col collapsed="false" customWidth="true" hidden="false" outlineLevel="0" max="3591" min="3591" style="2" width="13"/>
    <col collapsed="false" customWidth="true" hidden="false" outlineLevel="0" max="3592" min="3592" style="2" width="11.43"/>
    <col collapsed="false" customWidth="true" hidden="false" outlineLevel="0" max="3593" min="3593" style="2" width="16.71"/>
    <col collapsed="false" customWidth="true" hidden="false" outlineLevel="0" max="3594" min="3594" style="2" width="56.29"/>
    <col collapsed="false" customWidth="true" hidden="false" outlineLevel="0" max="3595" min="3595" style="2" width="23.29"/>
    <col collapsed="false" customWidth="true" hidden="false" outlineLevel="0" max="3596" min="3596" style="2" width="19.29"/>
    <col collapsed="false" customWidth="true" hidden="false" outlineLevel="0" max="3597" min="3597" style="2" width="18"/>
    <col collapsed="false" customWidth="true" hidden="false" outlineLevel="0" max="3598" min="3598" style="2" width="14.29"/>
    <col collapsed="false" customWidth="false" hidden="false" outlineLevel="0" max="3840" min="3599" style="2" width="11.29"/>
    <col collapsed="false" customWidth="true" hidden="false" outlineLevel="0" max="3841" min="3841" style="2" width="16"/>
    <col collapsed="false" customWidth="true" hidden="false" outlineLevel="0" max="3842" min="3842" style="2" width="23.57"/>
    <col collapsed="false" customWidth="true" hidden="false" outlineLevel="0" max="3843" min="3843" style="2" width="16"/>
    <col collapsed="false" customWidth="true" hidden="false" outlineLevel="0" max="3844" min="3844" style="2" width="9.42"/>
    <col collapsed="false" customWidth="true" hidden="false" outlineLevel="0" max="3845" min="3845" style="2" width="13"/>
    <col collapsed="false" customWidth="true" hidden="false" outlineLevel="0" max="3846" min="3846" style="2" width="16.71"/>
    <col collapsed="false" customWidth="true" hidden="false" outlineLevel="0" max="3847" min="3847" style="2" width="13"/>
    <col collapsed="false" customWidth="true" hidden="false" outlineLevel="0" max="3848" min="3848" style="2" width="11.43"/>
    <col collapsed="false" customWidth="true" hidden="false" outlineLevel="0" max="3849" min="3849" style="2" width="16.71"/>
    <col collapsed="false" customWidth="true" hidden="false" outlineLevel="0" max="3850" min="3850" style="2" width="56.29"/>
    <col collapsed="false" customWidth="true" hidden="false" outlineLevel="0" max="3851" min="3851" style="2" width="23.29"/>
    <col collapsed="false" customWidth="true" hidden="false" outlineLevel="0" max="3852" min="3852" style="2" width="19.29"/>
    <col collapsed="false" customWidth="true" hidden="false" outlineLevel="0" max="3853" min="3853" style="2" width="18"/>
    <col collapsed="false" customWidth="true" hidden="false" outlineLevel="0" max="3854" min="3854" style="2" width="14.29"/>
    <col collapsed="false" customWidth="false" hidden="false" outlineLevel="0" max="4096" min="3855" style="2" width="11.29"/>
    <col collapsed="false" customWidth="true" hidden="false" outlineLevel="0" max="4097" min="4097" style="2" width="16"/>
    <col collapsed="false" customWidth="true" hidden="false" outlineLevel="0" max="4098" min="4098" style="2" width="23.57"/>
    <col collapsed="false" customWidth="true" hidden="false" outlineLevel="0" max="4099" min="4099" style="2" width="16"/>
    <col collapsed="false" customWidth="true" hidden="false" outlineLevel="0" max="4100" min="4100" style="2" width="9.42"/>
    <col collapsed="false" customWidth="true" hidden="false" outlineLevel="0" max="4101" min="4101" style="2" width="13"/>
    <col collapsed="false" customWidth="true" hidden="false" outlineLevel="0" max="4102" min="4102" style="2" width="16.71"/>
    <col collapsed="false" customWidth="true" hidden="false" outlineLevel="0" max="4103" min="4103" style="2" width="13"/>
    <col collapsed="false" customWidth="true" hidden="false" outlineLevel="0" max="4104" min="4104" style="2" width="11.43"/>
    <col collapsed="false" customWidth="true" hidden="false" outlineLevel="0" max="4105" min="4105" style="2" width="16.71"/>
    <col collapsed="false" customWidth="true" hidden="false" outlineLevel="0" max="4106" min="4106" style="2" width="56.29"/>
    <col collapsed="false" customWidth="true" hidden="false" outlineLevel="0" max="4107" min="4107" style="2" width="23.29"/>
    <col collapsed="false" customWidth="true" hidden="false" outlineLevel="0" max="4108" min="4108" style="2" width="19.29"/>
    <col collapsed="false" customWidth="true" hidden="false" outlineLevel="0" max="4109" min="4109" style="2" width="18"/>
    <col collapsed="false" customWidth="true" hidden="false" outlineLevel="0" max="4110" min="4110" style="2" width="14.29"/>
    <col collapsed="false" customWidth="false" hidden="false" outlineLevel="0" max="4352" min="4111" style="2" width="11.29"/>
    <col collapsed="false" customWidth="true" hidden="false" outlineLevel="0" max="4353" min="4353" style="2" width="16"/>
    <col collapsed="false" customWidth="true" hidden="false" outlineLevel="0" max="4354" min="4354" style="2" width="23.57"/>
    <col collapsed="false" customWidth="true" hidden="false" outlineLevel="0" max="4355" min="4355" style="2" width="16"/>
    <col collapsed="false" customWidth="true" hidden="false" outlineLevel="0" max="4356" min="4356" style="2" width="9.42"/>
    <col collapsed="false" customWidth="true" hidden="false" outlineLevel="0" max="4357" min="4357" style="2" width="13"/>
    <col collapsed="false" customWidth="true" hidden="false" outlineLevel="0" max="4358" min="4358" style="2" width="16.71"/>
    <col collapsed="false" customWidth="true" hidden="false" outlineLevel="0" max="4359" min="4359" style="2" width="13"/>
    <col collapsed="false" customWidth="true" hidden="false" outlineLevel="0" max="4360" min="4360" style="2" width="11.43"/>
    <col collapsed="false" customWidth="true" hidden="false" outlineLevel="0" max="4361" min="4361" style="2" width="16.71"/>
    <col collapsed="false" customWidth="true" hidden="false" outlineLevel="0" max="4362" min="4362" style="2" width="56.29"/>
    <col collapsed="false" customWidth="true" hidden="false" outlineLevel="0" max="4363" min="4363" style="2" width="23.29"/>
    <col collapsed="false" customWidth="true" hidden="false" outlineLevel="0" max="4364" min="4364" style="2" width="19.29"/>
    <col collapsed="false" customWidth="true" hidden="false" outlineLevel="0" max="4365" min="4365" style="2" width="18"/>
    <col collapsed="false" customWidth="true" hidden="false" outlineLevel="0" max="4366" min="4366" style="2" width="14.29"/>
    <col collapsed="false" customWidth="false" hidden="false" outlineLevel="0" max="4608" min="4367" style="2" width="11.29"/>
    <col collapsed="false" customWidth="true" hidden="false" outlineLevel="0" max="4609" min="4609" style="2" width="16"/>
    <col collapsed="false" customWidth="true" hidden="false" outlineLevel="0" max="4610" min="4610" style="2" width="23.57"/>
    <col collapsed="false" customWidth="true" hidden="false" outlineLevel="0" max="4611" min="4611" style="2" width="16"/>
    <col collapsed="false" customWidth="true" hidden="false" outlineLevel="0" max="4612" min="4612" style="2" width="9.42"/>
    <col collapsed="false" customWidth="true" hidden="false" outlineLevel="0" max="4613" min="4613" style="2" width="13"/>
    <col collapsed="false" customWidth="true" hidden="false" outlineLevel="0" max="4614" min="4614" style="2" width="16.71"/>
    <col collapsed="false" customWidth="true" hidden="false" outlineLevel="0" max="4615" min="4615" style="2" width="13"/>
    <col collapsed="false" customWidth="true" hidden="false" outlineLevel="0" max="4616" min="4616" style="2" width="11.43"/>
    <col collapsed="false" customWidth="true" hidden="false" outlineLevel="0" max="4617" min="4617" style="2" width="16.71"/>
    <col collapsed="false" customWidth="true" hidden="false" outlineLevel="0" max="4618" min="4618" style="2" width="56.29"/>
    <col collapsed="false" customWidth="true" hidden="false" outlineLevel="0" max="4619" min="4619" style="2" width="23.29"/>
    <col collapsed="false" customWidth="true" hidden="false" outlineLevel="0" max="4620" min="4620" style="2" width="19.29"/>
    <col collapsed="false" customWidth="true" hidden="false" outlineLevel="0" max="4621" min="4621" style="2" width="18"/>
    <col collapsed="false" customWidth="true" hidden="false" outlineLevel="0" max="4622" min="4622" style="2" width="14.29"/>
    <col collapsed="false" customWidth="false" hidden="false" outlineLevel="0" max="4864" min="4623" style="2" width="11.29"/>
    <col collapsed="false" customWidth="true" hidden="false" outlineLevel="0" max="4865" min="4865" style="2" width="16"/>
    <col collapsed="false" customWidth="true" hidden="false" outlineLevel="0" max="4866" min="4866" style="2" width="23.57"/>
    <col collapsed="false" customWidth="true" hidden="false" outlineLevel="0" max="4867" min="4867" style="2" width="16"/>
    <col collapsed="false" customWidth="true" hidden="false" outlineLevel="0" max="4868" min="4868" style="2" width="9.42"/>
    <col collapsed="false" customWidth="true" hidden="false" outlineLevel="0" max="4869" min="4869" style="2" width="13"/>
    <col collapsed="false" customWidth="true" hidden="false" outlineLevel="0" max="4870" min="4870" style="2" width="16.71"/>
    <col collapsed="false" customWidth="true" hidden="false" outlineLevel="0" max="4871" min="4871" style="2" width="13"/>
    <col collapsed="false" customWidth="true" hidden="false" outlineLevel="0" max="4872" min="4872" style="2" width="11.43"/>
    <col collapsed="false" customWidth="true" hidden="false" outlineLevel="0" max="4873" min="4873" style="2" width="16.71"/>
    <col collapsed="false" customWidth="true" hidden="false" outlineLevel="0" max="4874" min="4874" style="2" width="56.29"/>
    <col collapsed="false" customWidth="true" hidden="false" outlineLevel="0" max="4875" min="4875" style="2" width="23.29"/>
    <col collapsed="false" customWidth="true" hidden="false" outlineLevel="0" max="4876" min="4876" style="2" width="19.29"/>
    <col collapsed="false" customWidth="true" hidden="false" outlineLevel="0" max="4877" min="4877" style="2" width="18"/>
    <col collapsed="false" customWidth="true" hidden="false" outlineLevel="0" max="4878" min="4878" style="2" width="14.29"/>
    <col collapsed="false" customWidth="false" hidden="false" outlineLevel="0" max="5120" min="4879" style="2" width="11.29"/>
    <col collapsed="false" customWidth="true" hidden="false" outlineLevel="0" max="5121" min="5121" style="2" width="16"/>
    <col collapsed="false" customWidth="true" hidden="false" outlineLevel="0" max="5122" min="5122" style="2" width="23.57"/>
    <col collapsed="false" customWidth="true" hidden="false" outlineLevel="0" max="5123" min="5123" style="2" width="16"/>
    <col collapsed="false" customWidth="true" hidden="false" outlineLevel="0" max="5124" min="5124" style="2" width="9.42"/>
    <col collapsed="false" customWidth="true" hidden="false" outlineLevel="0" max="5125" min="5125" style="2" width="13"/>
    <col collapsed="false" customWidth="true" hidden="false" outlineLevel="0" max="5126" min="5126" style="2" width="16.71"/>
    <col collapsed="false" customWidth="true" hidden="false" outlineLevel="0" max="5127" min="5127" style="2" width="13"/>
    <col collapsed="false" customWidth="true" hidden="false" outlineLevel="0" max="5128" min="5128" style="2" width="11.43"/>
    <col collapsed="false" customWidth="true" hidden="false" outlineLevel="0" max="5129" min="5129" style="2" width="16.71"/>
    <col collapsed="false" customWidth="true" hidden="false" outlineLevel="0" max="5130" min="5130" style="2" width="56.29"/>
    <col collapsed="false" customWidth="true" hidden="false" outlineLevel="0" max="5131" min="5131" style="2" width="23.29"/>
    <col collapsed="false" customWidth="true" hidden="false" outlineLevel="0" max="5132" min="5132" style="2" width="19.29"/>
    <col collapsed="false" customWidth="true" hidden="false" outlineLevel="0" max="5133" min="5133" style="2" width="18"/>
    <col collapsed="false" customWidth="true" hidden="false" outlineLevel="0" max="5134" min="5134" style="2" width="14.29"/>
    <col collapsed="false" customWidth="false" hidden="false" outlineLevel="0" max="5376" min="5135" style="2" width="11.29"/>
    <col collapsed="false" customWidth="true" hidden="false" outlineLevel="0" max="5377" min="5377" style="2" width="16"/>
    <col collapsed="false" customWidth="true" hidden="false" outlineLevel="0" max="5378" min="5378" style="2" width="23.57"/>
    <col collapsed="false" customWidth="true" hidden="false" outlineLevel="0" max="5379" min="5379" style="2" width="16"/>
    <col collapsed="false" customWidth="true" hidden="false" outlineLevel="0" max="5380" min="5380" style="2" width="9.42"/>
    <col collapsed="false" customWidth="true" hidden="false" outlineLevel="0" max="5381" min="5381" style="2" width="13"/>
    <col collapsed="false" customWidth="true" hidden="false" outlineLevel="0" max="5382" min="5382" style="2" width="16.71"/>
    <col collapsed="false" customWidth="true" hidden="false" outlineLevel="0" max="5383" min="5383" style="2" width="13"/>
    <col collapsed="false" customWidth="true" hidden="false" outlineLevel="0" max="5384" min="5384" style="2" width="11.43"/>
    <col collapsed="false" customWidth="true" hidden="false" outlineLevel="0" max="5385" min="5385" style="2" width="16.71"/>
    <col collapsed="false" customWidth="true" hidden="false" outlineLevel="0" max="5386" min="5386" style="2" width="56.29"/>
    <col collapsed="false" customWidth="true" hidden="false" outlineLevel="0" max="5387" min="5387" style="2" width="23.29"/>
    <col collapsed="false" customWidth="true" hidden="false" outlineLevel="0" max="5388" min="5388" style="2" width="19.29"/>
    <col collapsed="false" customWidth="true" hidden="false" outlineLevel="0" max="5389" min="5389" style="2" width="18"/>
    <col collapsed="false" customWidth="true" hidden="false" outlineLevel="0" max="5390" min="5390" style="2" width="14.29"/>
    <col collapsed="false" customWidth="false" hidden="false" outlineLevel="0" max="5632" min="5391" style="2" width="11.29"/>
    <col collapsed="false" customWidth="true" hidden="false" outlineLevel="0" max="5633" min="5633" style="2" width="16"/>
    <col collapsed="false" customWidth="true" hidden="false" outlineLevel="0" max="5634" min="5634" style="2" width="23.57"/>
    <col collapsed="false" customWidth="true" hidden="false" outlineLevel="0" max="5635" min="5635" style="2" width="16"/>
    <col collapsed="false" customWidth="true" hidden="false" outlineLevel="0" max="5636" min="5636" style="2" width="9.42"/>
    <col collapsed="false" customWidth="true" hidden="false" outlineLevel="0" max="5637" min="5637" style="2" width="13"/>
    <col collapsed="false" customWidth="true" hidden="false" outlineLevel="0" max="5638" min="5638" style="2" width="16.71"/>
    <col collapsed="false" customWidth="true" hidden="false" outlineLevel="0" max="5639" min="5639" style="2" width="13"/>
    <col collapsed="false" customWidth="true" hidden="false" outlineLevel="0" max="5640" min="5640" style="2" width="11.43"/>
    <col collapsed="false" customWidth="true" hidden="false" outlineLevel="0" max="5641" min="5641" style="2" width="16.71"/>
    <col collapsed="false" customWidth="true" hidden="false" outlineLevel="0" max="5642" min="5642" style="2" width="56.29"/>
    <col collapsed="false" customWidth="true" hidden="false" outlineLevel="0" max="5643" min="5643" style="2" width="23.29"/>
    <col collapsed="false" customWidth="true" hidden="false" outlineLevel="0" max="5644" min="5644" style="2" width="19.29"/>
    <col collapsed="false" customWidth="true" hidden="false" outlineLevel="0" max="5645" min="5645" style="2" width="18"/>
    <col collapsed="false" customWidth="true" hidden="false" outlineLevel="0" max="5646" min="5646" style="2" width="14.29"/>
    <col collapsed="false" customWidth="false" hidden="false" outlineLevel="0" max="5888" min="5647" style="2" width="11.29"/>
    <col collapsed="false" customWidth="true" hidden="false" outlineLevel="0" max="5889" min="5889" style="2" width="16"/>
    <col collapsed="false" customWidth="true" hidden="false" outlineLevel="0" max="5890" min="5890" style="2" width="23.57"/>
    <col collapsed="false" customWidth="true" hidden="false" outlineLevel="0" max="5891" min="5891" style="2" width="16"/>
    <col collapsed="false" customWidth="true" hidden="false" outlineLevel="0" max="5892" min="5892" style="2" width="9.42"/>
    <col collapsed="false" customWidth="true" hidden="false" outlineLevel="0" max="5893" min="5893" style="2" width="13"/>
    <col collapsed="false" customWidth="true" hidden="false" outlineLevel="0" max="5894" min="5894" style="2" width="16.71"/>
    <col collapsed="false" customWidth="true" hidden="false" outlineLevel="0" max="5895" min="5895" style="2" width="13"/>
    <col collapsed="false" customWidth="true" hidden="false" outlineLevel="0" max="5896" min="5896" style="2" width="11.43"/>
    <col collapsed="false" customWidth="true" hidden="false" outlineLevel="0" max="5897" min="5897" style="2" width="16.71"/>
    <col collapsed="false" customWidth="true" hidden="false" outlineLevel="0" max="5898" min="5898" style="2" width="56.29"/>
    <col collapsed="false" customWidth="true" hidden="false" outlineLevel="0" max="5899" min="5899" style="2" width="23.29"/>
    <col collapsed="false" customWidth="true" hidden="false" outlineLevel="0" max="5900" min="5900" style="2" width="19.29"/>
    <col collapsed="false" customWidth="true" hidden="false" outlineLevel="0" max="5901" min="5901" style="2" width="18"/>
    <col collapsed="false" customWidth="true" hidden="false" outlineLevel="0" max="5902" min="5902" style="2" width="14.29"/>
    <col collapsed="false" customWidth="false" hidden="false" outlineLevel="0" max="6144" min="5903" style="2" width="11.29"/>
    <col collapsed="false" customWidth="true" hidden="false" outlineLevel="0" max="6145" min="6145" style="2" width="16"/>
    <col collapsed="false" customWidth="true" hidden="false" outlineLevel="0" max="6146" min="6146" style="2" width="23.57"/>
    <col collapsed="false" customWidth="true" hidden="false" outlineLevel="0" max="6147" min="6147" style="2" width="16"/>
    <col collapsed="false" customWidth="true" hidden="false" outlineLevel="0" max="6148" min="6148" style="2" width="9.42"/>
    <col collapsed="false" customWidth="true" hidden="false" outlineLevel="0" max="6149" min="6149" style="2" width="13"/>
    <col collapsed="false" customWidth="true" hidden="false" outlineLevel="0" max="6150" min="6150" style="2" width="16.71"/>
    <col collapsed="false" customWidth="true" hidden="false" outlineLevel="0" max="6151" min="6151" style="2" width="13"/>
    <col collapsed="false" customWidth="true" hidden="false" outlineLevel="0" max="6152" min="6152" style="2" width="11.43"/>
    <col collapsed="false" customWidth="true" hidden="false" outlineLevel="0" max="6153" min="6153" style="2" width="16.71"/>
    <col collapsed="false" customWidth="true" hidden="false" outlineLevel="0" max="6154" min="6154" style="2" width="56.29"/>
    <col collapsed="false" customWidth="true" hidden="false" outlineLevel="0" max="6155" min="6155" style="2" width="23.29"/>
    <col collapsed="false" customWidth="true" hidden="false" outlineLevel="0" max="6156" min="6156" style="2" width="19.29"/>
    <col collapsed="false" customWidth="true" hidden="false" outlineLevel="0" max="6157" min="6157" style="2" width="18"/>
    <col collapsed="false" customWidth="true" hidden="false" outlineLevel="0" max="6158" min="6158" style="2" width="14.29"/>
    <col collapsed="false" customWidth="false" hidden="false" outlineLevel="0" max="6400" min="6159" style="2" width="11.29"/>
    <col collapsed="false" customWidth="true" hidden="false" outlineLevel="0" max="6401" min="6401" style="2" width="16"/>
    <col collapsed="false" customWidth="true" hidden="false" outlineLevel="0" max="6402" min="6402" style="2" width="23.57"/>
    <col collapsed="false" customWidth="true" hidden="false" outlineLevel="0" max="6403" min="6403" style="2" width="16"/>
    <col collapsed="false" customWidth="true" hidden="false" outlineLevel="0" max="6404" min="6404" style="2" width="9.42"/>
    <col collapsed="false" customWidth="true" hidden="false" outlineLevel="0" max="6405" min="6405" style="2" width="13"/>
    <col collapsed="false" customWidth="true" hidden="false" outlineLevel="0" max="6406" min="6406" style="2" width="16.71"/>
    <col collapsed="false" customWidth="true" hidden="false" outlineLevel="0" max="6407" min="6407" style="2" width="13"/>
    <col collapsed="false" customWidth="true" hidden="false" outlineLevel="0" max="6408" min="6408" style="2" width="11.43"/>
    <col collapsed="false" customWidth="true" hidden="false" outlineLevel="0" max="6409" min="6409" style="2" width="16.71"/>
    <col collapsed="false" customWidth="true" hidden="false" outlineLevel="0" max="6410" min="6410" style="2" width="56.29"/>
    <col collapsed="false" customWidth="true" hidden="false" outlineLevel="0" max="6411" min="6411" style="2" width="23.29"/>
    <col collapsed="false" customWidth="true" hidden="false" outlineLevel="0" max="6412" min="6412" style="2" width="19.29"/>
    <col collapsed="false" customWidth="true" hidden="false" outlineLevel="0" max="6413" min="6413" style="2" width="18"/>
    <col collapsed="false" customWidth="true" hidden="false" outlineLevel="0" max="6414" min="6414" style="2" width="14.29"/>
    <col collapsed="false" customWidth="false" hidden="false" outlineLevel="0" max="6656" min="6415" style="2" width="11.29"/>
    <col collapsed="false" customWidth="true" hidden="false" outlineLevel="0" max="6657" min="6657" style="2" width="16"/>
    <col collapsed="false" customWidth="true" hidden="false" outlineLevel="0" max="6658" min="6658" style="2" width="23.57"/>
    <col collapsed="false" customWidth="true" hidden="false" outlineLevel="0" max="6659" min="6659" style="2" width="16"/>
    <col collapsed="false" customWidth="true" hidden="false" outlineLevel="0" max="6660" min="6660" style="2" width="9.42"/>
    <col collapsed="false" customWidth="true" hidden="false" outlineLevel="0" max="6661" min="6661" style="2" width="13"/>
    <col collapsed="false" customWidth="true" hidden="false" outlineLevel="0" max="6662" min="6662" style="2" width="16.71"/>
    <col collapsed="false" customWidth="true" hidden="false" outlineLevel="0" max="6663" min="6663" style="2" width="13"/>
    <col collapsed="false" customWidth="true" hidden="false" outlineLevel="0" max="6664" min="6664" style="2" width="11.43"/>
    <col collapsed="false" customWidth="true" hidden="false" outlineLevel="0" max="6665" min="6665" style="2" width="16.71"/>
    <col collapsed="false" customWidth="true" hidden="false" outlineLevel="0" max="6666" min="6666" style="2" width="56.29"/>
    <col collapsed="false" customWidth="true" hidden="false" outlineLevel="0" max="6667" min="6667" style="2" width="23.29"/>
    <col collapsed="false" customWidth="true" hidden="false" outlineLevel="0" max="6668" min="6668" style="2" width="19.29"/>
    <col collapsed="false" customWidth="true" hidden="false" outlineLevel="0" max="6669" min="6669" style="2" width="18"/>
    <col collapsed="false" customWidth="true" hidden="false" outlineLevel="0" max="6670" min="6670" style="2" width="14.29"/>
    <col collapsed="false" customWidth="false" hidden="false" outlineLevel="0" max="6912" min="6671" style="2" width="11.29"/>
    <col collapsed="false" customWidth="true" hidden="false" outlineLevel="0" max="6913" min="6913" style="2" width="16"/>
    <col collapsed="false" customWidth="true" hidden="false" outlineLevel="0" max="6914" min="6914" style="2" width="23.57"/>
    <col collapsed="false" customWidth="true" hidden="false" outlineLevel="0" max="6915" min="6915" style="2" width="16"/>
    <col collapsed="false" customWidth="true" hidden="false" outlineLevel="0" max="6916" min="6916" style="2" width="9.42"/>
    <col collapsed="false" customWidth="true" hidden="false" outlineLevel="0" max="6917" min="6917" style="2" width="13"/>
    <col collapsed="false" customWidth="true" hidden="false" outlineLevel="0" max="6918" min="6918" style="2" width="16.71"/>
    <col collapsed="false" customWidth="true" hidden="false" outlineLevel="0" max="6919" min="6919" style="2" width="13"/>
    <col collapsed="false" customWidth="true" hidden="false" outlineLevel="0" max="6920" min="6920" style="2" width="11.43"/>
    <col collapsed="false" customWidth="true" hidden="false" outlineLevel="0" max="6921" min="6921" style="2" width="16.71"/>
    <col collapsed="false" customWidth="true" hidden="false" outlineLevel="0" max="6922" min="6922" style="2" width="56.29"/>
    <col collapsed="false" customWidth="true" hidden="false" outlineLevel="0" max="6923" min="6923" style="2" width="23.29"/>
    <col collapsed="false" customWidth="true" hidden="false" outlineLevel="0" max="6924" min="6924" style="2" width="19.29"/>
    <col collapsed="false" customWidth="true" hidden="false" outlineLevel="0" max="6925" min="6925" style="2" width="18"/>
    <col collapsed="false" customWidth="true" hidden="false" outlineLevel="0" max="6926" min="6926" style="2" width="14.29"/>
    <col collapsed="false" customWidth="false" hidden="false" outlineLevel="0" max="7168" min="6927" style="2" width="11.29"/>
    <col collapsed="false" customWidth="true" hidden="false" outlineLevel="0" max="7169" min="7169" style="2" width="16"/>
    <col collapsed="false" customWidth="true" hidden="false" outlineLevel="0" max="7170" min="7170" style="2" width="23.57"/>
    <col collapsed="false" customWidth="true" hidden="false" outlineLevel="0" max="7171" min="7171" style="2" width="16"/>
    <col collapsed="false" customWidth="true" hidden="false" outlineLevel="0" max="7172" min="7172" style="2" width="9.42"/>
    <col collapsed="false" customWidth="true" hidden="false" outlineLevel="0" max="7173" min="7173" style="2" width="13"/>
    <col collapsed="false" customWidth="true" hidden="false" outlineLevel="0" max="7174" min="7174" style="2" width="16.71"/>
    <col collapsed="false" customWidth="true" hidden="false" outlineLevel="0" max="7175" min="7175" style="2" width="13"/>
    <col collapsed="false" customWidth="true" hidden="false" outlineLevel="0" max="7176" min="7176" style="2" width="11.43"/>
    <col collapsed="false" customWidth="true" hidden="false" outlineLevel="0" max="7177" min="7177" style="2" width="16.71"/>
    <col collapsed="false" customWidth="true" hidden="false" outlineLevel="0" max="7178" min="7178" style="2" width="56.29"/>
    <col collapsed="false" customWidth="true" hidden="false" outlineLevel="0" max="7179" min="7179" style="2" width="23.29"/>
    <col collapsed="false" customWidth="true" hidden="false" outlineLevel="0" max="7180" min="7180" style="2" width="19.29"/>
    <col collapsed="false" customWidth="true" hidden="false" outlineLevel="0" max="7181" min="7181" style="2" width="18"/>
    <col collapsed="false" customWidth="true" hidden="false" outlineLevel="0" max="7182" min="7182" style="2" width="14.29"/>
    <col collapsed="false" customWidth="false" hidden="false" outlineLevel="0" max="7424" min="7183" style="2" width="11.29"/>
    <col collapsed="false" customWidth="true" hidden="false" outlineLevel="0" max="7425" min="7425" style="2" width="16"/>
    <col collapsed="false" customWidth="true" hidden="false" outlineLevel="0" max="7426" min="7426" style="2" width="23.57"/>
    <col collapsed="false" customWidth="true" hidden="false" outlineLevel="0" max="7427" min="7427" style="2" width="16"/>
    <col collapsed="false" customWidth="true" hidden="false" outlineLevel="0" max="7428" min="7428" style="2" width="9.42"/>
    <col collapsed="false" customWidth="true" hidden="false" outlineLevel="0" max="7429" min="7429" style="2" width="13"/>
    <col collapsed="false" customWidth="true" hidden="false" outlineLevel="0" max="7430" min="7430" style="2" width="16.71"/>
    <col collapsed="false" customWidth="true" hidden="false" outlineLevel="0" max="7431" min="7431" style="2" width="13"/>
    <col collapsed="false" customWidth="true" hidden="false" outlineLevel="0" max="7432" min="7432" style="2" width="11.43"/>
    <col collapsed="false" customWidth="true" hidden="false" outlineLevel="0" max="7433" min="7433" style="2" width="16.71"/>
    <col collapsed="false" customWidth="true" hidden="false" outlineLevel="0" max="7434" min="7434" style="2" width="56.29"/>
    <col collapsed="false" customWidth="true" hidden="false" outlineLevel="0" max="7435" min="7435" style="2" width="23.29"/>
    <col collapsed="false" customWidth="true" hidden="false" outlineLevel="0" max="7436" min="7436" style="2" width="19.29"/>
    <col collapsed="false" customWidth="true" hidden="false" outlineLevel="0" max="7437" min="7437" style="2" width="18"/>
    <col collapsed="false" customWidth="true" hidden="false" outlineLevel="0" max="7438" min="7438" style="2" width="14.29"/>
    <col collapsed="false" customWidth="false" hidden="false" outlineLevel="0" max="7680" min="7439" style="2" width="11.29"/>
    <col collapsed="false" customWidth="true" hidden="false" outlineLevel="0" max="7681" min="7681" style="2" width="16"/>
    <col collapsed="false" customWidth="true" hidden="false" outlineLevel="0" max="7682" min="7682" style="2" width="23.57"/>
    <col collapsed="false" customWidth="true" hidden="false" outlineLevel="0" max="7683" min="7683" style="2" width="16"/>
    <col collapsed="false" customWidth="true" hidden="false" outlineLevel="0" max="7684" min="7684" style="2" width="9.42"/>
    <col collapsed="false" customWidth="true" hidden="false" outlineLevel="0" max="7685" min="7685" style="2" width="13"/>
    <col collapsed="false" customWidth="true" hidden="false" outlineLevel="0" max="7686" min="7686" style="2" width="16.71"/>
    <col collapsed="false" customWidth="true" hidden="false" outlineLevel="0" max="7687" min="7687" style="2" width="13"/>
    <col collapsed="false" customWidth="true" hidden="false" outlineLevel="0" max="7688" min="7688" style="2" width="11.43"/>
    <col collapsed="false" customWidth="true" hidden="false" outlineLevel="0" max="7689" min="7689" style="2" width="16.71"/>
    <col collapsed="false" customWidth="true" hidden="false" outlineLevel="0" max="7690" min="7690" style="2" width="56.29"/>
    <col collapsed="false" customWidth="true" hidden="false" outlineLevel="0" max="7691" min="7691" style="2" width="23.29"/>
    <col collapsed="false" customWidth="true" hidden="false" outlineLevel="0" max="7692" min="7692" style="2" width="19.29"/>
    <col collapsed="false" customWidth="true" hidden="false" outlineLevel="0" max="7693" min="7693" style="2" width="18"/>
    <col collapsed="false" customWidth="true" hidden="false" outlineLevel="0" max="7694" min="7694" style="2" width="14.29"/>
    <col collapsed="false" customWidth="false" hidden="false" outlineLevel="0" max="7936" min="7695" style="2" width="11.29"/>
    <col collapsed="false" customWidth="true" hidden="false" outlineLevel="0" max="7937" min="7937" style="2" width="16"/>
    <col collapsed="false" customWidth="true" hidden="false" outlineLevel="0" max="7938" min="7938" style="2" width="23.57"/>
    <col collapsed="false" customWidth="true" hidden="false" outlineLevel="0" max="7939" min="7939" style="2" width="16"/>
    <col collapsed="false" customWidth="true" hidden="false" outlineLevel="0" max="7940" min="7940" style="2" width="9.42"/>
    <col collapsed="false" customWidth="true" hidden="false" outlineLevel="0" max="7941" min="7941" style="2" width="13"/>
    <col collapsed="false" customWidth="true" hidden="false" outlineLevel="0" max="7942" min="7942" style="2" width="16.71"/>
    <col collapsed="false" customWidth="true" hidden="false" outlineLevel="0" max="7943" min="7943" style="2" width="13"/>
    <col collapsed="false" customWidth="true" hidden="false" outlineLevel="0" max="7944" min="7944" style="2" width="11.43"/>
    <col collapsed="false" customWidth="true" hidden="false" outlineLevel="0" max="7945" min="7945" style="2" width="16.71"/>
    <col collapsed="false" customWidth="true" hidden="false" outlineLevel="0" max="7946" min="7946" style="2" width="56.29"/>
    <col collapsed="false" customWidth="true" hidden="false" outlineLevel="0" max="7947" min="7947" style="2" width="23.29"/>
    <col collapsed="false" customWidth="true" hidden="false" outlineLevel="0" max="7948" min="7948" style="2" width="19.29"/>
    <col collapsed="false" customWidth="true" hidden="false" outlineLevel="0" max="7949" min="7949" style="2" width="18"/>
    <col collapsed="false" customWidth="true" hidden="false" outlineLevel="0" max="7950" min="7950" style="2" width="14.29"/>
    <col collapsed="false" customWidth="false" hidden="false" outlineLevel="0" max="8192" min="7951" style="2" width="11.29"/>
    <col collapsed="false" customWidth="true" hidden="false" outlineLevel="0" max="8193" min="8193" style="2" width="16"/>
    <col collapsed="false" customWidth="true" hidden="false" outlineLevel="0" max="8194" min="8194" style="2" width="23.57"/>
    <col collapsed="false" customWidth="true" hidden="false" outlineLevel="0" max="8195" min="8195" style="2" width="16"/>
    <col collapsed="false" customWidth="true" hidden="false" outlineLevel="0" max="8196" min="8196" style="2" width="9.42"/>
    <col collapsed="false" customWidth="true" hidden="false" outlineLevel="0" max="8197" min="8197" style="2" width="13"/>
    <col collapsed="false" customWidth="true" hidden="false" outlineLevel="0" max="8198" min="8198" style="2" width="16.71"/>
    <col collapsed="false" customWidth="true" hidden="false" outlineLevel="0" max="8199" min="8199" style="2" width="13"/>
    <col collapsed="false" customWidth="true" hidden="false" outlineLevel="0" max="8200" min="8200" style="2" width="11.43"/>
    <col collapsed="false" customWidth="true" hidden="false" outlineLevel="0" max="8201" min="8201" style="2" width="16.71"/>
    <col collapsed="false" customWidth="true" hidden="false" outlineLevel="0" max="8202" min="8202" style="2" width="56.29"/>
    <col collapsed="false" customWidth="true" hidden="false" outlineLevel="0" max="8203" min="8203" style="2" width="23.29"/>
    <col collapsed="false" customWidth="true" hidden="false" outlineLevel="0" max="8204" min="8204" style="2" width="19.29"/>
    <col collapsed="false" customWidth="true" hidden="false" outlineLevel="0" max="8205" min="8205" style="2" width="18"/>
    <col collapsed="false" customWidth="true" hidden="false" outlineLevel="0" max="8206" min="8206" style="2" width="14.29"/>
    <col collapsed="false" customWidth="false" hidden="false" outlineLevel="0" max="8448" min="8207" style="2" width="11.29"/>
    <col collapsed="false" customWidth="true" hidden="false" outlineLevel="0" max="8449" min="8449" style="2" width="16"/>
    <col collapsed="false" customWidth="true" hidden="false" outlineLevel="0" max="8450" min="8450" style="2" width="23.57"/>
    <col collapsed="false" customWidth="true" hidden="false" outlineLevel="0" max="8451" min="8451" style="2" width="16"/>
    <col collapsed="false" customWidth="true" hidden="false" outlineLevel="0" max="8452" min="8452" style="2" width="9.42"/>
    <col collapsed="false" customWidth="true" hidden="false" outlineLevel="0" max="8453" min="8453" style="2" width="13"/>
    <col collapsed="false" customWidth="true" hidden="false" outlineLevel="0" max="8454" min="8454" style="2" width="16.71"/>
    <col collapsed="false" customWidth="true" hidden="false" outlineLevel="0" max="8455" min="8455" style="2" width="13"/>
    <col collapsed="false" customWidth="true" hidden="false" outlineLevel="0" max="8456" min="8456" style="2" width="11.43"/>
    <col collapsed="false" customWidth="true" hidden="false" outlineLevel="0" max="8457" min="8457" style="2" width="16.71"/>
    <col collapsed="false" customWidth="true" hidden="false" outlineLevel="0" max="8458" min="8458" style="2" width="56.29"/>
    <col collapsed="false" customWidth="true" hidden="false" outlineLevel="0" max="8459" min="8459" style="2" width="23.29"/>
    <col collapsed="false" customWidth="true" hidden="false" outlineLevel="0" max="8460" min="8460" style="2" width="19.29"/>
    <col collapsed="false" customWidth="true" hidden="false" outlineLevel="0" max="8461" min="8461" style="2" width="18"/>
    <col collapsed="false" customWidth="true" hidden="false" outlineLevel="0" max="8462" min="8462" style="2" width="14.29"/>
    <col collapsed="false" customWidth="false" hidden="false" outlineLevel="0" max="8704" min="8463" style="2" width="11.29"/>
    <col collapsed="false" customWidth="true" hidden="false" outlineLevel="0" max="8705" min="8705" style="2" width="16"/>
    <col collapsed="false" customWidth="true" hidden="false" outlineLevel="0" max="8706" min="8706" style="2" width="23.57"/>
    <col collapsed="false" customWidth="true" hidden="false" outlineLevel="0" max="8707" min="8707" style="2" width="16"/>
    <col collapsed="false" customWidth="true" hidden="false" outlineLevel="0" max="8708" min="8708" style="2" width="9.42"/>
    <col collapsed="false" customWidth="true" hidden="false" outlineLevel="0" max="8709" min="8709" style="2" width="13"/>
    <col collapsed="false" customWidth="true" hidden="false" outlineLevel="0" max="8710" min="8710" style="2" width="16.71"/>
    <col collapsed="false" customWidth="true" hidden="false" outlineLevel="0" max="8711" min="8711" style="2" width="13"/>
    <col collapsed="false" customWidth="true" hidden="false" outlineLevel="0" max="8712" min="8712" style="2" width="11.43"/>
    <col collapsed="false" customWidth="true" hidden="false" outlineLevel="0" max="8713" min="8713" style="2" width="16.71"/>
    <col collapsed="false" customWidth="true" hidden="false" outlineLevel="0" max="8714" min="8714" style="2" width="56.29"/>
    <col collapsed="false" customWidth="true" hidden="false" outlineLevel="0" max="8715" min="8715" style="2" width="23.29"/>
    <col collapsed="false" customWidth="true" hidden="false" outlineLevel="0" max="8716" min="8716" style="2" width="19.29"/>
    <col collapsed="false" customWidth="true" hidden="false" outlineLevel="0" max="8717" min="8717" style="2" width="18"/>
    <col collapsed="false" customWidth="true" hidden="false" outlineLevel="0" max="8718" min="8718" style="2" width="14.29"/>
    <col collapsed="false" customWidth="false" hidden="false" outlineLevel="0" max="8960" min="8719" style="2" width="11.29"/>
    <col collapsed="false" customWidth="true" hidden="false" outlineLevel="0" max="8961" min="8961" style="2" width="16"/>
    <col collapsed="false" customWidth="true" hidden="false" outlineLevel="0" max="8962" min="8962" style="2" width="23.57"/>
    <col collapsed="false" customWidth="true" hidden="false" outlineLevel="0" max="8963" min="8963" style="2" width="16"/>
    <col collapsed="false" customWidth="true" hidden="false" outlineLevel="0" max="8964" min="8964" style="2" width="9.42"/>
    <col collapsed="false" customWidth="true" hidden="false" outlineLevel="0" max="8965" min="8965" style="2" width="13"/>
    <col collapsed="false" customWidth="true" hidden="false" outlineLevel="0" max="8966" min="8966" style="2" width="16.71"/>
    <col collapsed="false" customWidth="true" hidden="false" outlineLevel="0" max="8967" min="8967" style="2" width="13"/>
    <col collapsed="false" customWidth="true" hidden="false" outlineLevel="0" max="8968" min="8968" style="2" width="11.43"/>
    <col collapsed="false" customWidth="true" hidden="false" outlineLevel="0" max="8969" min="8969" style="2" width="16.71"/>
    <col collapsed="false" customWidth="true" hidden="false" outlineLevel="0" max="8970" min="8970" style="2" width="56.29"/>
    <col collapsed="false" customWidth="true" hidden="false" outlineLevel="0" max="8971" min="8971" style="2" width="23.29"/>
    <col collapsed="false" customWidth="true" hidden="false" outlineLevel="0" max="8972" min="8972" style="2" width="19.29"/>
    <col collapsed="false" customWidth="true" hidden="false" outlineLevel="0" max="8973" min="8973" style="2" width="18"/>
    <col collapsed="false" customWidth="true" hidden="false" outlineLevel="0" max="8974" min="8974" style="2" width="14.29"/>
    <col collapsed="false" customWidth="false" hidden="false" outlineLevel="0" max="9216" min="8975" style="2" width="11.29"/>
    <col collapsed="false" customWidth="true" hidden="false" outlineLevel="0" max="9217" min="9217" style="2" width="16"/>
    <col collapsed="false" customWidth="true" hidden="false" outlineLevel="0" max="9218" min="9218" style="2" width="23.57"/>
    <col collapsed="false" customWidth="true" hidden="false" outlineLevel="0" max="9219" min="9219" style="2" width="16"/>
    <col collapsed="false" customWidth="true" hidden="false" outlineLevel="0" max="9220" min="9220" style="2" width="9.42"/>
    <col collapsed="false" customWidth="true" hidden="false" outlineLevel="0" max="9221" min="9221" style="2" width="13"/>
    <col collapsed="false" customWidth="true" hidden="false" outlineLevel="0" max="9222" min="9222" style="2" width="16.71"/>
    <col collapsed="false" customWidth="true" hidden="false" outlineLevel="0" max="9223" min="9223" style="2" width="13"/>
    <col collapsed="false" customWidth="true" hidden="false" outlineLevel="0" max="9224" min="9224" style="2" width="11.43"/>
    <col collapsed="false" customWidth="true" hidden="false" outlineLevel="0" max="9225" min="9225" style="2" width="16.71"/>
    <col collapsed="false" customWidth="true" hidden="false" outlineLevel="0" max="9226" min="9226" style="2" width="56.29"/>
    <col collapsed="false" customWidth="true" hidden="false" outlineLevel="0" max="9227" min="9227" style="2" width="23.29"/>
    <col collapsed="false" customWidth="true" hidden="false" outlineLevel="0" max="9228" min="9228" style="2" width="19.29"/>
    <col collapsed="false" customWidth="true" hidden="false" outlineLevel="0" max="9229" min="9229" style="2" width="18"/>
    <col collapsed="false" customWidth="true" hidden="false" outlineLevel="0" max="9230" min="9230" style="2" width="14.29"/>
    <col collapsed="false" customWidth="false" hidden="false" outlineLevel="0" max="9472" min="9231" style="2" width="11.29"/>
    <col collapsed="false" customWidth="true" hidden="false" outlineLevel="0" max="9473" min="9473" style="2" width="16"/>
    <col collapsed="false" customWidth="true" hidden="false" outlineLevel="0" max="9474" min="9474" style="2" width="23.57"/>
    <col collapsed="false" customWidth="true" hidden="false" outlineLevel="0" max="9475" min="9475" style="2" width="16"/>
    <col collapsed="false" customWidth="true" hidden="false" outlineLevel="0" max="9476" min="9476" style="2" width="9.42"/>
    <col collapsed="false" customWidth="true" hidden="false" outlineLevel="0" max="9477" min="9477" style="2" width="13"/>
    <col collapsed="false" customWidth="true" hidden="false" outlineLevel="0" max="9478" min="9478" style="2" width="16.71"/>
    <col collapsed="false" customWidth="true" hidden="false" outlineLevel="0" max="9479" min="9479" style="2" width="13"/>
    <col collapsed="false" customWidth="true" hidden="false" outlineLevel="0" max="9480" min="9480" style="2" width="11.43"/>
    <col collapsed="false" customWidth="true" hidden="false" outlineLevel="0" max="9481" min="9481" style="2" width="16.71"/>
    <col collapsed="false" customWidth="true" hidden="false" outlineLevel="0" max="9482" min="9482" style="2" width="56.29"/>
    <col collapsed="false" customWidth="true" hidden="false" outlineLevel="0" max="9483" min="9483" style="2" width="23.29"/>
    <col collapsed="false" customWidth="true" hidden="false" outlineLevel="0" max="9484" min="9484" style="2" width="19.29"/>
    <col collapsed="false" customWidth="true" hidden="false" outlineLevel="0" max="9485" min="9485" style="2" width="18"/>
    <col collapsed="false" customWidth="true" hidden="false" outlineLevel="0" max="9486" min="9486" style="2" width="14.29"/>
    <col collapsed="false" customWidth="false" hidden="false" outlineLevel="0" max="9728" min="9487" style="2" width="11.29"/>
    <col collapsed="false" customWidth="true" hidden="false" outlineLevel="0" max="9729" min="9729" style="2" width="16"/>
    <col collapsed="false" customWidth="true" hidden="false" outlineLevel="0" max="9730" min="9730" style="2" width="23.57"/>
    <col collapsed="false" customWidth="true" hidden="false" outlineLevel="0" max="9731" min="9731" style="2" width="16"/>
    <col collapsed="false" customWidth="true" hidden="false" outlineLevel="0" max="9732" min="9732" style="2" width="9.42"/>
    <col collapsed="false" customWidth="true" hidden="false" outlineLevel="0" max="9733" min="9733" style="2" width="13"/>
    <col collapsed="false" customWidth="true" hidden="false" outlineLevel="0" max="9734" min="9734" style="2" width="16.71"/>
    <col collapsed="false" customWidth="true" hidden="false" outlineLevel="0" max="9735" min="9735" style="2" width="13"/>
    <col collapsed="false" customWidth="true" hidden="false" outlineLevel="0" max="9736" min="9736" style="2" width="11.43"/>
    <col collapsed="false" customWidth="true" hidden="false" outlineLevel="0" max="9737" min="9737" style="2" width="16.71"/>
    <col collapsed="false" customWidth="true" hidden="false" outlineLevel="0" max="9738" min="9738" style="2" width="56.29"/>
    <col collapsed="false" customWidth="true" hidden="false" outlineLevel="0" max="9739" min="9739" style="2" width="23.29"/>
    <col collapsed="false" customWidth="true" hidden="false" outlineLevel="0" max="9740" min="9740" style="2" width="19.29"/>
    <col collapsed="false" customWidth="true" hidden="false" outlineLevel="0" max="9741" min="9741" style="2" width="18"/>
    <col collapsed="false" customWidth="true" hidden="false" outlineLevel="0" max="9742" min="9742" style="2" width="14.29"/>
    <col collapsed="false" customWidth="false" hidden="false" outlineLevel="0" max="9984" min="9743" style="2" width="11.29"/>
    <col collapsed="false" customWidth="true" hidden="false" outlineLevel="0" max="9985" min="9985" style="2" width="16"/>
    <col collapsed="false" customWidth="true" hidden="false" outlineLevel="0" max="9986" min="9986" style="2" width="23.57"/>
    <col collapsed="false" customWidth="true" hidden="false" outlineLevel="0" max="9987" min="9987" style="2" width="16"/>
    <col collapsed="false" customWidth="true" hidden="false" outlineLevel="0" max="9988" min="9988" style="2" width="9.42"/>
    <col collapsed="false" customWidth="true" hidden="false" outlineLevel="0" max="9989" min="9989" style="2" width="13"/>
    <col collapsed="false" customWidth="true" hidden="false" outlineLevel="0" max="9990" min="9990" style="2" width="16.71"/>
    <col collapsed="false" customWidth="true" hidden="false" outlineLevel="0" max="9991" min="9991" style="2" width="13"/>
    <col collapsed="false" customWidth="true" hidden="false" outlineLevel="0" max="9992" min="9992" style="2" width="11.43"/>
    <col collapsed="false" customWidth="true" hidden="false" outlineLevel="0" max="9993" min="9993" style="2" width="16.71"/>
    <col collapsed="false" customWidth="true" hidden="false" outlineLevel="0" max="9994" min="9994" style="2" width="56.29"/>
    <col collapsed="false" customWidth="true" hidden="false" outlineLevel="0" max="9995" min="9995" style="2" width="23.29"/>
    <col collapsed="false" customWidth="true" hidden="false" outlineLevel="0" max="9996" min="9996" style="2" width="19.29"/>
    <col collapsed="false" customWidth="true" hidden="false" outlineLevel="0" max="9997" min="9997" style="2" width="18"/>
    <col collapsed="false" customWidth="true" hidden="false" outlineLevel="0" max="9998" min="9998" style="2" width="14.29"/>
    <col collapsed="false" customWidth="false" hidden="false" outlineLevel="0" max="10240" min="9999" style="2" width="11.29"/>
    <col collapsed="false" customWidth="true" hidden="false" outlineLevel="0" max="10241" min="10241" style="2" width="16"/>
    <col collapsed="false" customWidth="true" hidden="false" outlineLevel="0" max="10242" min="10242" style="2" width="23.57"/>
    <col collapsed="false" customWidth="true" hidden="false" outlineLevel="0" max="10243" min="10243" style="2" width="16"/>
    <col collapsed="false" customWidth="true" hidden="false" outlineLevel="0" max="10244" min="10244" style="2" width="9.42"/>
    <col collapsed="false" customWidth="true" hidden="false" outlineLevel="0" max="10245" min="10245" style="2" width="13"/>
    <col collapsed="false" customWidth="true" hidden="false" outlineLevel="0" max="10246" min="10246" style="2" width="16.71"/>
    <col collapsed="false" customWidth="true" hidden="false" outlineLevel="0" max="10247" min="10247" style="2" width="13"/>
    <col collapsed="false" customWidth="true" hidden="false" outlineLevel="0" max="10248" min="10248" style="2" width="11.43"/>
    <col collapsed="false" customWidth="true" hidden="false" outlineLevel="0" max="10249" min="10249" style="2" width="16.71"/>
    <col collapsed="false" customWidth="true" hidden="false" outlineLevel="0" max="10250" min="10250" style="2" width="56.29"/>
    <col collapsed="false" customWidth="true" hidden="false" outlineLevel="0" max="10251" min="10251" style="2" width="23.29"/>
    <col collapsed="false" customWidth="true" hidden="false" outlineLevel="0" max="10252" min="10252" style="2" width="19.29"/>
    <col collapsed="false" customWidth="true" hidden="false" outlineLevel="0" max="10253" min="10253" style="2" width="18"/>
    <col collapsed="false" customWidth="true" hidden="false" outlineLevel="0" max="10254" min="10254" style="2" width="14.29"/>
    <col collapsed="false" customWidth="false" hidden="false" outlineLevel="0" max="10496" min="10255" style="2" width="11.29"/>
    <col collapsed="false" customWidth="true" hidden="false" outlineLevel="0" max="10497" min="10497" style="2" width="16"/>
    <col collapsed="false" customWidth="true" hidden="false" outlineLevel="0" max="10498" min="10498" style="2" width="23.57"/>
    <col collapsed="false" customWidth="true" hidden="false" outlineLevel="0" max="10499" min="10499" style="2" width="16"/>
    <col collapsed="false" customWidth="true" hidden="false" outlineLevel="0" max="10500" min="10500" style="2" width="9.42"/>
    <col collapsed="false" customWidth="true" hidden="false" outlineLevel="0" max="10501" min="10501" style="2" width="13"/>
    <col collapsed="false" customWidth="true" hidden="false" outlineLevel="0" max="10502" min="10502" style="2" width="16.71"/>
    <col collapsed="false" customWidth="true" hidden="false" outlineLevel="0" max="10503" min="10503" style="2" width="13"/>
    <col collapsed="false" customWidth="true" hidden="false" outlineLevel="0" max="10504" min="10504" style="2" width="11.43"/>
    <col collapsed="false" customWidth="true" hidden="false" outlineLevel="0" max="10505" min="10505" style="2" width="16.71"/>
    <col collapsed="false" customWidth="true" hidden="false" outlineLevel="0" max="10506" min="10506" style="2" width="56.29"/>
    <col collapsed="false" customWidth="true" hidden="false" outlineLevel="0" max="10507" min="10507" style="2" width="23.29"/>
    <col collapsed="false" customWidth="true" hidden="false" outlineLevel="0" max="10508" min="10508" style="2" width="19.29"/>
    <col collapsed="false" customWidth="true" hidden="false" outlineLevel="0" max="10509" min="10509" style="2" width="18"/>
    <col collapsed="false" customWidth="true" hidden="false" outlineLevel="0" max="10510" min="10510" style="2" width="14.29"/>
    <col collapsed="false" customWidth="false" hidden="false" outlineLevel="0" max="10752" min="10511" style="2" width="11.29"/>
    <col collapsed="false" customWidth="true" hidden="false" outlineLevel="0" max="10753" min="10753" style="2" width="16"/>
    <col collapsed="false" customWidth="true" hidden="false" outlineLevel="0" max="10754" min="10754" style="2" width="23.57"/>
    <col collapsed="false" customWidth="true" hidden="false" outlineLevel="0" max="10755" min="10755" style="2" width="16"/>
    <col collapsed="false" customWidth="true" hidden="false" outlineLevel="0" max="10756" min="10756" style="2" width="9.42"/>
    <col collapsed="false" customWidth="true" hidden="false" outlineLevel="0" max="10757" min="10757" style="2" width="13"/>
    <col collapsed="false" customWidth="true" hidden="false" outlineLevel="0" max="10758" min="10758" style="2" width="16.71"/>
    <col collapsed="false" customWidth="true" hidden="false" outlineLevel="0" max="10759" min="10759" style="2" width="13"/>
    <col collapsed="false" customWidth="true" hidden="false" outlineLevel="0" max="10760" min="10760" style="2" width="11.43"/>
    <col collapsed="false" customWidth="true" hidden="false" outlineLevel="0" max="10761" min="10761" style="2" width="16.71"/>
    <col collapsed="false" customWidth="true" hidden="false" outlineLevel="0" max="10762" min="10762" style="2" width="56.29"/>
    <col collapsed="false" customWidth="true" hidden="false" outlineLevel="0" max="10763" min="10763" style="2" width="23.29"/>
    <col collapsed="false" customWidth="true" hidden="false" outlineLevel="0" max="10764" min="10764" style="2" width="19.29"/>
    <col collapsed="false" customWidth="true" hidden="false" outlineLevel="0" max="10765" min="10765" style="2" width="18"/>
    <col collapsed="false" customWidth="true" hidden="false" outlineLevel="0" max="10766" min="10766" style="2" width="14.29"/>
    <col collapsed="false" customWidth="false" hidden="false" outlineLevel="0" max="11008" min="10767" style="2" width="11.29"/>
    <col collapsed="false" customWidth="true" hidden="false" outlineLevel="0" max="11009" min="11009" style="2" width="16"/>
    <col collapsed="false" customWidth="true" hidden="false" outlineLevel="0" max="11010" min="11010" style="2" width="23.57"/>
    <col collapsed="false" customWidth="true" hidden="false" outlineLevel="0" max="11011" min="11011" style="2" width="16"/>
    <col collapsed="false" customWidth="true" hidden="false" outlineLevel="0" max="11012" min="11012" style="2" width="9.42"/>
    <col collapsed="false" customWidth="true" hidden="false" outlineLevel="0" max="11013" min="11013" style="2" width="13"/>
    <col collapsed="false" customWidth="true" hidden="false" outlineLevel="0" max="11014" min="11014" style="2" width="16.71"/>
    <col collapsed="false" customWidth="true" hidden="false" outlineLevel="0" max="11015" min="11015" style="2" width="13"/>
    <col collapsed="false" customWidth="true" hidden="false" outlineLevel="0" max="11016" min="11016" style="2" width="11.43"/>
    <col collapsed="false" customWidth="true" hidden="false" outlineLevel="0" max="11017" min="11017" style="2" width="16.71"/>
    <col collapsed="false" customWidth="true" hidden="false" outlineLevel="0" max="11018" min="11018" style="2" width="56.29"/>
    <col collapsed="false" customWidth="true" hidden="false" outlineLevel="0" max="11019" min="11019" style="2" width="23.29"/>
    <col collapsed="false" customWidth="true" hidden="false" outlineLevel="0" max="11020" min="11020" style="2" width="19.29"/>
    <col collapsed="false" customWidth="true" hidden="false" outlineLevel="0" max="11021" min="11021" style="2" width="18"/>
    <col collapsed="false" customWidth="true" hidden="false" outlineLevel="0" max="11022" min="11022" style="2" width="14.29"/>
    <col collapsed="false" customWidth="false" hidden="false" outlineLevel="0" max="11264" min="11023" style="2" width="11.29"/>
    <col collapsed="false" customWidth="true" hidden="false" outlineLevel="0" max="11265" min="11265" style="2" width="16"/>
    <col collapsed="false" customWidth="true" hidden="false" outlineLevel="0" max="11266" min="11266" style="2" width="23.57"/>
    <col collapsed="false" customWidth="true" hidden="false" outlineLevel="0" max="11267" min="11267" style="2" width="16"/>
    <col collapsed="false" customWidth="true" hidden="false" outlineLevel="0" max="11268" min="11268" style="2" width="9.42"/>
    <col collapsed="false" customWidth="true" hidden="false" outlineLevel="0" max="11269" min="11269" style="2" width="13"/>
    <col collapsed="false" customWidth="true" hidden="false" outlineLevel="0" max="11270" min="11270" style="2" width="16.71"/>
    <col collapsed="false" customWidth="true" hidden="false" outlineLevel="0" max="11271" min="11271" style="2" width="13"/>
    <col collapsed="false" customWidth="true" hidden="false" outlineLevel="0" max="11272" min="11272" style="2" width="11.43"/>
    <col collapsed="false" customWidth="true" hidden="false" outlineLevel="0" max="11273" min="11273" style="2" width="16.71"/>
    <col collapsed="false" customWidth="true" hidden="false" outlineLevel="0" max="11274" min="11274" style="2" width="56.29"/>
    <col collapsed="false" customWidth="true" hidden="false" outlineLevel="0" max="11275" min="11275" style="2" width="23.29"/>
    <col collapsed="false" customWidth="true" hidden="false" outlineLevel="0" max="11276" min="11276" style="2" width="19.29"/>
    <col collapsed="false" customWidth="true" hidden="false" outlineLevel="0" max="11277" min="11277" style="2" width="18"/>
    <col collapsed="false" customWidth="true" hidden="false" outlineLevel="0" max="11278" min="11278" style="2" width="14.29"/>
    <col collapsed="false" customWidth="false" hidden="false" outlineLevel="0" max="11520" min="11279" style="2" width="11.29"/>
    <col collapsed="false" customWidth="true" hidden="false" outlineLevel="0" max="11521" min="11521" style="2" width="16"/>
    <col collapsed="false" customWidth="true" hidden="false" outlineLevel="0" max="11522" min="11522" style="2" width="23.57"/>
    <col collapsed="false" customWidth="true" hidden="false" outlineLevel="0" max="11523" min="11523" style="2" width="16"/>
    <col collapsed="false" customWidth="true" hidden="false" outlineLevel="0" max="11524" min="11524" style="2" width="9.42"/>
    <col collapsed="false" customWidth="true" hidden="false" outlineLevel="0" max="11525" min="11525" style="2" width="13"/>
    <col collapsed="false" customWidth="true" hidden="false" outlineLevel="0" max="11526" min="11526" style="2" width="16.71"/>
    <col collapsed="false" customWidth="true" hidden="false" outlineLevel="0" max="11527" min="11527" style="2" width="13"/>
    <col collapsed="false" customWidth="true" hidden="false" outlineLevel="0" max="11528" min="11528" style="2" width="11.43"/>
    <col collapsed="false" customWidth="true" hidden="false" outlineLevel="0" max="11529" min="11529" style="2" width="16.71"/>
    <col collapsed="false" customWidth="true" hidden="false" outlineLevel="0" max="11530" min="11530" style="2" width="56.29"/>
    <col collapsed="false" customWidth="true" hidden="false" outlineLevel="0" max="11531" min="11531" style="2" width="23.29"/>
    <col collapsed="false" customWidth="true" hidden="false" outlineLevel="0" max="11532" min="11532" style="2" width="19.29"/>
    <col collapsed="false" customWidth="true" hidden="false" outlineLevel="0" max="11533" min="11533" style="2" width="18"/>
    <col collapsed="false" customWidth="true" hidden="false" outlineLevel="0" max="11534" min="11534" style="2" width="14.29"/>
    <col collapsed="false" customWidth="false" hidden="false" outlineLevel="0" max="11776" min="11535" style="2" width="11.29"/>
    <col collapsed="false" customWidth="true" hidden="false" outlineLevel="0" max="11777" min="11777" style="2" width="16"/>
    <col collapsed="false" customWidth="true" hidden="false" outlineLevel="0" max="11778" min="11778" style="2" width="23.57"/>
    <col collapsed="false" customWidth="true" hidden="false" outlineLevel="0" max="11779" min="11779" style="2" width="16"/>
    <col collapsed="false" customWidth="true" hidden="false" outlineLevel="0" max="11780" min="11780" style="2" width="9.42"/>
    <col collapsed="false" customWidth="true" hidden="false" outlineLevel="0" max="11781" min="11781" style="2" width="13"/>
    <col collapsed="false" customWidth="true" hidden="false" outlineLevel="0" max="11782" min="11782" style="2" width="16.71"/>
    <col collapsed="false" customWidth="true" hidden="false" outlineLevel="0" max="11783" min="11783" style="2" width="13"/>
    <col collapsed="false" customWidth="true" hidden="false" outlineLevel="0" max="11784" min="11784" style="2" width="11.43"/>
    <col collapsed="false" customWidth="true" hidden="false" outlineLevel="0" max="11785" min="11785" style="2" width="16.71"/>
    <col collapsed="false" customWidth="true" hidden="false" outlineLevel="0" max="11786" min="11786" style="2" width="56.29"/>
    <col collapsed="false" customWidth="true" hidden="false" outlineLevel="0" max="11787" min="11787" style="2" width="23.29"/>
    <col collapsed="false" customWidth="true" hidden="false" outlineLevel="0" max="11788" min="11788" style="2" width="19.29"/>
    <col collapsed="false" customWidth="true" hidden="false" outlineLevel="0" max="11789" min="11789" style="2" width="18"/>
    <col collapsed="false" customWidth="true" hidden="false" outlineLevel="0" max="11790" min="11790" style="2" width="14.29"/>
    <col collapsed="false" customWidth="false" hidden="false" outlineLevel="0" max="12032" min="11791" style="2" width="11.29"/>
    <col collapsed="false" customWidth="true" hidden="false" outlineLevel="0" max="12033" min="12033" style="2" width="16"/>
    <col collapsed="false" customWidth="true" hidden="false" outlineLevel="0" max="12034" min="12034" style="2" width="23.57"/>
    <col collapsed="false" customWidth="true" hidden="false" outlineLevel="0" max="12035" min="12035" style="2" width="16"/>
    <col collapsed="false" customWidth="true" hidden="false" outlineLevel="0" max="12036" min="12036" style="2" width="9.42"/>
    <col collapsed="false" customWidth="true" hidden="false" outlineLevel="0" max="12037" min="12037" style="2" width="13"/>
    <col collapsed="false" customWidth="true" hidden="false" outlineLevel="0" max="12038" min="12038" style="2" width="16.71"/>
    <col collapsed="false" customWidth="true" hidden="false" outlineLevel="0" max="12039" min="12039" style="2" width="13"/>
    <col collapsed="false" customWidth="true" hidden="false" outlineLevel="0" max="12040" min="12040" style="2" width="11.43"/>
    <col collapsed="false" customWidth="true" hidden="false" outlineLevel="0" max="12041" min="12041" style="2" width="16.71"/>
    <col collapsed="false" customWidth="true" hidden="false" outlineLevel="0" max="12042" min="12042" style="2" width="56.29"/>
    <col collapsed="false" customWidth="true" hidden="false" outlineLevel="0" max="12043" min="12043" style="2" width="23.29"/>
    <col collapsed="false" customWidth="true" hidden="false" outlineLevel="0" max="12044" min="12044" style="2" width="19.29"/>
    <col collapsed="false" customWidth="true" hidden="false" outlineLevel="0" max="12045" min="12045" style="2" width="18"/>
    <col collapsed="false" customWidth="true" hidden="false" outlineLevel="0" max="12046" min="12046" style="2" width="14.29"/>
    <col collapsed="false" customWidth="false" hidden="false" outlineLevel="0" max="12288" min="12047" style="2" width="11.29"/>
    <col collapsed="false" customWidth="true" hidden="false" outlineLevel="0" max="12289" min="12289" style="2" width="16"/>
    <col collapsed="false" customWidth="true" hidden="false" outlineLevel="0" max="12290" min="12290" style="2" width="23.57"/>
    <col collapsed="false" customWidth="true" hidden="false" outlineLevel="0" max="12291" min="12291" style="2" width="16"/>
    <col collapsed="false" customWidth="true" hidden="false" outlineLevel="0" max="12292" min="12292" style="2" width="9.42"/>
    <col collapsed="false" customWidth="true" hidden="false" outlineLevel="0" max="12293" min="12293" style="2" width="13"/>
    <col collapsed="false" customWidth="true" hidden="false" outlineLevel="0" max="12294" min="12294" style="2" width="16.71"/>
    <col collapsed="false" customWidth="true" hidden="false" outlineLevel="0" max="12295" min="12295" style="2" width="13"/>
    <col collapsed="false" customWidth="true" hidden="false" outlineLevel="0" max="12296" min="12296" style="2" width="11.43"/>
    <col collapsed="false" customWidth="true" hidden="false" outlineLevel="0" max="12297" min="12297" style="2" width="16.71"/>
    <col collapsed="false" customWidth="true" hidden="false" outlineLevel="0" max="12298" min="12298" style="2" width="56.29"/>
    <col collapsed="false" customWidth="true" hidden="false" outlineLevel="0" max="12299" min="12299" style="2" width="23.29"/>
    <col collapsed="false" customWidth="true" hidden="false" outlineLevel="0" max="12300" min="12300" style="2" width="19.29"/>
    <col collapsed="false" customWidth="true" hidden="false" outlineLevel="0" max="12301" min="12301" style="2" width="18"/>
    <col collapsed="false" customWidth="true" hidden="false" outlineLevel="0" max="12302" min="12302" style="2" width="14.29"/>
    <col collapsed="false" customWidth="false" hidden="false" outlineLevel="0" max="12544" min="12303" style="2" width="11.29"/>
    <col collapsed="false" customWidth="true" hidden="false" outlineLevel="0" max="12545" min="12545" style="2" width="16"/>
    <col collapsed="false" customWidth="true" hidden="false" outlineLevel="0" max="12546" min="12546" style="2" width="23.57"/>
    <col collapsed="false" customWidth="true" hidden="false" outlineLevel="0" max="12547" min="12547" style="2" width="16"/>
    <col collapsed="false" customWidth="true" hidden="false" outlineLevel="0" max="12548" min="12548" style="2" width="9.42"/>
    <col collapsed="false" customWidth="true" hidden="false" outlineLevel="0" max="12549" min="12549" style="2" width="13"/>
    <col collapsed="false" customWidth="true" hidden="false" outlineLevel="0" max="12550" min="12550" style="2" width="16.71"/>
    <col collapsed="false" customWidth="true" hidden="false" outlineLevel="0" max="12551" min="12551" style="2" width="13"/>
    <col collapsed="false" customWidth="true" hidden="false" outlineLevel="0" max="12552" min="12552" style="2" width="11.43"/>
    <col collapsed="false" customWidth="true" hidden="false" outlineLevel="0" max="12553" min="12553" style="2" width="16.71"/>
    <col collapsed="false" customWidth="true" hidden="false" outlineLevel="0" max="12554" min="12554" style="2" width="56.29"/>
    <col collapsed="false" customWidth="true" hidden="false" outlineLevel="0" max="12555" min="12555" style="2" width="23.29"/>
    <col collapsed="false" customWidth="true" hidden="false" outlineLevel="0" max="12556" min="12556" style="2" width="19.29"/>
    <col collapsed="false" customWidth="true" hidden="false" outlineLevel="0" max="12557" min="12557" style="2" width="18"/>
    <col collapsed="false" customWidth="true" hidden="false" outlineLevel="0" max="12558" min="12558" style="2" width="14.29"/>
    <col collapsed="false" customWidth="false" hidden="false" outlineLevel="0" max="12800" min="12559" style="2" width="11.29"/>
    <col collapsed="false" customWidth="true" hidden="false" outlineLevel="0" max="12801" min="12801" style="2" width="16"/>
    <col collapsed="false" customWidth="true" hidden="false" outlineLevel="0" max="12802" min="12802" style="2" width="23.57"/>
    <col collapsed="false" customWidth="true" hidden="false" outlineLevel="0" max="12803" min="12803" style="2" width="16"/>
    <col collapsed="false" customWidth="true" hidden="false" outlineLevel="0" max="12804" min="12804" style="2" width="9.42"/>
    <col collapsed="false" customWidth="true" hidden="false" outlineLevel="0" max="12805" min="12805" style="2" width="13"/>
    <col collapsed="false" customWidth="true" hidden="false" outlineLevel="0" max="12806" min="12806" style="2" width="16.71"/>
    <col collapsed="false" customWidth="true" hidden="false" outlineLevel="0" max="12807" min="12807" style="2" width="13"/>
    <col collapsed="false" customWidth="true" hidden="false" outlineLevel="0" max="12808" min="12808" style="2" width="11.43"/>
    <col collapsed="false" customWidth="true" hidden="false" outlineLevel="0" max="12809" min="12809" style="2" width="16.71"/>
    <col collapsed="false" customWidth="true" hidden="false" outlineLevel="0" max="12810" min="12810" style="2" width="56.29"/>
    <col collapsed="false" customWidth="true" hidden="false" outlineLevel="0" max="12811" min="12811" style="2" width="23.29"/>
    <col collapsed="false" customWidth="true" hidden="false" outlineLevel="0" max="12812" min="12812" style="2" width="19.29"/>
    <col collapsed="false" customWidth="true" hidden="false" outlineLevel="0" max="12813" min="12813" style="2" width="18"/>
    <col collapsed="false" customWidth="true" hidden="false" outlineLevel="0" max="12814" min="12814" style="2" width="14.29"/>
    <col collapsed="false" customWidth="false" hidden="false" outlineLevel="0" max="13056" min="12815" style="2" width="11.29"/>
    <col collapsed="false" customWidth="true" hidden="false" outlineLevel="0" max="13057" min="13057" style="2" width="16"/>
    <col collapsed="false" customWidth="true" hidden="false" outlineLevel="0" max="13058" min="13058" style="2" width="23.57"/>
    <col collapsed="false" customWidth="true" hidden="false" outlineLevel="0" max="13059" min="13059" style="2" width="16"/>
    <col collapsed="false" customWidth="true" hidden="false" outlineLevel="0" max="13060" min="13060" style="2" width="9.42"/>
    <col collapsed="false" customWidth="true" hidden="false" outlineLevel="0" max="13061" min="13061" style="2" width="13"/>
    <col collapsed="false" customWidth="true" hidden="false" outlineLevel="0" max="13062" min="13062" style="2" width="16.71"/>
    <col collapsed="false" customWidth="true" hidden="false" outlineLevel="0" max="13063" min="13063" style="2" width="13"/>
    <col collapsed="false" customWidth="true" hidden="false" outlineLevel="0" max="13064" min="13064" style="2" width="11.43"/>
    <col collapsed="false" customWidth="true" hidden="false" outlineLevel="0" max="13065" min="13065" style="2" width="16.71"/>
    <col collapsed="false" customWidth="true" hidden="false" outlineLevel="0" max="13066" min="13066" style="2" width="56.29"/>
    <col collapsed="false" customWidth="true" hidden="false" outlineLevel="0" max="13067" min="13067" style="2" width="23.29"/>
    <col collapsed="false" customWidth="true" hidden="false" outlineLevel="0" max="13068" min="13068" style="2" width="19.29"/>
    <col collapsed="false" customWidth="true" hidden="false" outlineLevel="0" max="13069" min="13069" style="2" width="18"/>
    <col collapsed="false" customWidth="true" hidden="false" outlineLevel="0" max="13070" min="13070" style="2" width="14.29"/>
    <col collapsed="false" customWidth="false" hidden="false" outlineLevel="0" max="13312" min="13071" style="2" width="11.29"/>
    <col collapsed="false" customWidth="true" hidden="false" outlineLevel="0" max="13313" min="13313" style="2" width="16"/>
    <col collapsed="false" customWidth="true" hidden="false" outlineLevel="0" max="13314" min="13314" style="2" width="23.57"/>
    <col collapsed="false" customWidth="true" hidden="false" outlineLevel="0" max="13315" min="13315" style="2" width="16"/>
    <col collapsed="false" customWidth="true" hidden="false" outlineLevel="0" max="13316" min="13316" style="2" width="9.42"/>
    <col collapsed="false" customWidth="true" hidden="false" outlineLevel="0" max="13317" min="13317" style="2" width="13"/>
    <col collapsed="false" customWidth="true" hidden="false" outlineLevel="0" max="13318" min="13318" style="2" width="16.71"/>
    <col collapsed="false" customWidth="true" hidden="false" outlineLevel="0" max="13319" min="13319" style="2" width="13"/>
    <col collapsed="false" customWidth="true" hidden="false" outlineLevel="0" max="13320" min="13320" style="2" width="11.43"/>
    <col collapsed="false" customWidth="true" hidden="false" outlineLevel="0" max="13321" min="13321" style="2" width="16.71"/>
    <col collapsed="false" customWidth="true" hidden="false" outlineLevel="0" max="13322" min="13322" style="2" width="56.29"/>
    <col collapsed="false" customWidth="true" hidden="false" outlineLevel="0" max="13323" min="13323" style="2" width="23.29"/>
    <col collapsed="false" customWidth="true" hidden="false" outlineLevel="0" max="13324" min="13324" style="2" width="19.29"/>
    <col collapsed="false" customWidth="true" hidden="false" outlineLevel="0" max="13325" min="13325" style="2" width="18"/>
    <col collapsed="false" customWidth="true" hidden="false" outlineLevel="0" max="13326" min="13326" style="2" width="14.29"/>
    <col collapsed="false" customWidth="false" hidden="false" outlineLevel="0" max="13568" min="13327" style="2" width="11.29"/>
    <col collapsed="false" customWidth="true" hidden="false" outlineLevel="0" max="13569" min="13569" style="2" width="16"/>
    <col collapsed="false" customWidth="true" hidden="false" outlineLevel="0" max="13570" min="13570" style="2" width="23.57"/>
    <col collapsed="false" customWidth="true" hidden="false" outlineLevel="0" max="13571" min="13571" style="2" width="16"/>
    <col collapsed="false" customWidth="true" hidden="false" outlineLevel="0" max="13572" min="13572" style="2" width="9.42"/>
    <col collapsed="false" customWidth="true" hidden="false" outlineLevel="0" max="13573" min="13573" style="2" width="13"/>
    <col collapsed="false" customWidth="true" hidden="false" outlineLevel="0" max="13574" min="13574" style="2" width="16.71"/>
    <col collapsed="false" customWidth="true" hidden="false" outlineLevel="0" max="13575" min="13575" style="2" width="13"/>
    <col collapsed="false" customWidth="true" hidden="false" outlineLevel="0" max="13576" min="13576" style="2" width="11.43"/>
    <col collapsed="false" customWidth="true" hidden="false" outlineLevel="0" max="13577" min="13577" style="2" width="16.71"/>
    <col collapsed="false" customWidth="true" hidden="false" outlineLevel="0" max="13578" min="13578" style="2" width="56.29"/>
    <col collapsed="false" customWidth="true" hidden="false" outlineLevel="0" max="13579" min="13579" style="2" width="23.29"/>
    <col collapsed="false" customWidth="true" hidden="false" outlineLevel="0" max="13580" min="13580" style="2" width="19.29"/>
    <col collapsed="false" customWidth="true" hidden="false" outlineLevel="0" max="13581" min="13581" style="2" width="18"/>
    <col collapsed="false" customWidth="true" hidden="false" outlineLevel="0" max="13582" min="13582" style="2" width="14.29"/>
    <col collapsed="false" customWidth="false" hidden="false" outlineLevel="0" max="13824" min="13583" style="2" width="11.29"/>
    <col collapsed="false" customWidth="true" hidden="false" outlineLevel="0" max="13825" min="13825" style="2" width="16"/>
    <col collapsed="false" customWidth="true" hidden="false" outlineLevel="0" max="13826" min="13826" style="2" width="23.57"/>
    <col collapsed="false" customWidth="true" hidden="false" outlineLevel="0" max="13827" min="13827" style="2" width="16"/>
    <col collapsed="false" customWidth="true" hidden="false" outlineLevel="0" max="13828" min="13828" style="2" width="9.42"/>
    <col collapsed="false" customWidth="true" hidden="false" outlineLevel="0" max="13829" min="13829" style="2" width="13"/>
    <col collapsed="false" customWidth="true" hidden="false" outlineLevel="0" max="13830" min="13830" style="2" width="16.71"/>
    <col collapsed="false" customWidth="true" hidden="false" outlineLevel="0" max="13831" min="13831" style="2" width="13"/>
    <col collapsed="false" customWidth="true" hidden="false" outlineLevel="0" max="13832" min="13832" style="2" width="11.43"/>
    <col collapsed="false" customWidth="true" hidden="false" outlineLevel="0" max="13833" min="13833" style="2" width="16.71"/>
    <col collapsed="false" customWidth="true" hidden="false" outlineLevel="0" max="13834" min="13834" style="2" width="56.29"/>
    <col collapsed="false" customWidth="true" hidden="false" outlineLevel="0" max="13835" min="13835" style="2" width="23.29"/>
    <col collapsed="false" customWidth="true" hidden="false" outlineLevel="0" max="13836" min="13836" style="2" width="19.29"/>
    <col collapsed="false" customWidth="true" hidden="false" outlineLevel="0" max="13837" min="13837" style="2" width="18"/>
    <col collapsed="false" customWidth="true" hidden="false" outlineLevel="0" max="13838" min="13838" style="2" width="14.29"/>
    <col collapsed="false" customWidth="false" hidden="false" outlineLevel="0" max="14080" min="13839" style="2" width="11.29"/>
    <col collapsed="false" customWidth="true" hidden="false" outlineLevel="0" max="14081" min="14081" style="2" width="16"/>
    <col collapsed="false" customWidth="true" hidden="false" outlineLevel="0" max="14082" min="14082" style="2" width="23.57"/>
    <col collapsed="false" customWidth="true" hidden="false" outlineLevel="0" max="14083" min="14083" style="2" width="16"/>
    <col collapsed="false" customWidth="true" hidden="false" outlineLevel="0" max="14084" min="14084" style="2" width="9.42"/>
    <col collapsed="false" customWidth="true" hidden="false" outlineLevel="0" max="14085" min="14085" style="2" width="13"/>
    <col collapsed="false" customWidth="true" hidden="false" outlineLevel="0" max="14086" min="14086" style="2" width="16.71"/>
    <col collapsed="false" customWidth="true" hidden="false" outlineLevel="0" max="14087" min="14087" style="2" width="13"/>
    <col collapsed="false" customWidth="true" hidden="false" outlineLevel="0" max="14088" min="14088" style="2" width="11.43"/>
    <col collapsed="false" customWidth="true" hidden="false" outlineLevel="0" max="14089" min="14089" style="2" width="16.71"/>
    <col collapsed="false" customWidth="true" hidden="false" outlineLevel="0" max="14090" min="14090" style="2" width="56.29"/>
    <col collapsed="false" customWidth="true" hidden="false" outlineLevel="0" max="14091" min="14091" style="2" width="23.29"/>
    <col collapsed="false" customWidth="true" hidden="false" outlineLevel="0" max="14092" min="14092" style="2" width="19.29"/>
    <col collapsed="false" customWidth="true" hidden="false" outlineLevel="0" max="14093" min="14093" style="2" width="18"/>
    <col collapsed="false" customWidth="true" hidden="false" outlineLevel="0" max="14094" min="14094" style="2" width="14.29"/>
    <col collapsed="false" customWidth="false" hidden="false" outlineLevel="0" max="14336" min="14095" style="2" width="11.29"/>
    <col collapsed="false" customWidth="true" hidden="false" outlineLevel="0" max="14337" min="14337" style="2" width="16"/>
    <col collapsed="false" customWidth="true" hidden="false" outlineLevel="0" max="14338" min="14338" style="2" width="23.57"/>
    <col collapsed="false" customWidth="true" hidden="false" outlineLevel="0" max="14339" min="14339" style="2" width="16"/>
    <col collapsed="false" customWidth="true" hidden="false" outlineLevel="0" max="14340" min="14340" style="2" width="9.42"/>
    <col collapsed="false" customWidth="true" hidden="false" outlineLevel="0" max="14341" min="14341" style="2" width="13"/>
    <col collapsed="false" customWidth="true" hidden="false" outlineLevel="0" max="14342" min="14342" style="2" width="16.71"/>
    <col collapsed="false" customWidth="true" hidden="false" outlineLevel="0" max="14343" min="14343" style="2" width="13"/>
    <col collapsed="false" customWidth="true" hidden="false" outlineLevel="0" max="14344" min="14344" style="2" width="11.43"/>
    <col collapsed="false" customWidth="true" hidden="false" outlineLevel="0" max="14345" min="14345" style="2" width="16.71"/>
    <col collapsed="false" customWidth="true" hidden="false" outlineLevel="0" max="14346" min="14346" style="2" width="56.29"/>
    <col collapsed="false" customWidth="true" hidden="false" outlineLevel="0" max="14347" min="14347" style="2" width="23.29"/>
    <col collapsed="false" customWidth="true" hidden="false" outlineLevel="0" max="14348" min="14348" style="2" width="19.29"/>
    <col collapsed="false" customWidth="true" hidden="false" outlineLevel="0" max="14349" min="14349" style="2" width="18"/>
    <col collapsed="false" customWidth="true" hidden="false" outlineLevel="0" max="14350" min="14350" style="2" width="14.29"/>
    <col collapsed="false" customWidth="false" hidden="false" outlineLevel="0" max="14592" min="14351" style="2" width="11.29"/>
    <col collapsed="false" customWidth="true" hidden="false" outlineLevel="0" max="14593" min="14593" style="2" width="16"/>
    <col collapsed="false" customWidth="true" hidden="false" outlineLevel="0" max="14594" min="14594" style="2" width="23.57"/>
    <col collapsed="false" customWidth="true" hidden="false" outlineLevel="0" max="14595" min="14595" style="2" width="16"/>
    <col collapsed="false" customWidth="true" hidden="false" outlineLevel="0" max="14596" min="14596" style="2" width="9.42"/>
    <col collapsed="false" customWidth="true" hidden="false" outlineLevel="0" max="14597" min="14597" style="2" width="13"/>
    <col collapsed="false" customWidth="true" hidden="false" outlineLevel="0" max="14598" min="14598" style="2" width="16.71"/>
    <col collapsed="false" customWidth="true" hidden="false" outlineLevel="0" max="14599" min="14599" style="2" width="13"/>
    <col collapsed="false" customWidth="true" hidden="false" outlineLevel="0" max="14600" min="14600" style="2" width="11.43"/>
    <col collapsed="false" customWidth="true" hidden="false" outlineLevel="0" max="14601" min="14601" style="2" width="16.71"/>
    <col collapsed="false" customWidth="true" hidden="false" outlineLevel="0" max="14602" min="14602" style="2" width="56.29"/>
    <col collapsed="false" customWidth="true" hidden="false" outlineLevel="0" max="14603" min="14603" style="2" width="23.29"/>
    <col collapsed="false" customWidth="true" hidden="false" outlineLevel="0" max="14604" min="14604" style="2" width="19.29"/>
    <col collapsed="false" customWidth="true" hidden="false" outlineLevel="0" max="14605" min="14605" style="2" width="18"/>
    <col collapsed="false" customWidth="true" hidden="false" outlineLevel="0" max="14606" min="14606" style="2" width="14.29"/>
    <col collapsed="false" customWidth="false" hidden="false" outlineLevel="0" max="14848" min="14607" style="2" width="11.29"/>
    <col collapsed="false" customWidth="true" hidden="false" outlineLevel="0" max="14849" min="14849" style="2" width="16"/>
    <col collapsed="false" customWidth="true" hidden="false" outlineLevel="0" max="14850" min="14850" style="2" width="23.57"/>
    <col collapsed="false" customWidth="true" hidden="false" outlineLevel="0" max="14851" min="14851" style="2" width="16"/>
    <col collapsed="false" customWidth="true" hidden="false" outlineLevel="0" max="14852" min="14852" style="2" width="9.42"/>
    <col collapsed="false" customWidth="true" hidden="false" outlineLevel="0" max="14853" min="14853" style="2" width="13"/>
    <col collapsed="false" customWidth="true" hidden="false" outlineLevel="0" max="14854" min="14854" style="2" width="16.71"/>
    <col collapsed="false" customWidth="true" hidden="false" outlineLevel="0" max="14855" min="14855" style="2" width="13"/>
    <col collapsed="false" customWidth="true" hidden="false" outlineLevel="0" max="14856" min="14856" style="2" width="11.43"/>
    <col collapsed="false" customWidth="true" hidden="false" outlineLevel="0" max="14857" min="14857" style="2" width="16.71"/>
    <col collapsed="false" customWidth="true" hidden="false" outlineLevel="0" max="14858" min="14858" style="2" width="56.29"/>
    <col collapsed="false" customWidth="true" hidden="false" outlineLevel="0" max="14859" min="14859" style="2" width="23.29"/>
    <col collapsed="false" customWidth="true" hidden="false" outlineLevel="0" max="14860" min="14860" style="2" width="19.29"/>
    <col collapsed="false" customWidth="true" hidden="false" outlineLevel="0" max="14861" min="14861" style="2" width="18"/>
    <col collapsed="false" customWidth="true" hidden="false" outlineLevel="0" max="14862" min="14862" style="2" width="14.29"/>
    <col collapsed="false" customWidth="false" hidden="false" outlineLevel="0" max="15104" min="14863" style="2" width="11.29"/>
    <col collapsed="false" customWidth="true" hidden="false" outlineLevel="0" max="15105" min="15105" style="2" width="16"/>
    <col collapsed="false" customWidth="true" hidden="false" outlineLevel="0" max="15106" min="15106" style="2" width="23.57"/>
    <col collapsed="false" customWidth="true" hidden="false" outlineLevel="0" max="15107" min="15107" style="2" width="16"/>
    <col collapsed="false" customWidth="true" hidden="false" outlineLevel="0" max="15108" min="15108" style="2" width="9.42"/>
    <col collapsed="false" customWidth="true" hidden="false" outlineLevel="0" max="15109" min="15109" style="2" width="13"/>
    <col collapsed="false" customWidth="true" hidden="false" outlineLevel="0" max="15110" min="15110" style="2" width="16.71"/>
    <col collapsed="false" customWidth="true" hidden="false" outlineLevel="0" max="15111" min="15111" style="2" width="13"/>
    <col collapsed="false" customWidth="true" hidden="false" outlineLevel="0" max="15112" min="15112" style="2" width="11.43"/>
    <col collapsed="false" customWidth="true" hidden="false" outlineLevel="0" max="15113" min="15113" style="2" width="16.71"/>
    <col collapsed="false" customWidth="true" hidden="false" outlineLevel="0" max="15114" min="15114" style="2" width="56.29"/>
    <col collapsed="false" customWidth="true" hidden="false" outlineLevel="0" max="15115" min="15115" style="2" width="23.29"/>
    <col collapsed="false" customWidth="true" hidden="false" outlineLevel="0" max="15116" min="15116" style="2" width="19.29"/>
    <col collapsed="false" customWidth="true" hidden="false" outlineLevel="0" max="15117" min="15117" style="2" width="18"/>
    <col collapsed="false" customWidth="true" hidden="false" outlineLevel="0" max="15118" min="15118" style="2" width="14.29"/>
    <col collapsed="false" customWidth="false" hidden="false" outlineLevel="0" max="15360" min="15119" style="2" width="11.29"/>
    <col collapsed="false" customWidth="true" hidden="false" outlineLevel="0" max="15361" min="15361" style="2" width="16"/>
    <col collapsed="false" customWidth="true" hidden="false" outlineLevel="0" max="15362" min="15362" style="2" width="23.57"/>
    <col collapsed="false" customWidth="true" hidden="false" outlineLevel="0" max="15363" min="15363" style="2" width="16"/>
    <col collapsed="false" customWidth="true" hidden="false" outlineLevel="0" max="15364" min="15364" style="2" width="9.42"/>
    <col collapsed="false" customWidth="true" hidden="false" outlineLevel="0" max="15365" min="15365" style="2" width="13"/>
    <col collapsed="false" customWidth="true" hidden="false" outlineLevel="0" max="15366" min="15366" style="2" width="16.71"/>
    <col collapsed="false" customWidth="true" hidden="false" outlineLevel="0" max="15367" min="15367" style="2" width="13"/>
    <col collapsed="false" customWidth="true" hidden="false" outlineLevel="0" max="15368" min="15368" style="2" width="11.43"/>
    <col collapsed="false" customWidth="true" hidden="false" outlineLevel="0" max="15369" min="15369" style="2" width="16.71"/>
    <col collapsed="false" customWidth="true" hidden="false" outlineLevel="0" max="15370" min="15370" style="2" width="56.29"/>
    <col collapsed="false" customWidth="true" hidden="false" outlineLevel="0" max="15371" min="15371" style="2" width="23.29"/>
    <col collapsed="false" customWidth="true" hidden="false" outlineLevel="0" max="15372" min="15372" style="2" width="19.29"/>
    <col collapsed="false" customWidth="true" hidden="false" outlineLevel="0" max="15373" min="15373" style="2" width="18"/>
    <col collapsed="false" customWidth="true" hidden="false" outlineLevel="0" max="15374" min="15374" style="2" width="14.29"/>
    <col collapsed="false" customWidth="false" hidden="false" outlineLevel="0" max="15616" min="15375" style="2" width="11.29"/>
    <col collapsed="false" customWidth="true" hidden="false" outlineLevel="0" max="15617" min="15617" style="2" width="16"/>
    <col collapsed="false" customWidth="true" hidden="false" outlineLevel="0" max="15618" min="15618" style="2" width="23.57"/>
    <col collapsed="false" customWidth="true" hidden="false" outlineLevel="0" max="15619" min="15619" style="2" width="16"/>
    <col collapsed="false" customWidth="true" hidden="false" outlineLevel="0" max="15620" min="15620" style="2" width="9.42"/>
    <col collapsed="false" customWidth="true" hidden="false" outlineLevel="0" max="15621" min="15621" style="2" width="13"/>
    <col collapsed="false" customWidth="true" hidden="false" outlineLevel="0" max="15622" min="15622" style="2" width="16.71"/>
    <col collapsed="false" customWidth="true" hidden="false" outlineLevel="0" max="15623" min="15623" style="2" width="13"/>
    <col collapsed="false" customWidth="true" hidden="false" outlineLevel="0" max="15624" min="15624" style="2" width="11.43"/>
    <col collapsed="false" customWidth="true" hidden="false" outlineLevel="0" max="15625" min="15625" style="2" width="16.71"/>
    <col collapsed="false" customWidth="true" hidden="false" outlineLevel="0" max="15626" min="15626" style="2" width="56.29"/>
    <col collapsed="false" customWidth="true" hidden="false" outlineLevel="0" max="15627" min="15627" style="2" width="23.29"/>
    <col collapsed="false" customWidth="true" hidden="false" outlineLevel="0" max="15628" min="15628" style="2" width="19.29"/>
    <col collapsed="false" customWidth="true" hidden="false" outlineLevel="0" max="15629" min="15629" style="2" width="18"/>
    <col collapsed="false" customWidth="true" hidden="false" outlineLevel="0" max="15630" min="15630" style="2" width="14.29"/>
    <col collapsed="false" customWidth="false" hidden="false" outlineLevel="0" max="15872" min="15631" style="2" width="11.29"/>
    <col collapsed="false" customWidth="true" hidden="false" outlineLevel="0" max="15873" min="15873" style="2" width="16"/>
    <col collapsed="false" customWidth="true" hidden="false" outlineLevel="0" max="15874" min="15874" style="2" width="23.57"/>
    <col collapsed="false" customWidth="true" hidden="false" outlineLevel="0" max="15875" min="15875" style="2" width="16"/>
    <col collapsed="false" customWidth="true" hidden="false" outlineLevel="0" max="15876" min="15876" style="2" width="9.42"/>
    <col collapsed="false" customWidth="true" hidden="false" outlineLevel="0" max="15877" min="15877" style="2" width="13"/>
    <col collapsed="false" customWidth="true" hidden="false" outlineLevel="0" max="15878" min="15878" style="2" width="16.71"/>
    <col collapsed="false" customWidth="true" hidden="false" outlineLevel="0" max="15879" min="15879" style="2" width="13"/>
    <col collapsed="false" customWidth="true" hidden="false" outlineLevel="0" max="15880" min="15880" style="2" width="11.43"/>
    <col collapsed="false" customWidth="true" hidden="false" outlineLevel="0" max="15881" min="15881" style="2" width="16.71"/>
    <col collapsed="false" customWidth="true" hidden="false" outlineLevel="0" max="15882" min="15882" style="2" width="56.29"/>
    <col collapsed="false" customWidth="true" hidden="false" outlineLevel="0" max="15883" min="15883" style="2" width="23.29"/>
    <col collapsed="false" customWidth="true" hidden="false" outlineLevel="0" max="15884" min="15884" style="2" width="19.29"/>
    <col collapsed="false" customWidth="true" hidden="false" outlineLevel="0" max="15885" min="15885" style="2" width="18"/>
    <col collapsed="false" customWidth="true" hidden="false" outlineLevel="0" max="15886" min="15886" style="2" width="14.29"/>
    <col collapsed="false" customWidth="false" hidden="false" outlineLevel="0" max="16128" min="15887" style="2" width="11.29"/>
    <col collapsed="false" customWidth="true" hidden="false" outlineLevel="0" max="16129" min="16129" style="2" width="16"/>
    <col collapsed="false" customWidth="true" hidden="false" outlineLevel="0" max="16130" min="16130" style="2" width="23.57"/>
    <col collapsed="false" customWidth="true" hidden="false" outlineLevel="0" max="16131" min="16131" style="2" width="16"/>
    <col collapsed="false" customWidth="true" hidden="false" outlineLevel="0" max="16132" min="16132" style="2" width="9.42"/>
    <col collapsed="false" customWidth="true" hidden="false" outlineLevel="0" max="16133" min="16133" style="2" width="13"/>
    <col collapsed="false" customWidth="true" hidden="false" outlineLevel="0" max="16134" min="16134" style="2" width="16.71"/>
    <col collapsed="false" customWidth="true" hidden="false" outlineLevel="0" max="16135" min="16135" style="2" width="13"/>
    <col collapsed="false" customWidth="true" hidden="false" outlineLevel="0" max="16136" min="16136" style="2" width="11.43"/>
    <col collapsed="false" customWidth="true" hidden="false" outlineLevel="0" max="16137" min="16137" style="2" width="16.71"/>
    <col collapsed="false" customWidth="true" hidden="false" outlineLevel="0" max="16138" min="16138" style="2" width="56.29"/>
    <col collapsed="false" customWidth="true" hidden="false" outlineLevel="0" max="16139" min="16139" style="2" width="23.29"/>
    <col collapsed="false" customWidth="true" hidden="false" outlineLevel="0" max="16140" min="16140" style="2" width="19.29"/>
    <col collapsed="false" customWidth="true" hidden="false" outlineLevel="0" max="16141" min="16141" style="2" width="18"/>
    <col collapsed="false" customWidth="true" hidden="false" outlineLevel="0" max="16142" min="16142" style="2" width="14.29"/>
    <col collapsed="false" customWidth="false" hidden="false" outlineLevel="0" max="16384" min="16143" style="2" width="11.29"/>
  </cols>
  <sheetData>
    <row r="1" s="6" customFormat="true" ht="33" hidden="false" customHeight="true" outlineLevel="0" collapsed="false">
      <c r="A1" s="3" t="s">
        <v>0</v>
      </c>
      <c r="B1" s="4" t="s">
        <v>1</v>
      </c>
      <c r="C1" s="3" t="s">
        <v>0</v>
      </c>
      <c r="D1" s="4" t="s">
        <v>2</v>
      </c>
      <c r="E1" s="5" t="s">
        <v>3</v>
      </c>
      <c r="F1" s="5" t="s">
        <v>4</v>
      </c>
      <c r="G1" s="5" t="s">
        <v>5</v>
      </c>
      <c r="H1" s="4" t="s">
        <v>6</v>
      </c>
      <c r="I1" s="4" t="s">
        <v>7</v>
      </c>
      <c r="J1" s="4" t="s">
        <v>8</v>
      </c>
      <c r="K1" s="4" t="s">
        <v>9</v>
      </c>
      <c r="L1" s="4" t="s">
        <v>10</v>
      </c>
      <c r="M1" s="4" t="s">
        <v>11</v>
      </c>
      <c r="N1" s="4" t="s">
        <v>12</v>
      </c>
    </row>
    <row r="2" customFormat="false" ht="36" hidden="false" customHeight="false" outlineLevel="0" collapsed="false">
      <c r="A2" s="7" t="s">
        <v>13</v>
      </c>
      <c r="B2" s="8" t="s">
        <v>14</v>
      </c>
      <c r="C2" s="7" t="s">
        <v>13</v>
      </c>
      <c r="D2" s="9" t="n">
        <v>4</v>
      </c>
      <c r="E2" s="10" t="s">
        <v>15</v>
      </c>
      <c r="F2" s="10" t="s">
        <v>16</v>
      </c>
      <c r="G2" s="10" t="s">
        <v>17</v>
      </c>
      <c r="H2" s="8" t="n">
        <v>0</v>
      </c>
      <c r="I2" s="11" t="s">
        <v>18</v>
      </c>
      <c r="J2" s="12" t="s">
        <v>19</v>
      </c>
      <c r="K2" s="12" t="s">
        <v>20</v>
      </c>
      <c r="L2" s="12" t="s">
        <v>21</v>
      </c>
      <c r="M2" s="12" t="s">
        <v>22</v>
      </c>
      <c r="N2" s="12" t="s">
        <v>23</v>
      </c>
    </row>
    <row r="3" customFormat="false" ht="27.5" hidden="false" customHeight="false" outlineLevel="0" collapsed="false">
      <c r="A3" s="7" t="s">
        <v>24</v>
      </c>
      <c r="B3" s="8" t="s">
        <v>25</v>
      </c>
      <c r="C3" s="7" t="s">
        <v>24</v>
      </c>
      <c r="D3" s="9" t="n">
        <v>4</v>
      </c>
      <c r="E3" s="10" t="s">
        <v>15</v>
      </c>
      <c r="F3" s="10" t="s">
        <v>16</v>
      </c>
      <c r="G3" s="10" t="s">
        <v>26</v>
      </c>
      <c r="H3" s="8" t="n">
        <v>0</v>
      </c>
      <c r="I3" s="11" t="s">
        <v>18</v>
      </c>
      <c r="J3" s="12" t="s">
        <v>27</v>
      </c>
      <c r="K3" s="13" t="s">
        <v>28</v>
      </c>
      <c r="L3" s="12" t="s">
        <v>21</v>
      </c>
      <c r="M3" s="12" t="s">
        <v>29</v>
      </c>
      <c r="N3" s="12" t="s">
        <v>23</v>
      </c>
    </row>
    <row r="4" customFormat="false" ht="70" hidden="false" customHeight="false" outlineLevel="0" collapsed="false">
      <c r="A4" s="14" t="s">
        <v>30</v>
      </c>
      <c r="B4" s="15" t="s">
        <v>31</v>
      </c>
      <c r="C4" s="14" t="s">
        <v>30</v>
      </c>
      <c r="D4" s="9" t="n">
        <v>4</v>
      </c>
      <c r="E4" s="9" t="s">
        <v>15</v>
      </c>
      <c r="F4" s="10" t="s">
        <v>16</v>
      </c>
      <c r="G4" s="10" t="s">
        <v>26</v>
      </c>
      <c r="H4" s="16" t="n">
        <v>0</v>
      </c>
      <c r="I4" s="17" t="s">
        <v>18</v>
      </c>
      <c r="J4" s="18" t="s">
        <v>32</v>
      </c>
      <c r="K4" s="19" t="s">
        <v>33</v>
      </c>
      <c r="L4" s="12" t="s">
        <v>21</v>
      </c>
      <c r="M4" s="12" t="s">
        <v>22</v>
      </c>
      <c r="N4" s="12" t="s">
        <v>23</v>
      </c>
    </row>
    <row r="5" customFormat="false" ht="36" hidden="false" customHeight="false" outlineLevel="0" collapsed="false">
      <c r="A5" s="7" t="s">
        <v>34</v>
      </c>
      <c r="B5" s="8" t="s">
        <v>35</v>
      </c>
      <c r="C5" s="7" t="s">
        <v>34</v>
      </c>
      <c r="D5" s="9" t="n">
        <v>4</v>
      </c>
      <c r="E5" s="10" t="s">
        <v>15</v>
      </c>
      <c r="F5" s="10" t="s">
        <v>16</v>
      </c>
      <c r="G5" s="10" t="s">
        <v>26</v>
      </c>
      <c r="H5" s="8" t="n">
        <v>0</v>
      </c>
      <c r="I5" s="11" t="s">
        <v>18</v>
      </c>
      <c r="J5" s="12" t="s">
        <v>36</v>
      </c>
      <c r="K5" s="12" t="s">
        <v>28</v>
      </c>
      <c r="L5" s="12" t="s">
        <v>21</v>
      </c>
      <c r="M5" s="12" t="s">
        <v>22</v>
      </c>
      <c r="N5" s="12" t="s">
        <v>23</v>
      </c>
    </row>
    <row r="6" customFormat="false" ht="36" hidden="false" customHeight="false" outlineLevel="0" collapsed="false">
      <c r="A6" s="7" t="s">
        <v>37</v>
      </c>
      <c r="B6" s="8" t="s">
        <v>38</v>
      </c>
      <c r="C6" s="7" t="s">
        <v>37</v>
      </c>
      <c r="D6" s="10" t="n">
        <v>3</v>
      </c>
      <c r="E6" s="10" t="s">
        <v>39</v>
      </c>
      <c r="F6" s="10" t="s">
        <v>40</v>
      </c>
      <c r="G6" s="10" t="s">
        <v>40</v>
      </c>
      <c r="H6" s="8" t="n">
        <v>1</v>
      </c>
      <c r="I6" s="11" t="s">
        <v>41</v>
      </c>
      <c r="J6" s="12" t="s">
        <v>42</v>
      </c>
      <c r="K6" s="12" t="s">
        <v>43</v>
      </c>
      <c r="L6" s="12" t="s">
        <v>21</v>
      </c>
      <c r="M6" s="12" t="s">
        <v>44</v>
      </c>
      <c r="N6" s="12" t="s">
        <v>23</v>
      </c>
    </row>
    <row r="7" customFormat="false" ht="70" hidden="false" customHeight="false" outlineLevel="0" collapsed="false">
      <c r="A7" s="20" t="s">
        <v>45</v>
      </c>
      <c r="B7" s="15" t="s">
        <v>46</v>
      </c>
      <c r="C7" s="20" t="s">
        <v>45</v>
      </c>
      <c r="D7" s="9" t="n">
        <v>22</v>
      </c>
      <c r="E7" s="9" t="s">
        <v>47</v>
      </c>
      <c r="F7" s="10" t="s">
        <v>48</v>
      </c>
      <c r="G7" s="10" t="s">
        <v>48</v>
      </c>
      <c r="H7" s="16" t="n">
        <v>1</v>
      </c>
      <c r="I7" s="17" t="s">
        <v>41</v>
      </c>
      <c r="J7" s="13" t="s">
        <v>49</v>
      </c>
      <c r="K7" s="13" t="s">
        <v>50</v>
      </c>
      <c r="L7" s="12" t="s">
        <v>21</v>
      </c>
      <c r="M7" s="12" t="s">
        <v>44</v>
      </c>
      <c r="N7" s="12" t="s">
        <v>23</v>
      </c>
    </row>
    <row r="8" customFormat="false" ht="36" hidden="false" customHeight="false" outlineLevel="0" collapsed="false">
      <c r="A8" s="7" t="s">
        <v>51</v>
      </c>
      <c r="B8" s="8" t="s">
        <v>52</v>
      </c>
      <c r="C8" s="7" t="s">
        <v>51</v>
      </c>
      <c r="D8" s="9" t="n">
        <v>20</v>
      </c>
      <c r="E8" s="9" t="s">
        <v>53</v>
      </c>
      <c r="F8" s="10" t="s">
        <v>54</v>
      </c>
      <c r="G8" s="10" t="s">
        <v>55</v>
      </c>
      <c r="H8" s="8" t="n">
        <v>1</v>
      </c>
      <c r="I8" s="11" t="s">
        <v>41</v>
      </c>
      <c r="J8" s="12" t="s">
        <v>56</v>
      </c>
      <c r="K8" s="12" t="s">
        <v>33</v>
      </c>
      <c r="L8" s="12" t="s">
        <v>21</v>
      </c>
      <c r="M8" s="12" t="s">
        <v>29</v>
      </c>
      <c r="N8" s="12" t="s">
        <v>23</v>
      </c>
    </row>
    <row r="9" customFormat="false" ht="36" hidden="false" customHeight="false" outlineLevel="0" collapsed="false">
      <c r="A9" s="20" t="s">
        <v>57</v>
      </c>
      <c r="B9" s="15" t="s">
        <v>58</v>
      </c>
      <c r="C9" s="20" t="s">
        <v>57</v>
      </c>
      <c r="D9" s="9" t="n">
        <v>3</v>
      </c>
      <c r="E9" s="9" t="s">
        <v>39</v>
      </c>
      <c r="F9" s="10" t="s">
        <v>59</v>
      </c>
      <c r="G9" s="10" t="s">
        <v>59</v>
      </c>
      <c r="H9" s="16" t="n">
        <v>1</v>
      </c>
      <c r="I9" s="17" t="s">
        <v>41</v>
      </c>
      <c r="J9" s="13" t="s">
        <v>60</v>
      </c>
      <c r="K9" s="13" t="s">
        <v>50</v>
      </c>
      <c r="L9" s="12" t="s">
        <v>21</v>
      </c>
      <c r="M9" s="12" t="s">
        <v>44</v>
      </c>
      <c r="N9" s="12" t="s">
        <v>23</v>
      </c>
    </row>
    <row r="10" customFormat="false" ht="36" hidden="false" customHeight="false" outlineLevel="0" collapsed="false">
      <c r="A10" s="20" t="s">
        <v>61</v>
      </c>
      <c r="B10" s="15" t="s">
        <v>62</v>
      </c>
      <c r="C10" s="20" t="s">
        <v>61</v>
      </c>
      <c r="D10" s="9" t="n">
        <v>5</v>
      </c>
      <c r="E10" s="9" t="s">
        <v>63</v>
      </c>
      <c r="F10" s="10" t="s">
        <v>64</v>
      </c>
      <c r="G10" s="10" t="s">
        <v>65</v>
      </c>
      <c r="H10" s="16" t="n">
        <v>1</v>
      </c>
      <c r="I10" s="17" t="s">
        <v>41</v>
      </c>
      <c r="J10" s="13" t="s">
        <v>66</v>
      </c>
      <c r="K10" s="13" t="s">
        <v>50</v>
      </c>
      <c r="L10" s="12" t="s">
        <v>21</v>
      </c>
      <c r="M10" s="12" t="s">
        <v>44</v>
      </c>
      <c r="N10" s="12" t="s">
        <v>23</v>
      </c>
    </row>
    <row r="11" customFormat="false" ht="27.5" hidden="false" customHeight="false" outlineLevel="0" collapsed="false">
      <c r="A11" s="7" t="s">
        <v>67</v>
      </c>
      <c r="B11" s="8" t="s">
        <v>68</v>
      </c>
      <c r="C11" s="7" t="s">
        <v>67</v>
      </c>
      <c r="D11" s="10" t="n">
        <v>11</v>
      </c>
      <c r="E11" s="10" t="s">
        <v>69</v>
      </c>
      <c r="F11" s="10" t="s">
        <v>70</v>
      </c>
      <c r="G11" s="10" t="s">
        <v>70</v>
      </c>
      <c r="H11" s="8" t="n">
        <v>1</v>
      </c>
      <c r="I11" s="11" t="s">
        <v>41</v>
      </c>
      <c r="J11" s="12" t="s">
        <v>71</v>
      </c>
      <c r="K11" s="12" t="s">
        <v>50</v>
      </c>
      <c r="L11" s="12" t="s">
        <v>21</v>
      </c>
      <c r="M11" s="12" t="s">
        <v>44</v>
      </c>
      <c r="N11" s="12" t="s">
        <v>23</v>
      </c>
    </row>
    <row r="12" customFormat="false" ht="70" hidden="false" customHeight="false" outlineLevel="0" collapsed="false">
      <c r="A12" s="14" t="s">
        <v>72</v>
      </c>
      <c r="B12" s="15" t="s">
        <v>68</v>
      </c>
      <c r="C12" s="14" t="s">
        <v>72</v>
      </c>
      <c r="D12" s="9" t="n">
        <v>11</v>
      </c>
      <c r="E12" s="10" t="s">
        <v>69</v>
      </c>
      <c r="F12" s="10" t="s">
        <v>70</v>
      </c>
      <c r="G12" s="10" t="s">
        <v>70</v>
      </c>
      <c r="H12" s="16" t="n">
        <v>1</v>
      </c>
      <c r="I12" s="17" t="s">
        <v>41</v>
      </c>
      <c r="J12" s="18" t="s">
        <v>73</v>
      </c>
      <c r="K12" s="13" t="s">
        <v>50</v>
      </c>
      <c r="L12" s="12" t="s">
        <v>21</v>
      </c>
      <c r="M12" s="12" t="s">
        <v>44</v>
      </c>
      <c r="N12" s="12" t="s">
        <v>23</v>
      </c>
    </row>
    <row r="13" customFormat="false" ht="63" hidden="false" customHeight="true" outlineLevel="0" collapsed="false">
      <c r="A13" s="7" t="s">
        <v>74</v>
      </c>
      <c r="B13" s="8" t="s">
        <v>75</v>
      </c>
      <c r="C13" s="7" t="s">
        <v>74</v>
      </c>
      <c r="D13" s="10" t="n">
        <v>4</v>
      </c>
      <c r="E13" s="10" t="s">
        <v>15</v>
      </c>
      <c r="F13" s="10" t="s">
        <v>16</v>
      </c>
      <c r="G13" s="10" t="s">
        <v>26</v>
      </c>
      <c r="H13" s="8" t="n">
        <v>1</v>
      </c>
      <c r="I13" s="11" t="s">
        <v>41</v>
      </c>
      <c r="J13" s="12" t="s">
        <v>76</v>
      </c>
      <c r="K13" s="12" t="s">
        <v>50</v>
      </c>
      <c r="L13" s="12" t="s">
        <v>21</v>
      </c>
      <c r="M13" s="12" t="s">
        <v>44</v>
      </c>
      <c r="N13" s="12" t="s">
        <v>23</v>
      </c>
    </row>
    <row r="14" customFormat="false" ht="36" hidden="false" customHeight="false" outlineLevel="0" collapsed="false">
      <c r="A14" s="20" t="s">
        <v>77</v>
      </c>
      <c r="B14" s="15" t="s">
        <v>78</v>
      </c>
      <c r="C14" s="20" t="s">
        <v>77</v>
      </c>
      <c r="D14" s="9" t="n">
        <v>13</v>
      </c>
      <c r="E14" s="9" t="s">
        <v>79</v>
      </c>
      <c r="F14" s="10" t="s">
        <v>79</v>
      </c>
      <c r="G14" s="10" t="s">
        <v>79</v>
      </c>
      <c r="H14" s="16" t="n">
        <v>1</v>
      </c>
      <c r="I14" s="17" t="s">
        <v>41</v>
      </c>
      <c r="J14" s="13" t="s">
        <v>80</v>
      </c>
      <c r="K14" s="13" t="s">
        <v>50</v>
      </c>
      <c r="L14" s="12" t="s">
        <v>21</v>
      </c>
      <c r="M14" s="12" t="s">
        <v>44</v>
      </c>
      <c r="N14" s="12" t="s">
        <v>23</v>
      </c>
    </row>
    <row r="15" customFormat="false" ht="36" hidden="false" customHeight="false" outlineLevel="0" collapsed="false">
      <c r="A15" s="20" t="s">
        <v>81</v>
      </c>
      <c r="B15" s="15" t="s">
        <v>82</v>
      </c>
      <c r="C15" s="20" t="s">
        <v>81</v>
      </c>
      <c r="D15" s="9" t="n">
        <v>19</v>
      </c>
      <c r="E15" s="9" t="s">
        <v>83</v>
      </c>
      <c r="F15" s="10" t="s">
        <v>84</v>
      </c>
      <c r="G15" s="10" t="s">
        <v>85</v>
      </c>
      <c r="H15" s="16" t="n">
        <v>1</v>
      </c>
      <c r="I15" s="17" t="s">
        <v>41</v>
      </c>
      <c r="J15" s="13" t="s">
        <v>86</v>
      </c>
      <c r="K15" s="12" t="s">
        <v>50</v>
      </c>
      <c r="L15" s="12" t="s">
        <v>21</v>
      </c>
      <c r="M15" s="12" t="s">
        <v>44</v>
      </c>
      <c r="N15" s="12" t="s">
        <v>23</v>
      </c>
    </row>
    <row r="16" customFormat="false" ht="27.5" hidden="false" customHeight="false" outlineLevel="0" collapsed="false">
      <c r="A16" s="7" t="s">
        <v>87</v>
      </c>
      <c r="B16" s="8" t="s">
        <v>88</v>
      </c>
      <c r="C16" s="7" t="s">
        <v>87</v>
      </c>
      <c r="D16" s="10" t="n">
        <v>8</v>
      </c>
      <c r="E16" s="10" t="s">
        <v>89</v>
      </c>
      <c r="F16" s="10" t="s">
        <v>90</v>
      </c>
      <c r="G16" s="10" t="s">
        <v>90</v>
      </c>
      <c r="H16" s="8" t="n">
        <v>1</v>
      </c>
      <c r="I16" s="11" t="s">
        <v>41</v>
      </c>
      <c r="J16" s="12" t="s">
        <v>91</v>
      </c>
      <c r="K16" s="12" t="s">
        <v>50</v>
      </c>
      <c r="L16" s="12" t="s">
        <v>21</v>
      </c>
      <c r="M16" s="12" t="s">
        <v>44</v>
      </c>
      <c r="N16" s="12" t="s">
        <v>23</v>
      </c>
    </row>
    <row r="17" customFormat="false" ht="27.5" hidden="false" customHeight="false" outlineLevel="0" collapsed="false">
      <c r="A17" s="20" t="s">
        <v>92</v>
      </c>
      <c r="B17" s="15" t="s">
        <v>93</v>
      </c>
      <c r="C17" s="20" t="s">
        <v>92</v>
      </c>
      <c r="D17" s="9" t="n">
        <v>5</v>
      </c>
      <c r="E17" s="9" t="s">
        <v>63</v>
      </c>
      <c r="F17" s="10" t="s">
        <v>94</v>
      </c>
      <c r="G17" s="10" t="s">
        <v>94</v>
      </c>
      <c r="H17" s="16" t="n">
        <v>1</v>
      </c>
      <c r="I17" s="17" t="s">
        <v>41</v>
      </c>
      <c r="J17" s="13" t="s">
        <v>95</v>
      </c>
      <c r="K17" s="13" t="s">
        <v>50</v>
      </c>
      <c r="L17" s="12" t="s">
        <v>21</v>
      </c>
      <c r="M17" s="12" t="s">
        <v>44</v>
      </c>
      <c r="N17" s="12" t="s">
        <v>23</v>
      </c>
    </row>
    <row r="18" customFormat="false" ht="66.75" hidden="false" customHeight="true" outlineLevel="0" collapsed="false">
      <c r="A18" s="20" t="s">
        <v>96</v>
      </c>
      <c r="B18" s="15" t="s">
        <v>97</v>
      </c>
      <c r="C18" s="20" t="s">
        <v>96</v>
      </c>
      <c r="D18" s="9" t="n">
        <v>11</v>
      </c>
      <c r="E18" s="10" t="s">
        <v>69</v>
      </c>
      <c r="F18" s="10" t="s">
        <v>98</v>
      </c>
      <c r="G18" s="10" t="s">
        <v>99</v>
      </c>
      <c r="H18" s="16" t="n">
        <v>1</v>
      </c>
      <c r="I18" s="17" t="s">
        <v>41</v>
      </c>
      <c r="J18" s="13" t="s">
        <v>100</v>
      </c>
      <c r="K18" s="13" t="s">
        <v>50</v>
      </c>
      <c r="L18" s="12" t="s">
        <v>21</v>
      </c>
      <c r="M18" s="12" t="s">
        <v>44</v>
      </c>
      <c r="N18" s="12" t="s">
        <v>23</v>
      </c>
    </row>
    <row r="19" customFormat="false" ht="44.5" hidden="false" customHeight="false" outlineLevel="0" collapsed="false">
      <c r="A19" s="20" t="s">
        <v>101</v>
      </c>
      <c r="B19" s="15" t="s">
        <v>102</v>
      </c>
      <c r="C19" s="20" t="s">
        <v>101</v>
      </c>
      <c r="D19" s="9" t="n">
        <v>11</v>
      </c>
      <c r="E19" s="10" t="s">
        <v>69</v>
      </c>
      <c r="F19" s="10" t="s">
        <v>98</v>
      </c>
      <c r="G19" s="10" t="s">
        <v>99</v>
      </c>
      <c r="H19" s="16" t="n">
        <v>1</v>
      </c>
      <c r="I19" s="17" t="s">
        <v>41</v>
      </c>
      <c r="J19" s="13" t="s">
        <v>103</v>
      </c>
      <c r="K19" s="13" t="s">
        <v>50</v>
      </c>
      <c r="L19" s="12" t="s">
        <v>21</v>
      </c>
      <c r="M19" s="12" t="s">
        <v>44</v>
      </c>
      <c r="N19" s="12" t="s">
        <v>23</v>
      </c>
    </row>
    <row r="20" customFormat="false" ht="61.5" hidden="false" customHeight="false" outlineLevel="0" collapsed="false">
      <c r="A20" s="20" t="s">
        <v>104</v>
      </c>
      <c r="B20" s="15" t="s">
        <v>105</v>
      </c>
      <c r="C20" s="20" t="s">
        <v>104</v>
      </c>
      <c r="D20" s="9" t="n">
        <v>22</v>
      </c>
      <c r="E20" s="9" t="s">
        <v>47</v>
      </c>
      <c r="F20" s="10" t="s">
        <v>106</v>
      </c>
      <c r="G20" s="10" t="s">
        <v>106</v>
      </c>
      <c r="H20" s="16" t="n">
        <v>1</v>
      </c>
      <c r="I20" s="17" t="s">
        <v>41</v>
      </c>
      <c r="J20" s="13" t="s">
        <v>107</v>
      </c>
      <c r="K20" s="13" t="s">
        <v>50</v>
      </c>
      <c r="L20" s="12" t="s">
        <v>21</v>
      </c>
      <c r="M20" s="12" t="s">
        <v>44</v>
      </c>
      <c r="N20" s="12" t="s">
        <v>23</v>
      </c>
    </row>
    <row r="21" customFormat="false" ht="27.5" hidden="false" customHeight="false" outlineLevel="0" collapsed="false">
      <c r="A21" s="7" t="s">
        <v>108</v>
      </c>
      <c r="B21" s="8" t="s">
        <v>109</v>
      </c>
      <c r="C21" s="7" t="s">
        <v>108</v>
      </c>
      <c r="D21" s="10" t="n">
        <v>5</v>
      </c>
      <c r="E21" s="10" t="s">
        <v>63</v>
      </c>
      <c r="F21" s="10" t="s">
        <v>98</v>
      </c>
      <c r="G21" s="10" t="s">
        <v>98</v>
      </c>
      <c r="H21" s="8" t="n">
        <v>1</v>
      </c>
      <c r="I21" s="11" t="s">
        <v>41</v>
      </c>
      <c r="J21" s="12" t="s">
        <v>110</v>
      </c>
      <c r="K21" s="12" t="s">
        <v>50</v>
      </c>
      <c r="L21" s="12" t="s">
        <v>21</v>
      </c>
      <c r="M21" s="12" t="s">
        <v>44</v>
      </c>
      <c r="N21" s="12" t="s">
        <v>23</v>
      </c>
    </row>
    <row r="22" customFormat="false" ht="61.5" hidden="false" customHeight="false" outlineLevel="0" collapsed="false">
      <c r="A22" s="7" t="s">
        <v>111</v>
      </c>
      <c r="B22" s="8" t="s">
        <v>112</v>
      </c>
      <c r="C22" s="7" t="s">
        <v>111</v>
      </c>
      <c r="D22" s="10" t="n">
        <v>9</v>
      </c>
      <c r="E22" s="10" t="s">
        <v>113</v>
      </c>
      <c r="F22" s="10" t="s">
        <v>98</v>
      </c>
      <c r="G22" s="10" t="s">
        <v>98</v>
      </c>
      <c r="H22" s="8" t="n">
        <v>1</v>
      </c>
      <c r="I22" s="11" t="s">
        <v>41</v>
      </c>
      <c r="J22" s="12" t="s">
        <v>114</v>
      </c>
      <c r="K22" s="12" t="s">
        <v>50</v>
      </c>
      <c r="L22" s="12" t="s">
        <v>21</v>
      </c>
      <c r="M22" s="12" t="s">
        <v>44</v>
      </c>
      <c r="N22" s="12" t="s">
        <v>23</v>
      </c>
    </row>
    <row r="23" customFormat="false" ht="36" hidden="false" customHeight="false" outlineLevel="0" collapsed="false">
      <c r="A23" s="20" t="s">
        <v>115</v>
      </c>
      <c r="B23" s="15" t="s">
        <v>116</v>
      </c>
      <c r="C23" s="20" t="s">
        <v>115</v>
      </c>
      <c r="D23" s="10" t="n">
        <v>21</v>
      </c>
      <c r="E23" s="10" t="s">
        <v>117</v>
      </c>
      <c r="F23" s="10" t="s">
        <v>118</v>
      </c>
      <c r="G23" s="10" t="s">
        <v>119</v>
      </c>
      <c r="H23" s="16" t="n">
        <v>1</v>
      </c>
      <c r="I23" s="17" t="s">
        <v>41</v>
      </c>
      <c r="J23" s="13" t="s">
        <v>120</v>
      </c>
      <c r="K23" s="13" t="s">
        <v>50</v>
      </c>
      <c r="L23" s="12" t="s">
        <v>21</v>
      </c>
      <c r="M23" s="12" t="s">
        <v>44</v>
      </c>
      <c r="N23" s="12" t="s">
        <v>23</v>
      </c>
    </row>
    <row r="24" customFormat="false" ht="74.25" hidden="false" customHeight="true" outlineLevel="0" collapsed="false">
      <c r="A24" s="20" t="s">
        <v>121</v>
      </c>
      <c r="B24" s="15" t="s">
        <v>122</v>
      </c>
      <c r="C24" s="20" t="s">
        <v>121</v>
      </c>
      <c r="D24" s="10" t="n">
        <v>21</v>
      </c>
      <c r="E24" s="10" t="s">
        <v>117</v>
      </c>
      <c r="F24" s="10" t="s">
        <v>123</v>
      </c>
      <c r="G24" s="10" t="s">
        <v>119</v>
      </c>
      <c r="H24" s="16" t="n">
        <v>1</v>
      </c>
      <c r="I24" s="17" t="s">
        <v>41</v>
      </c>
      <c r="J24" s="13" t="s">
        <v>124</v>
      </c>
      <c r="K24" s="13" t="s">
        <v>50</v>
      </c>
      <c r="L24" s="12" t="s">
        <v>21</v>
      </c>
      <c r="M24" s="12" t="s">
        <v>44</v>
      </c>
      <c r="N24" s="12" t="s">
        <v>23</v>
      </c>
    </row>
    <row r="25" customFormat="false" ht="27.5" hidden="false" customHeight="false" outlineLevel="0" collapsed="false">
      <c r="A25" s="20" t="s">
        <v>125</v>
      </c>
      <c r="B25" s="15" t="s">
        <v>126</v>
      </c>
      <c r="C25" s="20" t="s">
        <v>125</v>
      </c>
      <c r="D25" s="9" t="n">
        <v>3</v>
      </c>
      <c r="E25" s="10" t="s">
        <v>39</v>
      </c>
      <c r="F25" s="10" t="s">
        <v>127</v>
      </c>
      <c r="G25" s="10" t="s">
        <v>127</v>
      </c>
      <c r="H25" s="16" t="n">
        <v>1</v>
      </c>
      <c r="I25" s="17" t="s">
        <v>41</v>
      </c>
      <c r="J25" s="13" t="s">
        <v>128</v>
      </c>
      <c r="K25" s="13" t="s">
        <v>50</v>
      </c>
      <c r="L25" s="12" t="s">
        <v>21</v>
      </c>
      <c r="M25" s="12" t="s">
        <v>29</v>
      </c>
      <c r="N25" s="12" t="s">
        <v>23</v>
      </c>
    </row>
    <row r="26" customFormat="false" ht="36" hidden="false" customHeight="false" outlineLevel="0" collapsed="false">
      <c r="A26" s="20" t="s">
        <v>129</v>
      </c>
      <c r="B26" s="15" t="s">
        <v>130</v>
      </c>
      <c r="C26" s="20" t="s">
        <v>129</v>
      </c>
      <c r="D26" s="9" t="n">
        <v>3</v>
      </c>
      <c r="E26" s="9" t="s">
        <v>39</v>
      </c>
      <c r="F26" s="10" t="s">
        <v>127</v>
      </c>
      <c r="G26" s="10" t="s">
        <v>127</v>
      </c>
      <c r="H26" s="16" t="n">
        <v>1</v>
      </c>
      <c r="I26" s="17" t="s">
        <v>41</v>
      </c>
      <c r="J26" s="13" t="s">
        <v>131</v>
      </c>
      <c r="K26" s="12" t="s">
        <v>50</v>
      </c>
      <c r="L26" s="12" t="s">
        <v>21</v>
      </c>
      <c r="M26" s="12" t="s">
        <v>44</v>
      </c>
      <c r="N26" s="12" t="s">
        <v>23</v>
      </c>
    </row>
    <row r="27" customFormat="false" ht="27.5" hidden="false" customHeight="false" outlineLevel="0" collapsed="false">
      <c r="A27" s="7" t="s">
        <v>132</v>
      </c>
      <c r="B27" s="8" t="s">
        <v>133</v>
      </c>
      <c r="C27" s="7" t="s">
        <v>132</v>
      </c>
      <c r="D27" s="10" t="n">
        <v>5</v>
      </c>
      <c r="E27" s="10" t="s">
        <v>63</v>
      </c>
      <c r="F27" s="10" t="s">
        <v>134</v>
      </c>
      <c r="G27" s="10" t="s">
        <v>134</v>
      </c>
      <c r="H27" s="8" t="n">
        <v>1</v>
      </c>
      <c r="I27" s="11" t="s">
        <v>41</v>
      </c>
      <c r="J27" s="12" t="s">
        <v>135</v>
      </c>
      <c r="K27" s="12" t="s">
        <v>50</v>
      </c>
      <c r="L27" s="12" t="s">
        <v>21</v>
      </c>
      <c r="M27" s="12" t="s">
        <v>44</v>
      </c>
      <c r="N27" s="12" t="s">
        <v>23</v>
      </c>
    </row>
    <row r="28" customFormat="false" ht="36" hidden="false" customHeight="false" outlineLevel="0" collapsed="false">
      <c r="A28" s="20" t="s">
        <v>136</v>
      </c>
      <c r="B28" s="15" t="s">
        <v>137</v>
      </c>
      <c r="C28" s="20" t="s">
        <v>136</v>
      </c>
      <c r="D28" s="9" t="n">
        <v>4</v>
      </c>
      <c r="E28" s="9" t="s">
        <v>15</v>
      </c>
      <c r="F28" s="10" t="s">
        <v>138</v>
      </c>
      <c r="G28" s="10" t="s">
        <v>15</v>
      </c>
      <c r="H28" s="16" t="n">
        <v>1</v>
      </c>
      <c r="I28" s="17" t="s">
        <v>41</v>
      </c>
      <c r="J28" s="13" t="s">
        <v>139</v>
      </c>
      <c r="K28" s="13" t="s">
        <v>50</v>
      </c>
      <c r="L28" s="12" t="s">
        <v>21</v>
      </c>
      <c r="M28" s="12" t="s">
        <v>44</v>
      </c>
      <c r="N28" s="12" t="s">
        <v>23</v>
      </c>
    </row>
    <row r="29" customFormat="false" ht="36" hidden="false" customHeight="false" outlineLevel="0" collapsed="false">
      <c r="A29" s="7" t="s">
        <v>140</v>
      </c>
      <c r="B29" s="8" t="s">
        <v>141</v>
      </c>
      <c r="C29" s="7" t="s">
        <v>140</v>
      </c>
      <c r="D29" s="10" t="n">
        <v>10</v>
      </c>
      <c r="E29" s="10" t="s">
        <v>142</v>
      </c>
      <c r="F29" s="10" t="s">
        <v>143</v>
      </c>
      <c r="G29" s="10" t="s">
        <v>143</v>
      </c>
      <c r="H29" s="8" t="n">
        <v>1</v>
      </c>
      <c r="I29" s="11" t="s">
        <v>41</v>
      </c>
      <c r="J29" s="12" t="s">
        <v>144</v>
      </c>
      <c r="K29" s="12" t="s">
        <v>50</v>
      </c>
      <c r="L29" s="12" t="s">
        <v>21</v>
      </c>
      <c r="M29" s="12" t="s">
        <v>44</v>
      </c>
      <c r="N29" s="12" t="s">
        <v>23</v>
      </c>
    </row>
    <row r="30" customFormat="false" ht="61.5" hidden="false" customHeight="false" outlineLevel="0" collapsed="false">
      <c r="A30" s="20" t="s">
        <v>145</v>
      </c>
      <c r="B30" s="15" t="s">
        <v>146</v>
      </c>
      <c r="C30" s="20" t="s">
        <v>145</v>
      </c>
      <c r="D30" s="9" t="n">
        <v>22</v>
      </c>
      <c r="E30" s="9" t="s">
        <v>47</v>
      </c>
      <c r="F30" s="10" t="s">
        <v>147</v>
      </c>
      <c r="G30" s="10" t="s">
        <v>147</v>
      </c>
      <c r="H30" s="16" t="n">
        <v>1</v>
      </c>
      <c r="I30" s="17" t="s">
        <v>41</v>
      </c>
      <c r="J30" s="13" t="s">
        <v>148</v>
      </c>
      <c r="K30" s="12" t="s">
        <v>50</v>
      </c>
      <c r="L30" s="12" t="s">
        <v>21</v>
      </c>
      <c r="M30" s="12" t="s">
        <v>44</v>
      </c>
      <c r="N30" s="12" t="s">
        <v>23</v>
      </c>
    </row>
    <row r="31" customFormat="false" ht="44.5" hidden="false" customHeight="false" outlineLevel="0" collapsed="false">
      <c r="A31" s="20" t="s">
        <v>149</v>
      </c>
      <c r="B31" s="15" t="s">
        <v>150</v>
      </c>
      <c r="C31" s="20" t="s">
        <v>149</v>
      </c>
      <c r="D31" s="9" t="n">
        <v>22</v>
      </c>
      <c r="E31" s="9" t="s">
        <v>47</v>
      </c>
      <c r="F31" s="10" t="s">
        <v>151</v>
      </c>
      <c r="G31" s="10" t="s">
        <v>151</v>
      </c>
      <c r="H31" s="16" t="n">
        <v>1</v>
      </c>
      <c r="I31" s="17" t="s">
        <v>41</v>
      </c>
      <c r="J31" s="13" t="s">
        <v>152</v>
      </c>
      <c r="K31" s="13" t="s">
        <v>50</v>
      </c>
      <c r="L31" s="12" t="s">
        <v>21</v>
      </c>
      <c r="M31" s="12" t="s">
        <v>44</v>
      </c>
      <c r="N31" s="12" t="s">
        <v>23</v>
      </c>
    </row>
    <row r="32" customFormat="false" ht="73.5" hidden="false" customHeight="true" outlineLevel="0" collapsed="false">
      <c r="A32" s="20" t="s">
        <v>153</v>
      </c>
      <c r="B32" s="15" t="s">
        <v>154</v>
      </c>
      <c r="C32" s="20" t="s">
        <v>153</v>
      </c>
      <c r="D32" s="10" t="n">
        <v>16</v>
      </c>
      <c r="E32" s="10" t="s">
        <v>155</v>
      </c>
      <c r="F32" s="10" t="s">
        <v>156</v>
      </c>
      <c r="G32" s="10" t="s">
        <v>157</v>
      </c>
      <c r="H32" s="16" t="n">
        <v>1</v>
      </c>
      <c r="I32" s="17" t="s">
        <v>41</v>
      </c>
      <c r="J32" s="13" t="s">
        <v>158</v>
      </c>
      <c r="K32" s="12" t="s">
        <v>50</v>
      </c>
      <c r="L32" s="12" t="s">
        <v>21</v>
      </c>
      <c r="M32" s="12" t="s">
        <v>44</v>
      </c>
      <c r="N32" s="12" t="s">
        <v>23</v>
      </c>
    </row>
    <row r="33" customFormat="false" ht="36" hidden="false" customHeight="false" outlineLevel="0" collapsed="false">
      <c r="A33" s="20" t="s">
        <v>159</v>
      </c>
      <c r="B33" s="15" t="s">
        <v>160</v>
      </c>
      <c r="C33" s="20" t="s">
        <v>159</v>
      </c>
      <c r="D33" s="10" t="n">
        <v>16</v>
      </c>
      <c r="E33" s="10" t="s">
        <v>155</v>
      </c>
      <c r="F33" s="10" t="s">
        <v>40</v>
      </c>
      <c r="G33" s="10" t="s">
        <v>157</v>
      </c>
      <c r="H33" s="16" t="n">
        <v>1</v>
      </c>
      <c r="I33" s="17" t="s">
        <v>41</v>
      </c>
      <c r="J33" s="13" t="s">
        <v>161</v>
      </c>
      <c r="K33" s="13" t="s">
        <v>50</v>
      </c>
      <c r="L33" s="12" t="s">
        <v>21</v>
      </c>
      <c r="M33" s="12" t="s">
        <v>44</v>
      </c>
      <c r="N33" s="12" t="s">
        <v>23</v>
      </c>
    </row>
    <row r="34" customFormat="false" ht="53" hidden="false" customHeight="false" outlineLevel="0" collapsed="false">
      <c r="A34" s="20" t="s">
        <v>162</v>
      </c>
      <c r="B34" s="15" t="s">
        <v>163</v>
      </c>
      <c r="C34" s="20" t="s">
        <v>162</v>
      </c>
      <c r="D34" s="9" t="n">
        <v>22</v>
      </c>
      <c r="E34" s="9" t="s">
        <v>47</v>
      </c>
      <c r="F34" s="10" t="s">
        <v>164</v>
      </c>
      <c r="G34" s="10" t="n">
        <v>0</v>
      </c>
      <c r="H34" s="16" t="n">
        <v>1</v>
      </c>
      <c r="I34" s="17" t="s">
        <v>41</v>
      </c>
      <c r="J34" s="13" t="s">
        <v>165</v>
      </c>
      <c r="K34" s="13" t="s">
        <v>50</v>
      </c>
      <c r="L34" s="12" t="s">
        <v>21</v>
      </c>
      <c r="M34" s="12" t="s">
        <v>44</v>
      </c>
      <c r="N34" s="12" t="s">
        <v>23</v>
      </c>
    </row>
    <row r="35" customFormat="false" ht="36" hidden="false" customHeight="false" outlineLevel="0" collapsed="false">
      <c r="A35" s="7" t="s">
        <v>166</v>
      </c>
      <c r="B35" s="8" t="s">
        <v>167</v>
      </c>
      <c r="C35" s="7" t="s">
        <v>166</v>
      </c>
      <c r="D35" s="10" t="n">
        <v>16</v>
      </c>
      <c r="E35" s="10" t="s">
        <v>168</v>
      </c>
      <c r="F35" s="10" t="n">
        <v>0</v>
      </c>
      <c r="G35" s="10" t="n">
        <v>0</v>
      </c>
      <c r="H35" s="8" t="n">
        <v>1</v>
      </c>
      <c r="I35" s="11" t="s">
        <v>41</v>
      </c>
      <c r="J35" s="12" t="s">
        <v>169</v>
      </c>
      <c r="K35" s="12" t="s">
        <v>50</v>
      </c>
      <c r="L35" s="12" t="s">
        <v>21</v>
      </c>
      <c r="M35" s="12" t="s">
        <v>44</v>
      </c>
      <c r="N35" s="12" t="s">
        <v>23</v>
      </c>
    </row>
    <row r="36" customFormat="false" ht="36" hidden="false" customHeight="false" outlineLevel="0" collapsed="false">
      <c r="A36" s="7" t="s">
        <v>170</v>
      </c>
      <c r="B36" s="8" t="s">
        <v>171</v>
      </c>
      <c r="C36" s="7" t="s">
        <v>170</v>
      </c>
      <c r="D36" s="10" t="n">
        <v>20</v>
      </c>
      <c r="E36" s="9" t="s">
        <v>53</v>
      </c>
      <c r="F36" s="10" t="s">
        <v>54</v>
      </c>
      <c r="G36" s="10" t="s">
        <v>55</v>
      </c>
      <c r="H36" s="8" t="n">
        <v>2</v>
      </c>
      <c r="I36" s="11" t="s">
        <v>172</v>
      </c>
      <c r="J36" s="12" t="s">
        <v>173</v>
      </c>
      <c r="K36" s="12" t="s">
        <v>174</v>
      </c>
      <c r="L36" s="12" t="s">
        <v>21</v>
      </c>
      <c r="M36" s="12" t="s">
        <v>29</v>
      </c>
      <c r="N36" s="12" t="s">
        <v>23</v>
      </c>
    </row>
    <row r="37" customFormat="false" ht="27.5" hidden="false" customHeight="false" outlineLevel="0" collapsed="false">
      <c r="A37" s="7" t="s">
        <v>175</v>
      </c>
      <c r="B37" s="8" t="s">
        <v>176</v>
      </c>
      <c r="C37" s="7" t="s">
        <v>175</v>
      </c>
      <c r="D37" s="10" t="n">
        <v>3</v>
      </c>
      <c r="E37" s="10" t="s">
        <v>39</v>
      </c>
      <c r="F37" s="10" t="s">
        <v>59</v>
      </c>
      <c r="G37" s="10" t="s">
        <v>59</v>
      </c>
      <c r="H37" s="8" t="n">
        <v>2</v>
      </c>
      <c r="I37" s="11" t="s">
        <v>172</v>
      </c>
      <c r="J37" s="12" t="s">
        <v>177</v>
      </c>
      <c r="K37" s="12" t="s">
        <v>43</v>
      </c>
      <c r="L37" s="12" t="s">
        <v>21</v>
      </c>
      <c r="M37" s="12" t="s">
        <v>44</v>
      </c>
      <c r="N37" s="12" t="s">
        <v>23</v>
      </c>
    </row>
    <row r="38" customFormat="false" ht="36" hidden="false" customHeight="false" outlineLevel="0" collapsed="false">
      <c r="A38" s="7" t="s">
        <v>178</v>
      </c>
      <c r="B38" s="8" t="s">
        <v>179</v>
      </c>
      <c r="C38" s="7" t="s">
        <v>178</v>
      </c>
      <c r="D38" s="10" t="n">
        <v>6</v>
      </c>
      <c r="E38" s="10" t="s">
        <v>180</v>
      </c>
      <c r="F38" s="10" t="s">
        <v>98</v>
      </c>
      <c r="G38" s="10" t="s">
        <v>181</v>
      </c>
      <c r="H38" s="8" t="n">
        <v>2</v>
      </c>
      <c r="I38" s="11" t="s">
        <v>172</v>
      </c>
      <c r="J38" s="12" t="s">
        <v>182</v>
      </c>
      <c r="K38" s="12" t="s">
        <v>50</v>
      </c>
      <c r="L38" s="12" t="s">
        <v>21</v>
      </c>
      <c r="M38" s="12" t="s">
        <v>44</v>
      </c>
      <c r="N38" s="12" t="s">
        <v>23</v>
      </c>
    </row>
    <row r="39" customFormat="false" ht="27.5" hidden="false" customHeight="false" outlineLevel="0" collapsed="false">
      <c r="A39" s="7" t="s">
        <v>183</v>
      </c>
      <c r="B39" s="8" t="s">
        <v>184</v>
      </c>
      <c r="C39" s="7" t="s">
        <v>183</v>
      </c>
      <c r="D39" s="10" t="n">
        <v>12</v>
      </c>
      <c r="E39" s="10" t="s">
        <v>185</v>
      </c>
      <c r="F39" s="10" t="s">
        <v>186</v>
      </c>
      <c r="G39" s="10" t="s">
        <v>185</v>
      </c>
      <c r="H39" s="8" t="n">
        <v>2</v>
      </c>
      <c r="I39" s="11" t="s">
        <v>172</v>
      </c>
      <c r="J39" s="12" t="s">
        <v>187</v>
      </c>
      <c r="K39" s="12" t="s">
        <v>43</v>
      </c>
      <c r="L39" s="12" t="s">
        <v>21</v>
      </c>
      <c r="M39" s="12" t="s">
        <v>44</v>
      </c>
      <c r="N39" s="12" t="s">
        <v>23</v>
      </c>
    </row>
    <row r="40" customFormat="false" ht="36" hidden="false" customHeight="false" outlineLevel="0" collapsed="false">
      <c r="A40" s="20" t="s">
        <v>188</v>
      </c>
      <c r="B40" s="15" t="s">
        <v>189</v>
      </c>
      <c r="C40" s="20" t="s">
        <v>188</v>
      </c>
      <c r="D40" s="9" t="n">
        <v>8</v>
      </c>
      <c r="E40" s="10" t="s">
        <v>89</v>
      </c>
      <c r="F40" s="10" t="s">
        <v>90</v>
      </c>
      <c r="G40" s="10" t="s">
        <v>90</v>
      </c>
      <c r="H40" s="16" t="n">
        <v>2</v>
      </c>
      <c r="I40" s="17" t="s">
        <v>172</v>
      </c>
      <c r="J40" s="13" t="s">
        <v>190</v>
      </c>
      <c r="K40" s="13" t="s">
        <v>191</v>
      </c>
      <c r="L40" s="12" t="s">
        <v>21</v>
      </c>
      <c r="M40" s="12" t="s">
        <v>29</v>
      </c>
      <c r="N40" s="12" t="s">
        <v>23</v>
      </c>
    </row>
    <row r="41" customFormat="false" ht="27.5" hidden="false" customHeight="false" outlineLevel="0" collapsed="false">
      <c r="A41" s="20" t="s">
        <v>192</v>
      </c>
      <c r="B41" s="15" t="s">
        <v>193</v>
      </c>
      <c r="C41" s="20" t="s">
        <v>192</v>
      </c>
      <c r="D41" s="9" t="n">
        <v>11</v>
      </c>
      <c r="E41" s="10" t="s">
        <v>69</v>
      </c>
      <c r="F41" s="10" t="s">
        <v>194</v>
      </c>
      <c r="G41" s="10" t="s">
        <v>194</v>
      </c>
      <c r="H41" s="16" t="n">
        <v>2</v>
      </c>
      <c r="I41" s="17" t="s">
        <v>172</v>
      </c>
      <c r="J41" s="13" t="s">
        <v>195</v>
      </c>
      <c r="K41" s="13" t="s">
        <v>196</v>
      </c>
      <c r="L41" s="12" t="s">
        <v>21</v>
      </c>
      <c r="M41" s="12" t="s">
        <v>29</v>
      </c>
      <c r="N41" s="12" t="s">
        <v>23</v>
      </c>
    </row>
    <row r="42" customFormat="false" ht="36" hidden="false" customHeight="false" outlineLevel="0" collapsed="false">
      <c r="A42" s="7" t="s">
        <v>197</v>
      </c>
      <c r="B42" s="8" t="s">
        <v>198</v>
      </c>
      <c r="C42" s="7" t="s">
        <v>197</v>
      </c>
      <c r="D42" s="9" t="n">
        <v>5</v>
      </c>
      <c r="E42" s="10" t="s">
        <v>63</v>
      </c>
      <c r="F42" s="10" t="s">
        <v>98</v>
      </c>
      <c r="G42" s="10" t="s">
        <v>98</v>
      </c>
      <c r="H42" s="8" t="n">
        <v>2</v>
      </c>
      <c r="I42" s="11" t="s">
        <v>172</v>
      </c>
      <c r="J42" s="12" t="s">
        <v>199</v>
      </c>
      <c r="K42" s="13" t="s">
        <v>200</v>
      </c>
      <c r="L42" s="12" t="s">
        <v>21</v>
      </c>
      <c r="M42" s="12" t="s">
        <v>29</v>
      </c>
      <c r="N42" s="12" t="s">
        <v>23</v>
      </c>
    </row>
    <row r="43" customFormat="false" ht="44.5" hidden="false" customHeight="false" outlineLevel="0" collapsed="false">
      <c r="A43" s="7" t="s">
        <v>201</v>
      </c>
      <c r="B43" s="8" t="s">
        <v>202</v>
      </c>
      <c r="C43" s="7" t="s">
        <v>201</v>
      </c>
      <c r="D43" s="9" t="n">
        <v>1</v>
      </c>
      <c r="E43" s="10" t="s">
        <v>203</v>
      </c>
      <c r="F43" s="10" t="s">
        <v>98</v>
      </c>
      <c r="G43" s="10" t="s">
        <v>98</v>
      </c>
      <c r="H43" s="8" t="n">
        <v>2</v>
      </c>
      <c r="I43" s="11" t="s">
        <v>172</v>
      </c>
      <c r="J43" s="12" t="s">
        <v>204</v>
      </c>
      <c r="K43" s="12" t="s">
        <v>50</v>
      </c>
      <c r="L43" s="12" t="s">
        <v>21</v>
      </c>
      <c r="M43" s="12" t="s">
        <v>44</v>
      </c>
      <c r="N43" s="12" t="s">
        <v>23</v>
      </c>
    </row>
    <row r="44" customFormat="false" ht="61.5" hidden="false" customHeight="false" outlineLevel="0" collapsed="false">
      <c r="A44" s="14" t="s">
        <v>205</v>
      </c>
      <c r="B44" s="15" t="s">
        <v>206</v>
      </c>
      <c r="C44" s="14" t="s">
        <v>205</v>
      </c>
      <c r="D44" s="9" t="n">
        <v>10</v>
      </c>
      <c r="E44" s="9" t="s">
        <v>142</v>
      </c>
      <c r="F44" s="10" t="s">
        <v>98</v>
      </c>
      <c r="G44" s="10" t="s">
        <v>98</v>
      </c>
      <c r="H44" s="16" t="n">
        <v>2</v>
      </c>
      <c r="I44" s="17" t="s">
        <v>172</v>
      </c>
      <c r="J44" s="18" t="s">
        <v>207</v>
      </c>
      <c r="K44" s="12" t="s">
        <v>50</v>
      </c>
      <c r="L44" s="12" t="s">
        <v>21</v>
      </c>
      <c r="M44" s="12" t="s">
        <v>44</v>
      </c>
      <c r="N44" s="12" t="s">
        <v>23</v>
      </c>
    </row>
    <row r="45" customFormat="false" ht="36" hidden="false" customHeight="false" outlineLevel="0" collapsed="false">
      <c r="A45" s="20" t="s">
        <v>208</v>
      </c>
      <c r="B45" s="15" t="s">
        <v>209</v>
      </c>
      <c r="C45" s="20" t="s">
        <v>208</v>
      </c>
      <c r="D45" s="9" t="n">
        <v>21</v>
      </c>
      <c r="E45" s="10" t="s">
        <v>117</v>
      </c>
      <c r="F45" s="10" t="s">
        <v>210</v>
      </c>
      <c r="G45" s="10" t="s">
        <v>119</v>
      </c>
      <c r="H45" s="16" t="n">
        <v>2</v>
      </c>
      <c r="I45" s="17" t="s">
        <v>172</v>
      </c>
      <c r="J45" s="13" t="s">
        <v>211</v>
      </c>
      <c r="K45" s="13" t="s">
        <v>196</v>
      </c>
      <c r="L45" s="12" t="s">
        <v>21</v>
      </c>
      <c r="M45" s="12" t="s">
        <v>29</v>
      </c>
      <c r="N45" s="12" t="s">
        <v>23</v>
      </c>
    </row>
    <row r="46" customFormat="false" ht="36" hidden="false" customHeight="false" outlineLevel="0" collapsed="false">
      <c r="A46" s="20" t="s">
        <v>212</v>
      </c>
      <c r="B46" s="15" t="s">
        <v>213</v>
      </c>
      <c r="C46" s="20" t="s">
        <v>212</v>
      </c>
      <c r="D46" s="9" t="n">
        <v>21</v>
      </c>
      <c r="E46" s="10" t="s">
        <v>117</v>
      </c>
      <c r="F46" s="10" t="s">
        <v>123</v>
      </c>
      <c r="G46" s="10" t="s">
        <v>119</v>
      </c>
      <c r="H46" s="16" t="n">
        <v>2</v>
      </c>
      <c r="I46" s="17" t="s">
        <v>172</v>
      </c>
      <c r="J46" s="13" t="s">
        <v>214</v>
      </c>
      <c r="K46" s="13" t="s">
        <v>215</v>
      </c>
      <c r="L46" s="12" t="s">
        <v>21</v>
      </c>
      <c r="M46" s="12" t="s">
        <v>29</v>
      </c>
      <c r="N46" s="12" t="s">
        <v>23</v>
      </c>
    </row>
    <row r="47" customFormat="false" ht="36" hidden="false" customHeight="false" outlineLevel="0" collapsed="false">
      <c r="A47" s="7" t="s">
        <v>216</v>
      </c>
      <c r="B47" s="8" t="s">
        <v>217</v>
      </c>
      <c r="C47" s="7" t="s">
        <v>216</v>
      </c>
      <c r="D47" s="10" t="n">
        <v>4</v>
      </c>
      <c r="E47" s="10" t="s">
        <v>15</v>
      </c>
      <c r="F47" s="10" t="s">
        <v>138</v>
      </c>
      <c r="G47" s="10" t="s">
        <v>15</v>
      </c>
      <c r="H47" s="8" t="n">
        <v>2</v>
      </c>
      <c r="I47" s="11" t="s">
        <v>172</v>
      </c>
      <c r="J47" s="12" t="s">
        <v>218</v>
      </c>
      <c r="K47" s="12" t="s">
        <v>50</v>
      </c>
      <c r="L47" s="12" t="s">
        <v>21</v>
      </c>
      <c r="M47" s="12" t="s">
        <v>44</v>
      </c>
      <c r="N47" s="12" t="s">
        <v>23</v>
      </c>
    </row>
    <row r="48" customFormat="false" ht="61.5" hidden="false" customHeight="false" outlineLevel="0" collapsed="false">
      <c r="A48" s="20" t="s">
        <v>219</v>
      </c>
      <c r="B48" s="15" t="s">
        <v>220</v>
      </c>
      <c r="C48" s="20" t="s">
        <v>219</v>
      </c>
      <c r="D48" s="9" t="n">
        <v>22</v>
      </c>
      <c r="E48" s="10" t="s">
        <v>47</v>
      </c>
      <c r="F48" s="10" t="s">
        <v>147</v>
      </c>
      <c r="G48" s="10" t="s">
        <v>147</v>
      </c>
      <c r="H48" s="16" t="n">
        <v>2</v>
      </c>
      <c r="I48" s="17" t="s">
        <v>172</v>
      </c>
      <c r="J48" s="13" t="s">
        <v>148</v>
      </c>
      <c r="K48" s="13" t="s">
        <v>221</v>
      </c>
      <c r="L48" s="12" t="s">
        <v>222</v>
      </c>
      <c r="M48" s="12" t="s">
        <v>223</v>
      </c>
      <c r="N48" s="12" t="s">
        <v>23</v>
      </c>
    </row>
    <row r="49" customFormat="false" ht="44.5" hidden="false" customHeight="false" outlineLevel="0" collapsed="false">
      <c r="A49" s="7" t="s">
        <v>224</v>
      </c>
      <c r="B49" s="8" t="s">
        <v>225</v>
      </c>
      <c r="C49" s="7" t="s">
        <v>224</v>
      </c>
      <c r="D49" s="10" t="n">
        <v>2</v>
      </c>
      <c r="E49" s="10" t="s">
        <v>226</v>
      </c>
      <c r="F49" s="10" t="s">
        <v>226</v>
      </c>
      <c r="G49" s="10" t="s">
        <v>226</v>
      </c>
      <c r="H49" s="8" t="n">
        <v>2</v>
      </c>
      <c r="I49" s="11" t="s">
        <v>172</v>
      </c>
      <c r="J49" s="12" t="s">
        <v>227</v>
      </c>
      <c r="K49" s="12" t="s">
        <v>50</v>
      </c>
      <c r="L49" s="12" t="s">
        <v>21</v>
      </c>
      <c r="M49" s="12" t="s">
        <v>44</v>
      </c>
      <c r="N49" s="12" t="s">
        <v>23</v>
      </c>
    </row>
    <row r="50" customFormat="false" ht="36" hidden="false" customHeight="false" outlineLevel="0" collapsed="false">
      <c r="A50" s="7" t="s">
        <v>228</v>
      </c>
      <c r="B50" s="8" t="s">
        <v>229</v>
      </c>
      <c r="C50" s="7" t="s">
        <v>228</v>
      </c>
      <c r="D50" s="9" t="n">
        <v>23</v>
      </c>
      <c r="E50" s="10" t="s">
        <v>230</v>
      </c>
      <c r="F50" s="10" t="s">
        <v>231</v>
      </c>
      <c r="G50" s="10" t="n">
        <v>0</v>
      </c>
      <c r="H50" s="8" t="n">
        <v>2</v>
      </c>
      <c r="I50" s="11" t="s">
        <v>172</v>
      </c>
      <c r="J50" s="12" t="s">
        <v>232</v>
      </c>
      <c r="K50" s="13" t="s">
        <v>196</v>
      </c>
      <c r="L50" s="12" t="s">
        <v>21</v>
      </c>
      <c r="M50" s="12" t="s">
        <v>29</v>
      </c>
      <c r="N50" s="12" t="s">
        <v>23</v>
      </c>
    </row>
    <row r="51" customFormat="false" ht="99.75" hidden="false" customHeight="true" outlineLevel="0" collapsed="false">
      <c r="A51" s="7" t="s">
        <v>233</v>
      </c>
      <c r="B51" s="8" t="s">
        <v>163</v>
      </c>
      <c r="C51" s="7" t="s">
        <v>233</v>
      </c>
      <c r="D51" s="10" t="n">
        <v>22</v>
      </c>
      <c r="E51" s="9" t="s">
        <v>47</v>
      </c>
      <c r="F51" s="10" t="s">
        <v>164</v>
      </c>
      <c r="G51" s="10" t="n">
        <v>0</v>
      </c>
      <c r="H51" s="8" t="n">
        <v>2</v>
      </c>
      <c r="I51" s="11" t="s">
        <v>172</v>
      </c>
      <c r="J51" s="12" t="s">
        <v>234</v>
      </c>
      <c r="K51" s="13" t="s">
        <v>50</v>
      </c>
      <c r="L51" s="12" t="s">
        <v>21</v>
      </c>
      <c r="M51" s="12" t="s">
        <v>44</v>
      </c>
      <c r="N51" s="12" t="s">
        <v>23</v>
      </c>
    </row>
    <row r="52" customFormat="false" ht="61.5" hidden="false" customHeight="false" outlineLevel="0" collapsed="false">
      <c r="A52" s="7" t="s">
        <v>235</v>
      </c>
      <c r="B52" s="8" t="s">
        <v>236</v>
      </c>
      <c r="C52" s="7" t="s">
        <v>235</v>
      </c>
      <c r="D52" s="10" t="n">
        <v>22</v>
      </c>
      <c r="E52" s="9" t="s">
        <v>47</v>
      </c>
      <c r="F52" s="10" t="s">
        <v>237</v>
      </c>
      <c r="G52" s="10" t="n">
        <v>0</v>
      </c>
      <c r="H52" s="8" t="n">
        <v>2</v>
      </c>
      <c r="I52" s="11" t="s">
        <v>172</v>
      </c>
      <c r="J52" s="12" t="s">
        <v>238</v>
      </c>
      <c r="K52" s="12" t="s">
        <v>50</v>
      </c>
      <c r="L52" s="12" t="s">
        <v>21</v>
      </c>
      <c r="M52" s="12" t="s">
        <v>44</v>
      </c>
      <c r="N52" s="12" t="s">
        <v>23</v>
      </c>
    </row>
    <row r="53" customFormat="false" ht="27.5" hidden="false" customHeight="false" outlineLevel="0" collapsed="false">
      <c r="A53" s="7" t="s">
        <v>239</v>
      </c>
      <c r="B53" s="8" t="s">
        <v>240</v>
      </c>
      <c r="C53" s="7" t="s">
        <v>239</v>
      </c>
      <c r="D53" s="9" t="n">
        <v>3</v>
      </c>
      <c r="E53" s="10" t="s">
        <v>39</v>
      </c>
      <c r="F53" s="10" t="s">
        <v>40</v>
      </c>
      <c r="G53" s="10" t="s">
        <v>40</v>
      </c>
      <c r="H53" s="8" t="n">
        <v>3</v>
      </c>
      <c r="I53" s="11" t="s">
        <v>241</v>
      </c>
      <c r="J53" s="12" t="s">
        <v>242</v>
      </c>
      <c r="K53" s="13" t="s">
        <v>243</v>
      </c>
      <c r="L53" s="12" t="s">
        <v>21</v>
      </c>
      <c r="M53" s="12" t="s">
        <v>223</v>
      </c>
      <c r="N53" s="12" t="s">
        <v>23</v>
      </c>
    </row>
    <row r="54" customFormat="false" ht="61.5" hidden="false" customHeight="false" outlineLevel="0" collapsed="false">
      <c r="A54" s="20" t="s">
        <v>244</v>
      </c>
      <c r="B54" s="15" t="s">
        <v>245</v>
      </c>
      <c r="C54" s="20" t="s">
        <v>244</v>
      </c>
      <c r="D54" s="9" t="n">
        <v>3</v>
      </c>
      <c r="E54" s="10" t="s">
        <v>39</v>
      </c>
      <c r="F54" s="10" t="s">
        <v>59</v>
      </c>
      <c r="G54" s="10" t="s">
        <v>246</v>
      </c>
      <c r="H54" s="8" t="n">
        <v>3</v>
      </c>
      <c r="I54" s="11" t="s">
        <v>241</v>
      </c>
      <c r="J54" s="13" t="s">
        <v>247</v>
      </c>
      <c r="K54" s="13" t="s">
        <v>248</v>
      </c>
      <c r="L54" s="12" t="s">
        <v>21</v>
      </c>
      <c r="M54" s="12" t="s">
        <v>223</v>
      </c>
      <c r="N54" s="12" t="s">
        <v>23</v>
      </c>
    </row>
    <row r="55" customFormat="false" ht="36" hidden="false" customHeight="false" outlineLevel="0" collapsed="false">
      <c r="A55" s="20" t="s">
        <v>249</v>
      </c>
      <c r="B55" s="15" t="s">
        <v>250</v>
      </c>
      <c r="C55" s="20" t="s">
        <v>249</v>
      </c>
      <c r="D55" s="9" t="n">
        <v>6</v>
      </c>
      <c r="E55" s="10" t="s">
        <v>180</v>
      </c>
      <c r="F55" s="10" t="s">
        <v>251</v>
      </c>
      <c r="G55" s="10" t="s">
        <v>251</v>
      </c>
      <c r="H55" s="8" t="n">
        <v>3</v>
      </c>
      <c r="I55" s="11" t="s">
        <v>241</v>
      </c>
      <c r="J55" s="13" t="s">
        <v>252</v>
      </c>
      <c r="K55" s="13" t="s">
        <v>253</v>
      </c>
      <c r="L55" s="12" t="s">
        <v>21</v>
      </c>
      <c r="M55" s="12" t="s">
        <v>223</v>
      </c>
      <c r="N55" s="12" t="s">
        <v>23</v>
      </c>
    </row>
    <row r="56" customFormat="false" ht="27.5" hidden="false" customHeight="false" outlineLevel="0" collapsed="false">
      <c r="A56" s="7" t="s">
        <v>254</v>
      </c>
      <c r="B56" s="8" t="s">
        <v>255</v>
      </c>
      <c r="C56" s="7" t="s">
        <v>254</v>
      </c>
      <c r="D56" s="9" t="n">
        <v>8</v>
      </c>
      <c r="E56" s="10" t="s">
        <v>89</v>
      </c>
      <c r="F56" s="10" t="s">
        <v>256</v>
      </c>
      <c r="G56" s="10" t="s">
        <v>256</v>
      </c>
      <c r="H56" s="8" t="n">
        <v>3</v>
      </c>
      <c r="I56" s="11" t="s">
        <v>241</v>
      </c>
      <c r="J56" s="12" t="s">
        <v>257</v>
      </c>
      <c r="K56" s="12" t="s">
        <v>50</v>
      </c>
      <c r="L56" s="12" t="s">
        <v>21</v>
      </c>
      <c r="M56" s="12" t="s">
        <v>223</v>
      </c>
      <c r="N56" s="12" t="s">
        <v>23</v>
      </c>
    </row>
    <row r="57" customFormat="false" ht="36" hidden="false" customHeight="false" outlineLevel="0" collapsed="false">
      <c r="A57" s="20" t="s">
        <v>258</v>
      </c>
      <c r="B57" s="15" t="s">
        <v>259</v>
      </c>
      <c r="C57" s="20" t="s">
        <v>258</v>
      </c>
      <c r="D57" s="9" t="n">
        <v>5</v>
      </c>
      <c r="E57" s="10" t="s">
        <v>63</v>
      </c>
      <c r="F57" s="10" t="s">
        <v>64</v>
      </c>
      <c r="G57" s="10" t="s">
        <v>65</v>
      </c>
      <c r="H57" s="8" t="n">
        <v>3</v>
      </c>
      <c r="I57" s="11" t="s">
        <v>241</v>
      </c>
      <c r="J57" s="13" t="s">
        <v>260</v>
      </c>
      <c r="K57" s="13" t="s">
        <v>261</v>
      </c>
      <c r="L57" s="12" t="s">
        <v>21</v>
      </c>
      <c r="M57" s="12" t="s">
        <v>223</v>
      </c>
      <c r="N57" s="12" t="s">
        <v>23</v>
      </c>
    </row>
    <row r="58" customFormat="false" ht="61.5" hidden="false" customHeight="false" outlineLevel="0" collapsed="false">
      <c r="A58" s="20" t="s">
        <v>262</v>
      </c>
      <c r="B58" s="15" t="s">
        <v>263</v>
      </c>
      <c r="C58" s="20" t="s">
        <v>262</v>
      </c>
      <c r="D58" s="9" t="n">
        <v>9</v>
      </c>
      <c r="E58" s="10" t="s">
        <v>113</v>
      </c>
      <c r="F58" s="10" t="s">
        <v>264</v>
      </c>
      <c r="G58" s="10" t="s">
        <v>265</v>
      </c>
      <c r="H58" s="8" t="n">
        <v>3</v>
      </c>
      <c r="I58" s="11" t="s">
        <v>241</v>
      </c>
      <c r="J58" s="13" t="s">
        <v>266</v>
      </c>
      <c r="K58" s="13" t="s">
        <v>267</v>
      </c>
      <c r="L58" s="12" t="s">
        <v>21</v>
      </c>
      <c r="M58" s="12" t="s">
        <v>223</v>
      </c>
      <c r="N58" s="12" t="s">
        <v>23</v>
      </c>
    </row>
    <row r="59" customFormat="false" ht="36" hidden="false" customHeight="false" outlineLevel="0" collapsed="false">
      <c r="A59" s="7" t="s">
        <v>268</v>
      </c>
      <c r="B59" s="8" t="s">
        <v>269</v>
      </c>
      <c r="C59" s="7" t="s">
        <v>268</v>
      </c>
      <c r="D59" s="9" t="n">
        <v>6</v>
      </c>
      <c r="E59" s="10" t="s">
        <v>180</v>
      </c>
      <c r="F59" s="10" t="s">
        <v>98</v>
      </c>
      <c r="G59" s="10" t="s">
        <v>181</v>
      </c>
      <c r="H59" s="8" t="n">
        <v>3</v>
      </c>
      <c r="I59" s="11" t="s">
        <v>241</v>
      </c>
      <c r="J59" s="12" t="s">
        <v>270</v>
      </c>
      <c r="K59" s="13" t="s">
        <v>43</v>
      </c>
      <c r="L59" s="12" t="s">
        <v>21</v>
      </c>
      <c r="M59" s="12" t="s">
        <v>223</v>
      </c>
      <c r="N59" s="12" t="s">
        <v>23</v>
      </c>
    </row>
    <row r="60" customFormat="false" ht="36" hidden="false" customHeight="false" outlineLevel="0" collapsed="false">
      <c r="A60" s="20" t="s">
        <v>271</v>
      </c>
      <c r="B60" s="15" t="s">
        <v>272</v>
      </c>
      <c r="C60" s="20" t="s">
        <v>271</v>
      </c>
      <c r="D60" s="9" t="n">
        <v>7</v>
      </c>
      <c r="E60" s="10" t="s">
        <v>273</v>
      </c>
      <c r="F60" s="10" t="s">
        <v>274</v>
      </c>
      <c r="G60" s="10" t="s">
        <v>275</v>
      </c>
      <c r="H60" s="8" t="n">
        <v>3</v>
      </c>
      <c r="I60" s="11" t="s">
        <v>241</v>
      </c>
      <c r="J60" s="13" t="s">
        <v>276</v>
      </c>
      <c r="K60" s="13" t="s">
        <v>277</v>
      </c>
      <c r="L60" s="12" t="s">
        <v>21</v>
      </c>
      <c r="M60" s="12" t="s">
        <v>223</v>
      </c>
      <c r="N60" s="12" t="s">
        <v>23</v>
      </c>
    </row>
    <row r="61" customFormat="false" ht="27.5" hidden="false" customHeight="false" outlineLevel="0" collapsed="false">
      <c r="A61" s="7" t="s">
        <v>278</v>
      </c>
      <c r="B61" s="8" t="s">
        <v>279</v>
      </c>
      <c r="C61" s="7" t="s">
        <v>278</v>
      </c>
      <c r="D61" s="9" t="n">
        <v>11</v>
      </c>
      <c r="E61" s="10" t="s">
        <v>69</v>
      </c>
      <c r="F61" s="10" t="s">
        <v>70</v>
      </c>
      <c r="G61" s="10" t="s">
        <v>70</v>
      </c>
      <c r="H61" s="8" t="n">
        <v>3</v>
      </c>
      <c r="I61" s="11" t="s">
        <v>241</v>
      </c>
      <c r="J61" s="12" t="s">
        <v>280</v>
      </c>
      <c r="K61" s="13" t="s">
        <v>281</v>
      </c>
      <c r="L61" s="12" t="s">
        <v>21</v>
      </c>
      <c r="M61" s="12" t="s">
        <v>223</v>
      </c>
      <c r="N61" s="12" t="s">
        <v>23</v>
      </c>
    </row>
    <row r="62" customFormat="false" ht="36" hidden="false" customHeight="false" outlineLevel="0" collapsed="false">
      <c r="A62" s="20" t="s">
        <v>282</v>
      </c>
      <c r="B62" s="15" t="s">
        <v>283</v>
      </c>
      <c r="C62" s="20" t="s">
        <v>282</v>
      </c>
      <c r="D62" s="9" t="n">
        <v>11</v>
      </c>
      <c r="E62" s="10" t="s">
        <v>69</v>
      </c>
      <c r="F62" s="10" t="s">
        <v>284</v>
      </c>
      <c r="G62" s="10" t="s">
        <v>284</v>
      </c>
      <c r="H62" s="8" t="n">
        <v>3</v>
      </c>
      <c r="I62" s="11" t="s">
        <v>241</v>
      </c>
      <c r="J62" s="13" t="s">
        <v>285</v>
      </c>
      <c r="K62" s="13" t="s">
        <v>286</v>
      </c>
      <c r="L62" s="12" t="s">
        <v>21</v>
      </c>
      <c r="M62" s="12" t="s">
        <v>223</v>
      </c>
      <c r="N62" s="12" t="s">
        <v>23</v>
      </c>
    </row>
    <row r="63" customFormat="false" ht="36" hidden="false" customHeight="false" outlineLevel="0" collapsed="false">
      <c r="A63" s="20" t="s">
        <v>287</v>
      </c>
      <c r="B63" s="15" t="s">
        <v>288</v>
      </c>
      <c r="C63" s="20" t="s">
        <v>287</v>
      </c>
      <c r="D63" s="9" t="n">
        <v>11</v>
      </c>
      <c r="E63" s="10" t="s">
        <v>69</v>
      </c>
      <c r="F63" s="10" t="s">
        <v>289</v>
      </c>
      <c r="G63" s="10" t="s">
        <v>290</v>
      </c>
      <c r="H63" s="8" t="n">
        <v>3</v>
      </c>
      <c r="I63" s="11" t="s">
        <v>241</v>
      </c>
      <c r="J63" s="13" t="s">
        <v>291</v>
      </c>
      <c r="K63" s="13" t="s">
        <v>292</v>
      </c>
      <c r="L63" s="12" t="s">
        <v>21</v>
      </c>
      <c r="M63" s="12" t="s">
        <v>223</v>
      </c>
      <c r="N63" s="12" t="s">
        <v>23</v>
      </c>
    </row>
    <row r="64" customFormat="false" ht="36" hidden="false" customHeight="false" outlineLevel="0" collapsed="false">
      <c r="A64" s="14" t="s">
        <v>293</v>
      </c>
      <c r="B64" s="15" t="s">
        <v>294</v>
      </c>
      <c r="C64" s="14" t="s">
        <v>293</v>
      </c>
      <c r="D64" s="9" t="n">
        <v>9</v>
      </c>
      <c r="E64" s="10" t="s">
        <v>295</v>
      </c>
      <c r="F64" s="10" t="s">
        <v>296</v>
      </c>
      <c r="G64" s="10" t="s">
        <v>296</v>
      </c>
      <c r="H64" s="8" t="n">
        <v>3</v>
      </c>
      <c r="I64" s="11" t="s">
        <v>241</v>
      </c>
      <c r="J64" s="18" t="s">
        <v>297</v>
      </c>
      <c r="K64" s="13" t="s">
        <v>267</v>
      </c>
      <c r="L64" s="12" t="s">
        <v>21</v>
      </c>
      <c r="M64" s="12" t="s">
        <v>223</v>
      </c>
      <c r="N64" s="12" t="s">
        <v>23</v>
      </c>
    </row>
    <row r="65" customFormat="false" ht="36" hidden="false" customHeight="false" outlineLevel="0" collapsed="false">
      <c r="A65" s="7" t="s">
        <v>298</v>
      </c>
      <c r="B65" s="8" t="s">
        <v>299</v>
      </c>
      <c r="C65" s="7" t="s">
        <v>298</v>
      </c>
      <c r="D65" s="9" t="n">
        <v>13</v>
      </c>
      <c r="E65" s="10" t="s">
        <v>79</v>
      </c>
      <c r="F65" s="10" t="s">
        <v>79</v>
      </c>
      <c r="G65" s="10" t="s">
        <v>79</v>
      </c>
      <c r="H65" s="8" t="n">
        <v>3</v>
      </c>
      <c r="I65" s="11" t="s">
        <v>241</v>
      </c>
      <c r="J65" s="12" t="s">
        <v>300</v>
      </c>
      <c r="K65" s="13" t="s">
        <v>301</v>
      </c>
      <c r="L65" s="12" t="s">
        <v>21</v>
      </c>
      <c r="M65" s="12" t="s">
        <v>223</v>
      </c>
      <c r="N65" s="12" t="s">
        <v>23</v>
      </c>
    </row>
    <row r="66" customFormat="false" ht="27.5" hidden="false" customHeight="false" outlineLevel="0" collapsed="false">
      <c r="A66" s="7" t="s">
        <v>302</v>
      </c>
      <c r="B66" s="8" t="s">
        <v>303</v>
      </c>
      <c r="C66" s="7" t="s">
        <v>302</v>
      </c>
      <c r="D66" s="9" t="n">
        <v>22</v>
      </c>
      <c r="E66" s="10" t="s">
        <v>47</v>
      </c>
      <c r="F66" s="10" t="s">
        <v>79</v>
      </c>
      <c r="G66" s="10" t="s">
        <v>79</v>
      </c>
      <c r="H66" s="8" t="n">
        <v>3</v>
      </c>
      <c r="I66" s="11" t="s">
        <v>241</v>
      </c>
      <c r="J66" s="12" t="s">
        <v>304</v>
      </c>
      <c r="K66" s="13" t="s">
        <v>305</v>
      </c>
      <c r="L66" s="12" t="s">
        <v>21</v>
      </c>
      <c r="M66" s="12" t="s">
        <v>223</v>
      </c>
      <c r="N66" s="12" t="s">
        <v>306</v>
      </c>
    </row>
    <row r="67" customFormat="false" ht="36" hidden="false" customHeight="false" outlineLevel="0" collapsed="false">
      <c r="A67" s="20" t="s">
        <v>307</v>
      </c>
      <c r="B67" s="15" t="s">
        <v>308</v>
      </c>
      <c r="C67" s="20" t="s">
        <v>307</v>
      </c>
      <c r="D67" s="9" t="n">
        <v>19</v>
      </c>
      <c r="E67" s="9" t="s">
        <v>83</v>
      </c>
      <c r="F67" s="10" t="s">
        <v>84</v>
      </c>
      <c r="G67" s="10" t="s">
        <v>85</v>
      </c>
      <c r="H67" s="8" t="n">
        <v>3</v>
      </c>
      <c r="I67" s="11" t="s">
        <v>241</v>
      </c>
      <c r="J67" s="13" t="s">
        <v>309</v>
      </c>
      <c r="K67" s="13" t="s">
        <v>310</v>
      </c>
      <c r="L67" s="12" t="s">
        <v>21</v>
      </c>
      <c r="M67" s="12" t="s">
        <v>223</v>
      </c>
      <c r="N67" s="12" t="s">
        <v>23</v>
      </c>
    </row>
    <row r="68" customFormat="false" ht="27.5" hidden="false" customHeight="false" outlineLevel="0" collapsed="false">
      <c r="A68" s="7" t="s">
        <v>311</v>
      </c>
      <c r="B68" s="8" t="s">
        <v>312</v>
      </c>
      <c r="C68" s="7" t="s">
        <v>311</v>
      </c>
      <c r="D68" s="9" t="n">
        <v>12</v>
      </c>
      <c r="E68" s="10" t="s">
        <v>185</v>
      </c>
      <c r="F68" s="10" t="s">
        <v>186</v>
      </c>
      <c r="G68" s="10" t="s">
        <v>185</v>
      </c>
      <c r="H68" s="8" t="n">
        <v>3</v>
      </c>
      <c r="I68" s="11" t="s">
        <v>241</v>
      </c>
      <c r="J68" s="12" t="s">
        <v>313</v>
      </c>
      <c r="K68" s="13" t="s">
        <v>314</v>
      </c>
      <c r="L68" s="12" t="s">
        <v>21</v>
      </c>
      <c r="M68" s="12" t="s">
        <v>223</v>
      </c>
      <c r="N68" s="12" t="s">
        <v>23</v>
      </c>
    </row>
    <row r="69" customFormat="false" ht="95.25" hidden="false" customHeight="true" outlineLevel="0" collapsed="false">
      <c r="A69" s="7" t="s">
        <v>315</v>
      </c>
      <c r="B69" s="8" t="s">
        <v>316</v>
      </c>
      <c r="C69" s="7" t="s">
        <v>315</v>
      </c>
      <c r="D69" s="9" t="n">
        <v>8</v>
      </c>
      <c r="E69" s="10" t="s">
        <v>89</v>
      </c>
      <c r="F69" s="10" t="s">
        <v>90</v>
      </c>
      <c r="G69" s="10" t="s">
        <v>90</v>
      </c>
      <c r="H69" s="8" t="n">
        <v>3</v>
      </c>
      <c r="I69" s="11" t="s">
        <v>241</v>
      </c>
      <c r="J69" s="12" t="s">
        <v>317</v>
      </c>
      <c r="K69" s="13" t="s">
        <v>191</v>
      </c>
      <c r="L69" s="12" t="s">
        <v>21</v>
      </c>
      <c r="M69" s="12" t="s">
        <v>223</v>
      </c>
      <c r="N69" s="12" t="s">
        <v>23</v>
      </c>
    </row>
    <row r="70" customFormat="false" ht="36" hidden="false" customHeight="false" outlineLevel="0" collapsed="false">
      <c r="A70" s="20" t="s">
        <v>318</v>
      </c>
      <c r="B70" s="15" t="s">
        <v>319</v>
      </c>
      <c r="C70" s="20" t="s">
        <v>318</v>
      </c>
      <c r="D70" s="9" t="n">
        <v>7</v>
      </c>
      <c r="E70" s="10" t="s">
        <v>273</v>
      </c>
      <c r="F70" s="10" t="s">
        <v>98</v>
      </c>
      <c r="G70" s="10" t="s">
        <v>118</v>
      </c>
      <c r="H70" s="8" t="n">
        <v>3</v>
      </c>
      <c r="I70" s="11" t="s">
        <v>241</v>
      </c>
      <c r="J70" s="13" t="s">
        <v>320</v>
      </c>
      <c r="K70" s="13" t="s">
        <v>321</v>
      </c>
      <c r="L70" s="12" t="s">
        <v>21</v>
      </c>
      <c r="M70" s="12" t="s">
        <v>223</v>
      </c>
      <c r="N70" s="12" t="s">
        <v>23</v>
      </c>
    </row>
    <row r="71" customFormat="false" ht="27.5" hidden="false" customHeight="false" outlineLevel="0" collapsed="false">
      <c r="A71" s="20" t="s">
        <v>322</v>
      </c>
      <c r="B71" s="15" t="s">
        <v>323</v>
      </c>
      <c r="C71" s="20" t="s">
        <v>322</v>
      </c>
      <c r="D71" s="9" t="n">
        <v>5</v>
      </c>
      <c r="E71" s="10" t="s">
        <v>63</v>
      </c>
      <c r="F71" s="10" t="s">
        <v>94</v>
      </c>
      <c r="G71" s="10" t="s">
        <v>94</v>
      </c>
      <c r="H71" s="8" t="n">
        <v>3</v>
      </c>
      <c r="I71" s="11" t="s">
        <v>241</v>
      </c>
      <c r="J71" s="13" t="s">
        <v>324</v>
      </c>
      <c r="K71" s="13" t="s">
        <v>325</v>
      </c>
      <c r="L71" s="12" t="s">
        <v>21</v>
      </c>
      <c r="M71" s="12" t="s">
        <v>223</v>
      </c>
      <c r="N71" s="12" t="s">
        <v>23</v>
      </c>
    </row>
    <row r="72" customFormat="false" ht="36" hidden="false" customHeight="false" outlineLevel="0" collapsed="false">
      <c r="A72" s="7" t="s">
        <v>326</v>
      </c>
      <c r="B72" s="8" t="s">
        <v>327</v>
      </c>
      <c r="C72" s="7" t="s">
        <v>326</v>
      </c>
      <c r="D72" s="9" t="n">
        <v>11</v>
      </c>
      <c r="E72" s="10" t="s">
        <v>69</v>
      </c>
      <c r="F72" s="10" t="s">
        <v>194</v>
      </c>
      <c r="G72" s="10" t="s">
        <v>194</v>
      </c>
      <c r="H72" s="8" t="n">
        <v>3</v>
      </c>
      <c r="I72" s="11" t="s">
        <v>241</v>
      </c>
      <c r="J72" s="12" t="s">
        <v>328</v>
      </c>
      <c r="K72" s="13" t="s">
        <v>329</v>
      </c>
      <c r="L72" s="12" t="s">
        <v>21</v>
      </c>
      <c r="M72" s="12" t="s">
        <v>223</v>
      </c>
      <c r="N72" s="12" t="s">
        <v>23</v>
      </c>
    </row>
    <row r="73" customFormat="false" ht="27.5" hidden="false" customHeight="false" outlineLevel="0" collapsed="false">
      <c r="A73" s="7" t="s">
        <v>330</v>
      </c>
      <c r="B73" s="8" t="s">
        <v>331</v>
      </c>
      <c r="C73" s="7" t="s">
        <v>330</v>
      </c>
      <c r="D73" s="9" t="n">
        <v>11</v>
      </c>
      <c r="E73" s="10" t="s">
        <v>69</v>
      </c>
      <c r="F73" s="10" t="s">
        <v>98</v>
      </c>
      <c r="G73" s="10" t="s">
        <v>99</v>
      </c>
      <c r="H73" s="8" t="n">
        <v>3</v>
      </c>
      <c r="I73" s="11" t="s">
        <v>241</v>
      </c>
      <c r="J73" s="12" t="s">
        <v>332</v>
      </c>
      <c r="K73" s="13" t="s">
        <v>196</v>
      </c>
      <c r="L73" s="12" t="s">
        <v>21</v>
      </c>
      <c r="M73" s="12" t="s">
        <v>223</v>
      </c>
      <c r="N73" s="12" t="s">
        <v>23</v>
      </c>
    </row>
    <row r="74" customFormat="false" ht="53" hidden="false" customHeight="false" outlineLevel="0" collapsed="false">
      <c r="A74" s="20" t="s">
        <v>333</v>
      </c>
      <c r="B74" s="15" t="s">
        <v>334</v>
      </c>
      <c r="C74" s="20" t="s">
        <v>333</v>
      </c>
      <c r="D74" s="9" t="n">
        <v>4</v>
      </c>
      <c r="E74" s="10" t="s">
        <v>15</v>
      </c>
      <c r="F74" s="10" t="s">
        <v>335</v>
      </c>
      <c r="G74" s="10" t="s">
        <v>335</v>
      </c>
      <c r="H74" s="8" t="n">
        <v>3</v>
      </c>
      <c r="I74" s="11" t="s">
        <v>241</v>
      </c>
      <c r="J74" s="18" t="s">
        <v>336</v>
      </c>
      <c r="K74" s="13" t="s">
        <v>321</v>
      </c>
      <c r="L74" s="12" t="s">
        <v>21</v>
      </c>
      <c r="M74" s="12" t="s">
        <v>223</v>
      </c>
      <c r="N74" s="12" t="s">
        <v>23</v>
      </c>
    </row>
    <row r="75" customFormat="false" ht="27.5" hidden="false" customHeight="false" outlineLevel="0" collapsed="false">
      <c r="A75" s="7" t="s">
        <v>337</v>
      </c>
      <c r="B75" s="8" t="s">
        <v>338</v>
      </c>
      <c r="C75" s="7" t="s">
        <v>337</v>
      </c>
      <c r="D75" s="9" t="n">
        <v>1</v>
      </c>
      <c r="E75" s="10" t="s">
        <v>203</v>
      </c>
      <c r="F75" s="10" t="s">
        <v>98</v>
      </c>
      <c r="G75" s="10" t="s">
        <v>98</v>
      </c>
      <c r="H75" s="8" t="n">
        <v>3</v>
      </c>
      <c r="I75" s="11" t="s">
        <v>241</v>
      </c>
      <c r="J75" s="12" t="s">
        <v>339</v>
      </c>
      <c r="K75" s="13" t="s">
        <v>43</v>
      </c>
      <c r="L75" s="12" t="s">
        <v>21</v>
      </c>
      <c r="M75" s="12" t="s">
        <v>223</v>
      </c>
      <c r="N75" s="12" t="s">
        <v>23</v>
      </c>
    </row>
    <row r="76" customFormat="false" ht="27.5" hidden="false" customHeight="false" outlineLevel="0" collapsed="false">
      <c r="A76" s="7" t="s">
        <v>340</v>
      </c>
      <c r="B76" s="8" t="s">
        <v>341</v>
      </c>
      <c r="C76" s="7" t="s">
        <v>340</v>
      </c>
      <c r="D76" s="9" t="n">
        <v>5</v>
      </c>
      <c r="E76" s="10" t="s">
        <v>63</v>
      </c>
      <c r="F76" s="10" t="s">
        <v>98</v>
      </c>
      <c r="G76" s="10" t="s">
        <v>98</v>
      </c>
      <c r="H76" s="8" t="n">
        <v>3</v>
      </c>
      <c r="I76" s="11" t="s">
        <v>241</v>
      </c>
      <c r="J76" s="12" t="s">
        <v>342</v>
      </c>
      <c r="K76" s="13" t="s">
        <v>196</v>
      </c>
      <c r="L76" s="12" t="s">
        <v>21</v>
      </c>
      <c r="M76" s="12" t="s">
        <v>223</v>
      </c>
      <c r="N76" s="12" t="s">
        <v>23</v>
      </c>
    </row>
    <row r="77" customFormat="false" ht="36" hidden="false" customHeight="false" outlineLevel="0" collapsed="false">
      <c r="A77" s="7" t="s">
        <v>343</v>
      </c>
      <c r="B77" s="8" t="s">
        <v>344</v>
      </c>
      <c r="C77" s="7" t="s">
        <v>343</v>
      </c>
      <c r="D77" s="9" t="n">
        <v>9</v>
      </c>
      <c r="E77" s="10" t="s">
        <v>113</v>
      </c>
      <c r="F77" s="10" t="s">
        <v>98</v>
      </c>
      <c r="G77" s="10" t="s">
        <v>98</v>
      </c>
      <c r="H77" s="8" t="n">
        <v>3</v>
      </c>
      <c r="I77" s="11" t="s">
        <v>241</v>
      </c>
      <c r="J77" s="12" t="s">
        <v>345</v>
      </c>
      <c r="K77" s="13" t="s">
        <v>267</v>
      </c>
      <c r="L77" s="12" t="s">
        <v>21</v>
      </c>
      <c r="M77" s="12" t="s">
        <v>223</v>
      </c>
      <c r="N77" s="12" t="s">
        <v>23</v>
      </c>
    </row>
    <row r="78" customFormat="false" ht="27.5" hidden="false" customHeight="false" outlineLevel="0" collapsed="false">
      <c r="A78" s="7" t="s">
        <v>346</v>
      </c>
      <c r="B78" s="8" t="s">
        <v>347</v>
      </c>
      <c r="C78" s="7" t="s">
        <v>346</v>
      </c>
      <c r="D78" s="9" t="n">
        <v>22</v>
      </c>
      <c r="E78" s="10" t="s">
        <v>47</v>
      </c>
      <c r="F78" s="10" t="s">
        <v>348</v>
      </c>
      <c r="G78" s="10" t="s">
        <v>349</v>
      </c>
      <c r="H78" s="8" t="n">
        <v>3</v>
      </c>
      <c r="I78" s="11" t="s">
        <v>241</v>
      </c>
      <c r="J78" s="12" t="s">
        <v>350</v>
      </c>
      <c r="K78" s="13" t="s">
        <v>351</v>
      </c>
      <c r="L78" s="12" t="s">
        <v>21</v>
      </c>
      <c r="M78" s="12" t="s">
        <v>223</v>
      </c>
      <c r="N78" s="12" t="s">
        <v>23</v>
      </c>
    </row>
    <row r="79" customFormat="false" ht="27.5" hidden="false" customHeight="false" outlineLevel="0" collapsed="false">
      <c r="A79" s="7" t="s">
        <v>352</v>
      </c>
      <c r="B79" s="8" t="s">
        <v>353</v>
      </c>
      <c r="C79" s="7" t="s">
        <v>352</v>
      </c>
      <c r="D79" s="9" t="n">
        <v>22</v>
      </c>
      <c r="E79" s="10" t="s">
        <v>47</v>
      </c>
      <c r="F79" s="10" t="s">
        <v>354</v>
      </c>
      <c r="G79" s="10" t="s">
        <v>354</v>
      </c>
      <c r="H79" s="8" t="n">
        <v>3</v>
      </c>
      <c r="I79" s="11" t="s">
        <v>241</v>
      </c>
      <c r="J79" s="12" t="s">
        <v>355</v>
      </c>
      <c r="K79" s="13" t="s">
        <v>356</v>
      </c>
      <c r="L79" s="12" t="s">
        <v>21</v>
      </c>
      <c r="M79" s="12" t="s">
        <v>223</v>
      </c>
      <c r="N79" s="12" t="s">
        <v>23</v>
      </c>
    </row>
    <row r="80" customFormat="false" ht="53" hidden="false" customHeight="false" outlineLevel="0" collapsed="false">
      <c r="A80" s="7" t="s">
        <v>357</v>
      </c>
      <c r="B80" s="8" t="s">
        <v>358</v>
      </c>
      <c r="C80" s="7" t="s">
        <v>357</v>
      </c>
      <c r="D80" s="9" t="n">
        <v>22</v>
      </c>
      <c r="E80" s="10" t="s">
        <v>47</v>
      </c>
      <c r="F80" s="10" t="s">
        <v>354</v>
      </c>
      <c r="G80" s="10" t="s">
        <v>354</v>
      </c>
      <c r="H80" s="8" t="n">
        <v>3</v>
      </c>
      <c r="I80" s="11" t="s">
        <v>241</v>
      </c>
      <c r="J80" s="12" t="s">
        <v>359</v>
      </c>
      <c r="K80" s="13" t="s">
        <v>356</v>
      </c>
      <c r="L80" s="12" t="s">
        <v>21</v>
      </c>
      <c r="M80" s="12" t="s">
        <v>223</v>
      </c>
      <c r="N80" s="12" t="s">
        <v>23</v>
      </c>
    </row>
    <row r="81" customFormat="false" ht="36" hidden="false" customHeight="false" outlineLevel="0" collapsed="false">
      <c r="A81" s="20" t="s">
        <v>360</v>
      </c>
      <c r="B81" s="15" t="s">
        <v>361</v>
      </c>
      <c r="C81" s="20" t="s">
        <v>360</v>
      </c>
      <c r="D81" s="9" t="n">
        <v>21</v>
      </c>
      <c r="E81" s="10" t="s">
        <v>117</v>
      </c>
      <c r="F81" s="10" t="s">
        <v>362</v>
      </c>
      <c r="G81" s="10" t="s">
        <v>119</v>
      </c>
      <c r="H81" s="8" t="n">
        <v>3</v>
      </c>
      <c r="I81" s="11" t="s">
        <v>241</v>
      </c>
      <c r="J81" s="13" t="s">
        <v>363</v>
      </c>
      <c r="K81" s="13" t="s">
        <v>321</v>
      </c>
      <c r="L81" s="12" t="s">
        <v>21</v>
      </c>
      <c r="M81" s="12" t="s">
        <v>223</v>
      </c>
      <c r="N81" s="12" t="s">
        <v>23</v>
      </c>
    </row>
    <row r="82" customFormat="false" ht="36" hidden="false" customHeight="false" outlineLevel="0" collapsed="false">
      <c r="A82" s="20" t="s">
        <v>364</v>
      </c>
      <c r="B82" s="15" t="s">
        <v>365</v>
      </c>
      <c r="C82" s="20" t="s">
        <v>364</v>
      </c>
      <c r="D82" s="9" t="n">
        <v>21</v>
      </c>
      <c r="E82" s="10" t="s">
        <v>117</v>
      </c>
      <c r="F82" s="10" t="s">
        <v>123</v>
      </c>
      <c r="G82" s="10" t="s">
        <v>119</v>
      </c>
      <c r="H82" s="8" t="n">
        <v>3</v>
      </c>
      <c r="I82" s="11" t="s">
        <v>241</v>
      </c>
      <c r="J82" s="13" t="s">
        <v>366</v>
      </c>
      <c r="K82" s="13" t="s">
        <v>367</v>
      </c>
      <c r="L82" s="12" t="s">
        <v>21</v>
      </c>
      <c r="M82" s="12" t="s">
        <v>223</v>
      </c>
      <c r="N82" s="12" t="s">
        <v>23</v>
      </c>
    </row>
    <row r="83" customFormat="false" ht="36" hidden="false" customHeight="false" outlineLevel="0" collapsed="false">
      <c r="A83" s="7" t="s">
        <v>368</v>
      </c>
      <c r="B83" s="8" t="s">
        <v>369</v>
      </c>
      <c r="C83" s="7" t="s">
        <v>368</v>
      </c>
      <c r="D83" s="9" t="n">
        <v>22</v>
      </c>
      <c r="E83" s="9" t="s">
        <v>47</v>
      </c>
      <c r="F83" s="10" t="s">
        <v>370</v>
      </c>
      <c r="G83" s="10" t="s">
        <v>370</v>
      </c>
      <c r="H83" s="8" t="n">
        <v>3</v>
      </c>
      <c r="I83" s="11" t="s">
        <v>241</v>
      </c>
      <c r="J83" s="12" t="s">
        <v>371</v>
      </c>
      <c r="K83" s="13" t="s">
        <v>305</v>
      </c>
      <c r="L83" s="12" t="s">
        <v>21</v>
      </c>
      <c r="M83" s="12" t="s">
        <v>223</v>
      </c>
      <c r="N83" s="12" t="s">
        <v>23</v>
      </c>
    </row>
    <row r="84" customFormat="false" ht="36" hidden="false" customHeight="false" outlineLevel="0" collapsed="false">
      <c r="A84" s="20" t="s">
        <v>372</v>
      </c>
      <c r="B84" s="15" t="s">
        <v>373</v>
      </c>
      <c r="C84" s="20" t="s">
        <v>372</v>
      </c>
      <c r="D84" s="9" t="n">
        <v>7</v>
      </c>
      <c r="E84" s="10" t="s">
        <v>273</v>
      </c>
      <c r="F84" s="10" t="s">
        <v>374</v>
      </c>
      <c r="G84" s="10" t="s">
        <v>375</v>
      </c>
      <c r="H84" s="8" t="n">
        <v>3</v>
      </c>
      <c r="I84" s="11" t="s">
        <v>241</v>
      </c>
      <c r="J84" s="13" t="s">
        <v>376</v>
      </c>
      <c r="K84" s="13" t="s">
        <v>277</v>
      </c>
      <c r="L84" s="12" t="s">
        <v>21</v>
      </c>
      <c r="M84" s="12" t="s">
        <v>223</v>
      </c>
      <c r="N84" s="12" t="s">
        <v>23</v>
      </c>
    </row>
    <row r="85" customFormat="false" ht="36" hidden="false" customHeight="false" outlineLevel="0" collapsed="false">
      <c r="A85" s="20" t="s">
        <v>377</v>
      </c>
      <c r="B85" s="15" t="s">
        <v>378</v>
      </c>
      <c r="C85" s="20" t="s">
        <v>377</v>
      </c>
      <c r="D85" s="9" t="n">
        <v>3</v>
      </c>
      <c r="E85" s="10" t="s">
        <v>39</v>
      </c>
      <c r="F85" s="10" t="s">
        <v>127</v>
      </c>
      <c r="G85" s="10" t="s">
        <v>127</v>
      </c>
      <c r="H85" s="8" t="n">
        <v>3</v>
      </c>
      <c r="I85" s="11" t="s">
        <v>241</v>
      </c>
      <c r="J85" s="13" t="s">
        <v>379</v>
      </c>
      <c r="K85" s="13" t="s">
        <v>380</v>
      </c>
      <c r="L85" s="12" t="s">
        <v>21</v>
      </c>
      <c r="M85" s="12" t="s">
        <v>223</v>
      </c>
      <c r="N85" s="12" t="s">
        <v>23</v>
      </c>
    </row>
    <row r="86" customFormat="false" ht="36" hidden="false" customHeight="false" outlineLevel="0" collapsed="false">
      <c r="A86" s="20" t="s">
        <v>381</v>
      </c>
      <c r="B86" s="15" t="s">
        <v>382</v>
      </c>
      <c r="C86" s="20" t="s">
        <v>381</v>
      </c>
      <c r="D86" s="9" t="n">
        <v>5</v>
      </c>
      <c r="E86" s="10" t="s">
        <v>63</v>
      </c>
      <c r="F86" s="10" t="s">
        <v>134</v>
      </c>
      <c r="G86" s="10" t="s">
        <v>134</v>
      </c>
      <c r="H86" s="8" t="n">
        <v>3</v>
      </c>
      <c r="I86" s="11" t="s">
        <v>241</v>
      </c>
      <c r="J86" s="13" t="s">
        <v>383</v>
      </c>
      <c r="K86" s="13" t="s">
        <v>384</v>
      </c>
      <c r="L86" s="12" t="s">
        <v>21</v>
      </c>
      <c r="M86" s="12" t="s">
        <v>223</v>
      </c>
      <c r="N86" s="12" t="s">
        <v>23</v>
      </c>
    </row>
    <row r="87" customFormat="false" ht="44.5" hidden="false" customHeight="false" outlineLevel="0" collapsed="false">
      <c r="A87" s="7" t="s">
        <v>385</v>
      </c>
      <c r="B87" s="8" t="s">
        <v>386</v>
      </c>
      <c r="C87" s="7" t="s">
        <v>385</v>
      </c>
      <c r="D87" s="9" t="n">
        <v>4</v>
      </c>
      <c r="E87" s="10" t="s">
        <v>15</v>
      </c>
      <c r="F87" s="10" t="s">
        <v>138</v>
      </c>
      <c r="G87" s="10" t="s">
        <v>15</v>
      </c>
      <c r="H87" s="8" t="n">
        <v>3</v>
      </c>
      <c r="I87" s="11" t="s">
        <v>241</v>
      </c>
      <c r="J87" s="12" t="s">
        <v>387</v>
      </c>
      <c r="K87" s="13" t="s">
        <v>388</v>
      </c>
      <c r="L87" s="12" t="s">
        <v>21</v>
      </c>
      <c r="M87" s="12" t="s">
        <v>223</v>
      </c>
      <c r="N87" s="12" t="s">
        <v>23</v>
      </c>
    </row>
    <row r="88" customFormat="false" ht="36" hidden="false" customHeight="false" outlineLevel="0" collapsed="false">
      <c r="A88" s="7" t="s">
        <v>389</v>
      </c>
      <c r="B88" s="8" t="s">
        <v>390</v>
      </c>
      <c r="C88" s="7" t="s">
        <v>389</v>
      </c>
      <c r="D88" s="9" t="n">
        <v>10</v>
      </c>
      <c r="E88" s="10" t="s">
        <v>142</v>
      </c>
      <c r="F88" s="10" t="s">
        <v>143</v>
      </c>
      <c r="G88" s="10" t="s">
        <v>143</v>
      </c>
      <c r="H88" s="8" t="n">
        <v>3</v>
      </c>
      <c r="I88" s="11" t="s">
        <v>241</v>
      </c>
      <c r="J88" s="12" t="s">
        <v>391</v>
      </c>
      <c r="K88" s="13" t="s">
        <v>392</v>
      </c>
      <c r="L88" s="12" t="s">
        <v>21</v>
      </c>
      <c r="M88" s="12" t="s">
        <v>223</v>
      </c>
      <c r="N88" s="12" t="s">
        <v>23</v>
      </c>
    </row>
    <row r="89" customFormat="false" ht="36" hidden="false" customHeight="false" outlineLevel="0" collapsed="false">
      <c r="A89" s="7" t="s">
        <v>393</v>
      </c>
      <c r="B89" s="8" t="s">
        <v>394</v>
      </c>
      <c r="C89" s="7" t="s">
        <v>393</v>
      </c>
      <c r="D89" s="9" t="n">
        <v>10</v>
      </c>
      <c r="E89" s="10" t="s">
        <v>142</v>
      </c>
      <c r="F89" s="10" t="s">
        <v>143</v>
      </c>
      <c r="G89" s="10" t="s">
        <v>143</v>
      </c>
      <c r="H89" s="8" t="n">
        <v>3</v>
      </c>
      <c r="I89" s="11" t="s">
        <v>241</v>
      </c>
      <c r="J89" s="12" t="s">
        <v>395</v>
      </c>
      <c r="K89" s="13" t="s">
        <v>392</v>
      </c>
      <c r="L89" s="12" t="s">
        <v>21</v>
      </c>
      <c r="M89" s="12" t="s">
        <v>223</v>
      </c>
      <c r="N89" s="12" t="s">
        <v>23</v>
      </c>
    </row>
    <row r="90" customFormat="false" ht="44.5" hidden="false" customHeight="false" outlineLevel="0" collapsed="false">
      <c r="A90" s="14" t="s">
        <v>396</v>
      </c>
      <c r="B90" s="15" t="s">
        <v>397</v>
      </c>
      <c r="C90" s="14" t="s">
        <v>396</v>
      </c>
      <c r="D90" s="9" t="n">
        <v>22</v>
      </c>
      <c r="E90" s="10" t="s">
        <v>47</v>
      </c>
      <c r="F90" s="10" t="s">
        <v>398</v>
      </c>
      <c r="G90" s="10" t="s">
        <v>39</v>
      </c>
      <c r="H90" s="8" t="n">
        <v>3</v>
      </c>
      <c r="I90" s="11" t="s">
        <v>241</v>
      </c>
      <c r="J90" s="18" t="s">
        <v>399</v>
      </c>
      <c r="K90" s="13" t="s">
        <v>305</v>
      </c>
      <c r="L90" s="12" t="s">
        <v>21</v>
      </c>
      <c r="M90" s="12" t="s">
        <v>223</v>
      </c>
      <c r="N90" s="12" t="s">
        <v>306</v>
      </c>
    </row>
    <row r="91" customFormat="false" ht="53" hidden="false" customHeight="false" outlineLevel="0" collapsed="false">
      <c r="A91" s="20" t="s">
        <v>400</v>
      </c>
      <c r="B91" s="15" t="s">
        <v>401</v>
      </c>
      <c r="C91" s="20" t="s">
        <v>400</v>
      </c>
      <c r="D91" s="9" t="n">
        <v>12</v>
      </c>
      <c r="E91" s="10" t="s">
        <v>185</v>
      </c>
      <c r="F91" s="10" t="s">
        <v>186</v>
      </c>
      <c r="G91" s="10" t="s">
        <v>402</v>
      </c>
      <c r="H91" s="8" t="n">
        <v>3</v>
      </c>
      <c r="I91" s="11" t="s">
        <v>241</v>
      </c>
      <c r="J91" s="13" t="s">
        <v>403</v>
      </c>
      <c r="K91" s="13" t="s">
        <v>404</v>
      </c>
      <c r="L91" s="12" t="s">
        <v>21</v>
      </c>
      <c r="M91" s="12" t="s">
        <v>223</v>
      </c>
      <c r="N91" s="12" t="s">
        <v>23</v>
      </c>
    </row>
    <row r="92" customFormat="false" ht="53" hidden="false" customHeight="false" outlineLevel="0" collapsed="false">
      <c r="A92" s="20" t="s">
        <v>405</v>
      </c>
      <c r="B92" s="15" t="s">
        <v>406</v>
      </c>
      <c r="C92" s="20" t="s">
        <v>405</v>
      </c>
      <c r="D92" s="9" t="n">
        <v>3</v>
      </c>
      <c r="E92" s="10" t="s">
        <v>39</v>
      </c>
      <c r="F92" s="10" t="s">
        <v>59</v>
      </c>
      <c r="G92" s="10" t="s">
        <v>407</v>
      </c>
      <c r="H92" s="8" t="n">
        <v>3</v>
      </c>
      <c r="I92" s="11" t="s">
        <v>241</v>
      </c>
      <c r="J92" s="13" t="s">
        <v>408</v>
      </c>
      <c r="K92" s="13" t="s">
        <v>248</v>
      </c>
      <c r="L92" s="12" t="s">
        <v>21</v>
      </c>
      <c r="M92" s="12" t="s">
        <v>223</v>
      </c>
      <c r="N92" s="12" t="s">
        <v>23</v>
      </c>
    </row>
    <row r="93" customFormat="false" ht="27.5" hidden="false" customHeight="false" outlineLevel="0" collapsed="false">
      <c r="A93" s="7" t="s">
        <v>409</v>
      </c>
      <c r="B93" s="8" t="s">
        <v>410</v>
      </c>
      <c r="C93" s="7" t="s">
        <v>409</v>
      </c>
      <c r="D93" s="9" t="n">
        <v>22</v>
      </c>
      <c r="E93" s="9" t="s">
        <v>47</v>
      </c>
      <c r="F93" s="10" t="s">
        <v>398</v>
      </c>
      <c r="G93" s="10" t="s">
        <v>411</v>
      </c>
      <c r="H93" s="8" t="n">
        <v>3</v>
      </c>
      <c r="I93" s="11" t="s">
        <v>241</v>
      </c>
      <c r="J93" s="12" t="s">
        <v>412</v>
      </c>
      <c r="K93" s="13" t="s">
        <v>305</v>
      </c>
      <c r="L93" s="12" t="s">
        <v>21</v>
      </c>
      <c r="M93" s="12" t="s">
        <v>223</v>
      </c>
      <c r="N93" s="12" t="s">
        <v>23</v>
      </c>
    </row>
    <row r="94" customFormat="false" ht="36" hidden="false" customHeight="false" outlineLevel="0" collapsed="false">
      <c r="A94" s="20" t="s">
        <v>413</v>
      </c>
      <c r="B94" s="15" t="s">
        <v>414</v>
      </c>
      <c r="C94" s="20" t="s">
        <v>413</v>
      </c>
      <c r="D94" s="9" t="n">
        <v>17</v>
      </c>
      <c r="E94" s="10" t="s">
        <v>415</v>
      </c>
      <c r="F94" s="10" t="s">
        <v>416</v>
      </c>
      <c r="G94" s="10" t="s">
        <v>417</v>
      </c>
      <c r="H94" s="8" t="n">
        <v>3</v>
      </c>
      <c r="I94" s="11" t="s">
        <v>241</v>
      </c>
      <c r="J94" s="13" t="s">
        <v>418</v>
      </c>
      <c r="K94" s="13" t="s">
        <v>419</v>
      </c>
      <c r="L94" s="12" t="s">
        <v>21</v>
      </c>
      <c r="M94" s="12" t="s">
        <v>223</v>
      </c>
      <c r="N94" s="12" t="s">
        <v>23</v>
      </c>
    </row>
    <row r="95" customFormat="false" ht="27.5" hidden="false" customHeight="false" outlineLevel="0" collapsed="false">
      <c r="A95" s="7" t="s">
        <v>420</v>
      </c>
      <c r="B95" s="8" t="s">
        <v>421</v>
      </c>
      <c r="C95" s="7" t="s">
        <v>420</v>
      </c>
      <c r="D95" s="9" t="n">
        <v>2</v>
      </c>
      <c r="E95" s="10" t="s">
        <v>226</v>
      </c>
      <c r="F95" s="10" t="s">
        <v>226</v>
      </c>
      <c r="G95" s="10" t="s">
        <v>226</v>
      </c>
      <c r="H95" s="8" t="n">
        <v>3</v>
      </c>
      <c r="I95" s="11" t="s">
        <v>241</v>
      </c>
      <c r="J95" s="12" t="s">
        <v>422</v>
      </c>
      <c r="K95" s="13" t="s">
        <v>423</v>
      </c>
      <c r="L95" s="12" t="s">
        <v>21</v>
      </c>
      <c r="M95" s="12" t="s">
        <v>223</v>
      </c>
      <c r="N95" s="12" t="s">
        <v>23</v>
      </c>
    </row>
    <row r="96" customFormat="false" ht="36" hidden="false" customHeight="false" outlineLevel="0" collapsed="false">
      <c r="A96" s="20" t="s">
        <v>424</v>
      </c>
      <c r="B96" s="15" t="s">
        <v>425</v>
      </c>
      <c r="C96" s="20" t="s">
        <v>424</v>
      </c>
      <c r="D96" s="9" t="n">
        <v>6</v>
      </c>
      <c r="E96" s="10" t="s">
        <v>180</v>
      </c>
      <c r="F96" s="10" t="s">
        <v>426</v>
      </c>
      <c r="G96" s="10" t="s">
        <v>427</v>
      </c>
      <c r="H96" s="8" t="n">
        <v>3</v>
      </c>
      <c r="I96" s="11" t="s">
        <v>241</v>
      </c>
      <c r="J96" s="13" t="s">
        <v>428</v>
      </c>
      <c r="K96" s="13" t="s">
        <v>429</v>
      </c>
      <c r="L96" s="12" t="s">
        <v>21</v>
      </c>
      <c r="M96" s="12" t="s">
        <v>223</v>
      </c>
      <c r="N96" s="12" t="s">
        <v>23</v>
      </c>
    </row>
    <row r="97" customFormat="false" ht="36" hidden="false" customHeight="false" outlineLevel="0" collapsed="false">
      <c r="A97" s="20" t="s">
        <v>430</v>
      </c>
      <c r="B97" s="15" t="s">
        <v>431</v>
      </c>
      <c r="C97" s="20" t="s">
        <v>430</v>
      </c>
      <c r="D97" s="9" t="n">
        <v>11</v>
      </c>
      <c r="E97" s="10" t="s">
        <v>69</v>
      </c>
      <c r="F97" s="10" t="s">
        <v>432</v>
      </c>
      <c r="G97" s="10" t="s">
        <v>432</v>
      </c>
      <c r="H97" s="8" t="n">
        <v>3</v>
      </c>
      <c r="I97" s="11" t="s">
        <v>241</v>
      </c>
      <c r="J97" s="13" t="s">
        <v>433</v>
      </c>
      <c r="K97" s="13" t="s">
        <v>286</v>
      </c>
      <c r="L97" s="12" t="s">
        <v>21</v>
      </c>
      <c r="M97" s="12" t="s">
        <v>223</v>
      </c>
      <c r="N97" s="12" t="s">
        <v>23</v>
      </c>
    </row>
    <row r="98" customFormat="false" ht="36" hidden="false" customHeight="false" outlineLevel="0" collapsed="false">
      <c r="A98" s="20" t="s">
        <v>434</v>
      </c>
      <c r="B98" s="15" t="s">
        <v>435</v>
      </c>
      <c r="C98" s="20" t="s">
        <v>434</v>
      </c>
      <c r="D98" s="9" t="n">
        <v>3</v>
      </c>
      <c r="E98" s="9" t="s">
        <v>39</v>
      </c>
      <c r="F98" s="10" t="s">
        <v>436</v>
      </c>
      <c r="G98" s="10" t="s">
        <v>436</v>
      </c>
      <c r="H98" s="8" t="n">
        <v>3</v>
      </c>
      <c r="I98" s="11" t="s">
        <v>241</v>
      </c>
      <c r="J98" s="13" t="s">
        <v>437</v>
      </c>
      <c r="K98" s="13" t="s">
        <v>438</v>
      </c>
      <c r="L98" s="12" t="s">
        <v>21</v>
      </c>
      <c r="M98" s="12" t="s">
        <v>223</v>
      </c>
      <c r="N98" s="12" t="s">
        <v>23</v>
      </c>
    </row>
    <row r="99" customFormat="false" ht="36" hidden="false" customHeight="false" outlineLevel="0" collapsed="false">
      <c r="A99" s="14" t="s">
        <v>439</v>
      </c>
      <c r="B99" s="8" t="s">
        <v>440</v>
      </c>
      <c r="C99" s="14" t="s">
        <v>439</v>
      </c>
      <c r="D99" s="9" t="n">
        <v>23</v>
      </c>
      <c r="E99" s="11" t="s">
        <v>441</v>
      </c>
      <c r="F99" s="11" t="s">
        <v>442</v>
      </c>
      <c r="G99" s="11" t="n">
        <v>0</v>
      </c>
      <c r="H99" s="8" t="n">
        <v>3</v>
      </c>
      <c r="I99" s="11" t="s">
        <v>241</v>
      </c>
      <c r="J99" s="18" t="s">
        <v>443</v>
      </c>
      <c r="K99" s="13" t="s">
        <v>444</v>
      </c>
      <c r="L99" s="12" t="s">
        <v>445</v>
      </c>
      <c r="M99" s="12" t="s">
        <v>446</v>
      </c>
      <c r="N99" s="12" t="s">
        <v>306</v>
      </c>
    </row>
    <row r="100" customFormat="false" ht="19" hidden="false" customHeight="false" outlineLevel="0" collapsed="false">
      <c r="A100" s="14" t="s">
        <v>447</v>
      </c>
      <c r="B100" s="8" t="s">
        <v>448</v>
      </c>
      <c r="C100" s="14" t="s">
        <v>447</v>
      </c>
      <c r="D100" s="9" t="n">
        <v>18</v>
      </c>
      <c r="E100" s="10" t="s">
        <v>449</v>
      </c>
      <c r="F100" s="10" t="s">
        <v>203</v>
      </c>
      <c r="G100" s="10" t="n">
        <v>0</v>
      </c>
      <c r="H100" s="8" t="n">
        <v>3</v>
      </c>
      <c r="I100" s="11" t="s">
        <v>241</v>
      </c>
      <c r="J100" s="21" t="s">
        <v>450</v>
      </c>
      <c r="K100" s="13" t="s">
        <v>321</v>
      </c>
      <c r="L100" s="13" t="s">
        <v>222</v>
      </c>
      <c r="M100" s="13" t="s">
        <v>451</v>
      </c>
      <c r="N100" s="13" t="s">
        <v>452</v>
      </c>
    </row>
    <row r="101" customFormat="false" ht="36" hidden="false" customHeight="false" outlineLevel="0" collapsed="false">
      <c r="A101" s="7" t="s">
        <v>453</v>
      </c>
      <c r="B101" s="8" t="s">
        <v>454</v>
      </c>
      <c r="C101" s="7" t="s">
        <v>453</v>
      </c>
      <c r="D101" s="9" t="n">
        <v>23</v>
      </c>
      <c r="E101" s="10" t="s">
        <v>230</v>
      </c>
      <c r="F101" s="10" t="s">
        <v>455</v>
      </c>
      <c r="G101" s="10" t="n">
        <v>0</v>
      </c>
      <c r="H101" s="8" t="n">
        <v>3</v>
      </c>
      <c r="I101" s="11" t="s">
        <v>241</v>
      </c>
      <c r="J101" s="12" t="s">
        <v>456</v>
      </c>
      <c r="K101" s="13" t="s">
        <v>196</v>
      </c>
      <c r="L101" s="12" t="s">
        <v>21</v>
      </c>
      <c r="M101" s="12" t="s">
        <v>223</v>
      </c>
      <c r="N101" s="12" t="s">
        <v>23</v>
      </c>
    </row>
    <row r="102" customFormat="false" ht="36" hidden="false" customHeight="false" outlineLevel="0" collapsed="false">
      <c r="A102" s="7" t="s">
        <v>457</v>
      </c>
      <c r="B102" s="8" t="s">
        <v>458</v>
      </c>
      <c r="C102" s="7" t="s">
        <v>457</v>
      </c>
      <c r="D102" s="9" t="n">
        <v>23</v>
      </c>
      <c r="E102" s="10" t="s">
        <v>230</v>
      </c>
      <c r="F102" s="10" t="s">
        <v>459</v>
      </c>
      <c r="G102" s="10" t="n">
        <v>0</v>
      </c>
      <c r="H102" s="8" t="n">
        <v>3</v>
      </c>
      <c r="I102" s="11" t="s">
        <v>241</v>
      </c>
      <c r="J102" s="12" t="s">
        <v>460</v>
      </c>
      <c r="K102" s="13" t="s">
        <v>461</v>
      </c>
      <c r="L102" s="12" t="s">
        <v>21</v>
      </c>
      <c r="M102" s="12" t="s">
        <v>223</v>
      </c>
      <c r="N102" s="12" t="s">
        <v>23</v>
      </c>
    </row>
    <row r="103" customFormat="false" ht="36" hidden="false" customHeight="false" outlineLevel="0" collapsed="false">
      <c r="A103" s="14" t="s">
        <v>462</v>
      </c>
      <c r="B103" s="15" t="s">
        <v>463</v>
      </c>
      <c r="C103" s="14" t="s">
        <v>462</v>
      </c>
      <c r="D103" s="9" t="n">
        <v>3</v>
      </c>
      <c r="E103" s="10" t="s">
        <v>464</v>
      </c>
      <c r="F103" s="10" t="s">
        <v>40</v>
      </c>
      <c r="G103" s="10" t="s">
        <v>40</v>
      </c>
      <c r="H103" s="16" t="n">
        <v>4</v>
      </c>
      <c r="I103" s="17" t="s">
        <v>465</v>
      </c>
      <c r="J103" s="18" t="s">
        <v>466</v>
      </c>
      <c r="K103" s="13" t="s">
        <v>467</v>
      </c>
      <c r="L103" s="12" t="s">
        <v>222</v>
      </c>
      <c r="M103" s="12" t="s">
        <v>223</v>
      </c>
      <c r="N103" s="12" t="s">
        <v>23</v>
      </c>
    </row>
    <row r="104" customFormat="false" ht="44.5" hidden="false" customHeight="false" outlineLevel="0" collapsed="false">
      <c r="A104" s="7" t="s">
        <v>468</v>
      </c>
      <c r="B104" s="8" t="s">
        <v>469</v>
      </c>
      <c r="C104" s="7" t="s">
        <v>468</v>
      </c>
      <c r="D104" s="9" t="n">
        <v>3</v>
      </c>
      <c r="E104" s="10" t="s">
        <v>39</v>
      </c>
      <c r="F104" s="10" t="s">
        <v>40</v>
      </c>
      <c r="G104" s="10" t="s">
        <v>40</v>
      </c>
      <c r="H104" s="16" t="n">
        <v>4</v>
      </c>
      <c r="I104" s="17" t="s">
        <v>465</v>
      </c>
      <c r="J104" s="12" t="s">
        <v>470</v>
      </c>
      <c r="K104" s="13" t="s">
        <v>471</v>
      </c>
      <c r="L104" s="12" t="s">
        <v>222</v>
      </c>
      <c r="M104" s="12" t="s">
        <v>223</v>
      </c>
      <c r="N104" s="12" t="s">
        <v>23</v>
      </c>
    </row>
    <row r="105" customFormat="false" ht="44.5" hidden="false" customHeight="false" outlineLevel="0" collapsed="false">
      <c r="A105" s="14" t="s">
        <v>472</v>
      </c>
      <c r="B105" s="15" t="s">
        <v>473</v>
      </c>
      <c r="C105" s="14" t="s">
        <v>472</v>
      </c>
      <c r="D105" s="9" t="n">
        <v>19</v>
      </c>
      <c r="E105" s="10" t="s">
        <v>83</v>
      </c>
      <c r="F105" s="10" t="s">
        <v>40</v>
      </c>
      <c r="G105" s="10" t="s">
        <v>474</v>
      </c>
      <c r="H105" s="16" t="n">
        <v>4</v>
      </c>
      <c r="I105" s="17" t="s">
        <v>465</v>
      </c>
      <c r="J105" s="18" t="s">
        <v>475</v>
      </c>
      <c r="K105" s="13" t="s">
        <v>305</v>
      </c>
      <c r="L105" s="12" t="s">
        <v>222</v>
      </c>
      <c r="M105" s="12" t="s">
        <v>223</v>
      </c>
      <c r="N105" s="12" t="s">
        <v>23</v>
      </c>
    </row>
    <row r="106" customFormat="false" ht="27.5" hidden="false" customHeight="false" outlineLevel="0" collapsed="false">
      <c r="A106" s="7" t="s">
        <v>476</v>
      </c>
      <c r="B106" s="8" t="s">
        <v>477</v>
      </c>
      <c r="C106" s="7" t="s">
        <v>476</v>
      </c>
      <c r="D106" s="9" t="n">
        <v>5</v>
      </c>
      <c r="E106" s="10" t="s">
        <v>63</v>
      </c>
      <c r="F106" s="10" t="s">
        <v>478</v>
      </c>
      <c r="G106" s="10" t="s">
        <v>478</v>
      </c>
      <c r="H106" s="16" t="n">
        <v>4</v>
      </c>
      <c r="I106" s="17" t="s">
        <v>465</v>
      </c>
      <c r="J106" s="12" t="s">
        <v>479</v>
      </c>
      <c r="K106" s="13" t="s">
        <v>480</v>
      </c>
      <c r="L106" s="12" t="s">
        <v>222</v>
      </c>
      <c r="M106" s="12" t="s">
        <v>223</v>
      </c>
      <c r="N106" s="12" t="s">
        <v>23</v>
      </c>
    </row>
    <row r="107" customFormat="false" ht="36" hidden="false" customHeight="false" outlineLevel="0" collapsed="false">
      <c r="A107" s="7" t="s">
        <v>481</v>
      </c>
      <c r="B107" s="8" t="s">
        <v>482</v>
      </c>
      <c r="C107" s="7" t="s">
        <v>481</v>
      </c>
      <c r="D107" s="9" t="n">
        <v>22</v>
      </c>
      <c r="E107" s="9" t="s">
        <v>47</v>
      </c>
      <c r="F107" s="10" t="s">
        <v>483</v>
      </c>
      <c r="G107" s="10" t="s">
        <v>483</v>
      </c>
      <c r="H107" s="16" t="n">
        <v>4</v>
      </c>
      <c r="I107" s="17" t="s">
        <v>465</v>
      </c>
      <c r="J107" s="12" t="s">
        <v>484</v>
      </c>
      <c r="K107" s="13" t="s">
        <v>384</v>
      </c>
      <c r="L107" s="12" t="s">
        <v>222</v>
      </c>
      <c r="M107" s="12" t="s">
        <v>223</v>
      </c>
      <c r="N107" s="12" t="s">
        <v>23</v>
      </c>
    </row>
    <row r="108" customFormat="false" ht="44.5" hidden="false" customHeight="false" outlineLevel="0" collapsed="false">
      <c r="A108" s="7" t="s">
        <v>485</v>
      </c>
      <c r="B108" s="8" t="s">
        <v>486</v>
      </c>
      <c r="C108" s="7" t="s">
        <v>485</v>
      </c>
      <c r="D108" s="9" t="n">
        <v>22</v>
      </c>
      <c r="E108" s="10" t="s">
        <v>47</v>
      </c>
      <c r="F108" s="10" t="s">
        <v>483</v>
      </c>
      <c r="G108" s="10" t="s">
        <v>483</v>
      </c>
      <c r="H108" s="16" t="n">
        <v>4</v>
      </c>
      <c r="I108" s="17" t="s">
        <v>465</v>
      </c>
      <c r="J108" s="12" t="s">
        <v>487</v>
      </c>
      <c r="K108" s="13" t="s">
        <v>384</v>
      </c>
      <c r="L108" s="12" t="s">
        <v>222</v>
      </c>
      <c r="M108" s="12" t="s">
        <v>223</v>
      </c>
      <c r="N108" s="12" t="s">
        <v>23</v>
      </c>
    </row>
    <row r="109" customFormat="false" ht="36" hidden="false" customHeight="false" outlineLevel="0" collapsed="false">
      <c r="A109" s="20" t="s">
        <v>488</v>
      </c>
      <c r="B109" s="15" t="s">
        <v>489</v>
      </c>
      <c r="C109" s="20" t="s">
        <v>488</v>
      </c>
      <c r="D109" s="9" t="n">
        <v>9</v>
      </c>
      <c r="E109" s="10" t="s">
        <v>113</v>
      </c>
      <c r="F109" s="10" t="s">
        <v>490</v>
      </c>
      <c r="G109" s="10" t="s">
        <v>490</v>
      </c>
      <c r="H109" s="16" t="n">
        <v>4</v>
      </c>
      <c r="I109" s="17" t="s">
        <v>465</v>
      </c>
      <c r="J109" s="13" t="s">
        <v>491</v>
      </c>
      <c r="K109" s="13" t="s">
        <v>492</v>
      </c>
      <c r="L109" s="12" t="s">
        <v>222</v>
      </c>
      <c r="M109" s="12" t="s">
        <v>223</v>
      </c>
      <c r="N109" s="12" t="s">
        <v>23</v>
      </c>
    </row>
    <row r="110" customFormat="false" ht="44.5" hidden="false" customHeight="false" outlineLevel="0" collapsed="false">
      <c r="A110" s="7" t="s">
        <v>493</v>
      </c>
      <c r="B110" s="8" t="s">
        <v>494</v>
      </c>
      <c r="C110" s="7" t="s">
        <v>493</v>
      </c>
      <c r="D110" s="9" t="n">
        <v>1</v>
      </c>
      <c r="E110" s="10" t="s">
        <v>203</v>
      </c>
      <c r="F110" s="10" t="s">
        <v>495</v>
      </c>
      <c r="G110" s="10" t="s">
        <v>495</v>
      </c>
      <c r="H110" s="16" t="n">
        <v>4</v>
      </c>
      <c r="I110" s="17" t="s">
        <v>465</v>
      </c>
      <c r="J110" s="12" t="s">
        <v>496</v>
      </c>
      <c r="K110" s="13" t="s">
        <v>497</v>
      </c>
      <c r="L110" s="12" t="s">
        <v>222</v>
      </c>
      <c r="M110" s="12" t="s">
        <v>223</v>
      </c>
      <c r="N110" s="12" t="s">
        <v>23</v>
      </c>
    </row>
    <row r="111" customFormat="false" ht="61.5" hidden="false" customHeight="false" outlineLevel="0" collapsed="false">
      <c r="A111" s="14" t="s">
        <v>498</v>
      </c>
      <c r="B111" s="15" t="s">
        <v>499</v>
      </c>
      <c r="C111" s="14" t="s">
        <v>498</v>
      </c>
      <c r="D111" s="9" t="n">
        <v>20</v>
      </c>
      <c r="E111" s="9" t="s">
        <v>55</v>
      </c>
      <c r="F111" s="10" t="s">
        <v>500</v>
      </c>
      <c r="G111" s="10" t="s">
        <v>55</v>
      </c>
      <c r="H111" s="16" t="n">
        <v>4</v>
      </c>
      <c r="I111" s="17" t="s">
        <v>465</v>
      </c>
      <c r="J111" s="18" t="s">
        <v>501</v>
      </c>
      <c r="K111" s="13" t="s">
        <v>502</v>
      </c>
      <c r="L111" s="12" t="s">
        <v>222</v>
      </c>
      <c r="M111" s="12" t="s">
        <v>223</v>
      </c>
      <c r="N111" s="12" t="s">
        <v>23</v>
      </c>
    </row>
    <row r="112" customFormat="false" ht="27.5" hidden="false" customHeight="false" outlineLevel="0" collapsed="false">
      <c r="A112" s="7" t="s">
        <v>503</v>
      </c>
      <c r="B112" s="8" t="s">
        <v>504</v>
      </c>
      <c r="C112" s="7" t="s">
        <v>503</v>
      </c>
      <c r="D112" s="9" t="n">
        <v>20</v>
      </c>
      <c r="E112" s="9" t="s">
        <v>53</v>
      </c>
      <c r="F112" s="10" t="s">
        <v>505</v>
      </c>
      <c r="G112" s="10" t="s">
        <v>55</v>
      </c>
      <c r="H112" s="16" t="n">
        <v>4</v>
      </c>
      <c r="I112" s="17" t="s">
        <v>465</v>
      </c>
      <c r="J112" s="12" t="s">
        <v>506</v>
      </c>
      <c r="K112" s="13" t="s">
        <v>507</v>
      </c>
      <c r="L112" s="12" t="s">
        <v>222</v>
      </c>
      <c r="M112" s="12" t="s">
        <v>223</v>
      </c>
      <c r="N112" s="12" t="s">
        <v>23</v>
      </c>
    </row>
    <row r="113" customFormat="false" ht="44.5" hidden="false" customHeight="false" outlineLevel="0" collapsed="false">
      <c r="A113" s="7" t="s">
        <v>508</v>
      </c>
      <c r="B113" s="8" t="s">
        <v>509</v>
      </c>
      <c r="C113" s="7" t="s">
        <v>508</v>
      </c>
      <c r="D113" s="9" t="n">
        <v>20</v>
      </c>
      <c r="E113" s="9" t="s">
        <v>53</v>
      </c>
      <c r="F113" s="10" t="s">
        <v>510</v>
      </c>
      <c r="G113" s="10" t="s">
        <v>55</v>
      </c>
      <c r="H113" s="16" t="n">
        <v>4</v>
      </c>
      <c r="I113" s="17" t="s">
        <v>465</v>
      </c>
      <c r="J113" s="12" t="s">
        <v>511</v>
      </c>
      <c r="K113" s="12" t="s">
        <v>33</v>
      </c>
      <c r="L113" s="12" t="s">
        <v>222</v>
      </c>
      <c r="M113" s="12" t="s">
        <v>223</v>
      </c>
      <c r="N113" s="12" t="s">
        <v>23</v>
      </c>
    </row>
    <row r="114" customFormat="false" ht="19" hidden="false" customHeight="false" outlineLevel="0" collapsed="false">
      <c r="A114" s="7" t="s">
        <v>512</v>
      </c>
      <c r="B114" s="8" t="s">
        <v>513</v>
      </c>
      <c r="C114" s="7" t="s">
        <v>512</v>
      </c>
      <c r="D114" s="9" t="n">
        <v>3</v>
      </c>
      <c r="E114" s="10" t="s">
        <v>39</v>
      </c>
      <c r="F114" s="10" t="s">
        <v>59</v>
      </c>
      <c r="G114" s="10" t="s">
        <v>59</v>
      </c>
      <c r="H114" s="16" t="n">
        <v>4</v>
      </c>
      <c r="I114" s="17" t="s">
        <v>465</v>
      </c>
      <c r="J114" s="12" t="s">
        <v>514</v>
      </c>
      <c r="K114" s="13" t="s">
        <v>321</v>
      </c>
      <c r="L114" s="12" t="s">
        <v>222</v>
      </c>
      <c r="M114" s="12" t="s">
        <v>223</v>
      </c>
      <c r="N114" s="12" t="s">
        <v>23</v>
      </c>
    </row>
    <row r="115" customFormat="false" ht="19" hidden="false" customHeight="false" outlineLevel="0" collapsed="false">
      <c r="A115" s="7" t="s">
        <v>515</v>
      </c>
      <c r="B115" s="8" t="s">
        <v>516</v>
      </c>
      <c r="C115" s="7" t="s">
        <v>515</v>
      </c>
      <c r="D115" s="9" t="n">
        <v>9</v>
      </c>
      <c r="E115" s="10" t="s">
        <v>113</v>
      </c>
      <c r="F115" s="10" t="s">
        <v>517</v>
      </c>
      <c r="G115" s="10" t="s">
        <v>518</v>
      </c>
      <c r="H115" s="16" t="n">
        <v>4</v>
      </c>
      <c r="I115" s="17" t="s">
        <v>465</v>
      </c>
      <c r="J115" s="18" t="s">
        <v>519</v>
      </c>
      <c r="K115" s="13" t="s">
        <v>520</v>
      </c>
      <c r="L115" s="12" t="s">
        <v>21</v>
      </c>
      <c r="M115" s="12" t="s">
        <v>223</v>
      </c>
      <c r="N115" s="12" t="s">
        <v>23</v>
      </c>
    </row>
    <row r="116" customFormat="false" ht="44.5" hidden="false" customHeight="false" outlineLevel="0" collapsed="false">
      <c r="A116" s="14" t="s">
        <v>521</v>
      </c>
      <c r="B116" s="15" t="s">
        <v>522</v>
      </c>
      <c r="C116" s="14" t="s">
        <v>521</v>
      </c>
      <c r="D116" s="9" t="n">
        <v>9</v>
      </c>
      <c r="E116" s="10" t="s">
        <v>113</v>
      </c>
      <c r="F116" s="10" t="s">
        <v>517</v>
      </c>
      <c r="G116" s="10" t="s">
        <v>518</v>
      </c>
      <c r="H116" s="16" t="n">
        <v>4</v>
      </c>
      <c r="I116" s="17" t="s">
        <v>465</v>
      </c>
      <c r="J116" s="18" t="s">
        <v>523</v>
      </c>
      <c r="K116" s="13" t="s">
        <v>492</v>
      </c>
      <c r="L116" s="12" t="s">
        <v>222</v>
      </c>
      <c r="M116" s="12" t="s">
        <v>223</v>
      </c>
      <c r="N116" s="12" t="s">
        <v>23</v>
      </c>
    </row>
    <row r="117" customFormat="false" ht="19" hidden="false" customHeight="false" outlineLevel="0" collapsed="false">
      <c r="A117" s="7" t="s">
        <v>524</v>
      </c>
      <c r="B117" s="8" t="s">
        <v>525</v>
      </c>
      <c r="C117" s="7" t="s">
        <v>524</v>
      </c>
      <c r="D117" s="9" t="n">
        <v>11</v>
      </c>
      <c r="E117" s="10" t="s">
        <v>69</v>
      </c>
      <c r="F117" s="10" t="s">
        <v>526</v>
      </c>
      <c r="G117" s="10" t="s">
        <v>527</v>
      </c>
      <c r="H117" s="16" t="n">
        <v>4</v>
      </c>
      <c r="I117" s="17" t="s">
        <v>465</v>
      </c>
      <c r="J117" s="12" t="s">
        <v>528</v>
      </c>
      <c r="K117" s="13" t="s">
        <v>196</v>
      </c>
      <c r="L117" s="12" t="s">
        <v>222</v>
      </c>
      <c r="M117" s="12" t="s">
        <v>223</v>
      </c>
      <c r="N117" s="12" t="s">
        <v>23</v>
      </c>
    </row>
    <row r="118" customFormat="false" ht="36" hidden="false" customHeight="false" outlineLevel="0" collapsed="false">
      <c r="A118" s="7" t="s">
        <v>529</v>
      </c>
      <c r="B118" s="8" t="s">
        <v>530</v>
      </c>
      <c r="C118" s="7" t="s">
        <v>529</v>
      </c>
      <c r="D118" s="9" t="n">
        <v>1</v>
      </c>
      <c r="E118" s="10" t="s">
        <v>203</v>
      </c>
      <c r="F118" s="10" t="s">
        <v>531</v>
      </c>
      <c r="G118" s="10" t="s">
        <v>532</v>
      </c>
      <c r="H118" s="16" t="n">
        <v>4</v>
      </c>
      <c r="I118" s="17" t="s">
        <v>465</v>
      </c>
      <c r="J118" s="12" t="s">
        <v>533</v>
      </c>
      <c r="K118" s="13" t="s">
        <v>200</v>
      </c>
      <c r="L118" s="12" t="s">
        <v>222</v>
      </c>
      <c r="M118" s="12" t="s">
        <v>223</v>
      </c>
      <c r="N118" s="12" t="s">
        <v>23</v>
      </c>
    </row>
    <row r="119" customFormat="false" ht="44.5" hidden="false" customHeight="false" outlineLevel="0" collapsed="false">
      <c r="A119" s="14" t="s">
        <v>534</v>
      </c>
      <c r="B119" s="15" t="s">
        <v>535</v>
      </c>
      <c r="C119" s="14" t="s">
        <v>534</v>
      </c>
      <c r="D119" s="9" t="n">
        <v>15</v>
      </c>
      <c r="E119" s="10" t="s">
        <v>536</v>
      </c>
      <c r="F119" s="10" t="s">
        <v>537</v>
      </c>
      <c r="G119" s="10" t="s">
        <v>537</v>
      </c>
      <c r="H119" s="16" t="n">
        <v>4</v>
      </c>
      <c r="I119" s="17" t="s">
        <v>465</v>
      </c>
      <c r="J119" s="21" t="s">
        <v>538</v>
      </c>
      <c r="K119" s="13" t="s">
        <v>321</v>
      </c>
      <c r="L119" s="12" t="s">
        <v>222</v>
      </c>
      <c r="M119" s="12" t="s">
        <v>223</v>
      </c>
      <c r="N119" s="12" t="s">
        <v>23</v>
      </c>
    </row>
    <row r="120" customFormat="false" ht="53" hidden="false" customHeight="false" outlineLevel="0" collapsed="false">
      <c r="A120" s="14" t="s">
        <v>539</v>
      </c>
      <c r="B120" s="15" t="s">
        <v>540</v>
      </c>
      <c r="C120" s="14" t="s">
        <v>539</v>
      </c>
      <c r="D120" s="9" t="n">
        <v>26</v>
      </c>
      <c r="E120" s="10" t="s">
        <v>541</v>
      </c>
      <c r="F120" s="10" t="s">
        <v>210</v>
      </c>
      <c r="G120" s="10" t="s">
        <v>542</v>
      </c>
      <c r="H120" s="16" t="n">
        <v>4</v>
      </c>
      <c r="I120" s="17" t="s">
        <v>465</v>
      </c>
      <c r="J120" s="18" t="s">
        <v>543</v>
      </c>
      <c r="K120" s="13" t="s">
        <v>544</v>
      </c>
      <c r="L120" s="12" t="s">
        <v>222</v>
      </c>
      <c r="M120" s="12" t="s">
        <v>223</v>
      </c>
      <c r="N120" s="12" t="s">
        <v>23</v>
      </c>
    </row>
    <row r="121" customFormat="false" ht="27.5" hidden="false" customHeight="false" outlineLevel="0" collapsed="false">
      <c r="A121" s="7" t="s">
        <v>545</v>
      </c>
      <c r="B121" s="8" t="s">
        <v>546</v>
      </c>
      <c r="C121" s="7" t="s">
        <v>545</v>
      </c>
      <c r="D121" s="9" t="n">
        <v>26</v>
      </c>
      <c r="E121" s="10" t="s">
        <v>541</v>
      </c>
      <c r="F121" s="10" t="s">
        <v>210</v>
      </c>
      <c r="G121" s="10" t="s">
        <v>542</v>
      </c>
      <c r="H121" s="16" t="n">
        <v>4</v>
      </c>
      <c r="I121" s="17" t="s">
        <v>465</v>
      </c>
      <c r="J121" s="12" t="s">
        <v>547</v>
      </c>
      <c r="K121" s="13" t="s">
        <v>196</v>
      </c>
      <c r="L121" s="12" t="s">
        <v>222</v>
      </c>
      <c r="M121" s="12" t="s">
        <v>223</v>
      </c>
      <c r="N121" s="12" t="s">
        <v>23</v>
      </c>
    </row>
    <row r="122" customFormat="false" ht="27.5" hidden="false" customHeight="false" outlineLevel="0" collapsed="false">
      <c r="A122" s="22" t="s">
        <v>548</v>
      </c>
      <c r="B122" s="8" t="s">
        <v>549</v>
      </c>
      <c r="C122" s="22" t="s">
        <v>548</v>
      </c>
      <c r="D122" s="9" t="n">
        <v>26</v>
      </c>
      <c r="E122" s="10" t="s">
        <v>541</v>
      </c>
      <c r="F122" s="10" t="s">
        <v>210</v>
      </c>
      <c r="G122" s="10" t="s">
        <v>542</v>
      </c>
      <c r="H122" s="16" t="n">
        <v>4</v>
      </c>
      <c r="I122" s="17" t="s">
        <v>465</v>
      </c>
      <c r="J122" s="23" t="s">
        <v>550</v>
      </c>
      <c r="K122" s="12" t="s">
        <v>551</v>
      </c>
      <c r="L122" s="12" t="s">
        <v>222</v>
      </c>
      <c r="M122" s="12" t="s">
        <v>223</v>
      </c>
      <c r="N122" s="12" t="s">
        <v>23</v>
      </c>
    </row>
    <row r="123" customFormat="false" ht="36" hidden="false" customHeight="false" outlineLevel="0" collapsed="false">
      <c r="A123" s="7" t="s">
        <v>552</v>
      </c>
      <c r="B123" s="8" t="s">
        <v>553</v>
      </c>
      <c r="C123" s="7" t="s">
        <v>552</v>
      </c>
      <c r="D123" s="9" t="n">
        <v>22</v>
      </c>
      <c r="E123" s="9" t="s">
        <v>47</v>
      </c>
      <c r="F123" s="10" t="s">
        <v>554</v>
      </c>
      <c r="G123" s="10" t="s">
        <v>554</v>
      </c>
      <c r="H123" s="16" t="n">
        <v>4</v>
      </c>
      <c r="I123" s="17" t="s">
        <v>465</v>
      </c>
      <c r="J123" s="12" t="s">
        <v>555</v>
      </c>
      <c r="K123" s="13" t="s">
        <v>351</v>
      </c>
      <c r="L123" s="12" t="s">
        <v>222</v>
      </c>
      <c r="M123" s="12" t="s">
        <v>223</v>
      </c>
      <c r="N123" s="12" t="s">
        <v>23</v>
      </c>
    </row>
    <row r="124" customFormat="false" ht="53" hidden="false" customHeight="false" outlineLevel="0" collapsed="false">
      <c r="A124" s="20" t="s">
        <v>556</v>
      </c>
      <c r="B124" s="15" t="s">
        <v>557</v>
      </c>
      <c r="C124" s="20" t="s">
        <v>556</v>
      </c>
      <c r="D124" s="9" t="n">
        <v>22</v>
      </c>
      <c r="E124" s="10" t="s">
        <v>47</v>
      </c>
      <c r="F124" s="10" t="s">
        <v>554</v>
      </c>
      <c r="G124" s="10" t="s">
        <v>554</v>
      </c>
      <c r="H124" s="16" t="n">
        <v>4</v>
      </c>
      <c r="I124" s="17" t="s">
        <v>465</v>
      </c>
      <c r="J124" s="13" t="s">
        <v>558</v>
      </c>
      <c r="K124" s="13" t="s">
        <v>351</v>
      </c>
      <c r="L124" s="12" t="s">
        <v>222</v>
      </c>
      <c r="M124" s="12" t="s">
        <v>223</v>
      </c>
      <c r="N124" s="12" t="s">
        <v>23</v>
      </c>
    </row>
    <row r="125" customFormat="false" ht="36" hidden="false" customHeight="false" outlineLevel="0" collapsed="false">
      <c r="A125" s="20" t="s">
        <v>559</v>
      </c>
      <c r="B125" s="15" t="s">
        <v>560</v>
      </c>
      <c r="C125" s="20" t="s">
        <v>559</v>
      </c>
      <c r="D125" s="9" t="n">
        <v>10</v>
      </c>
      <c r="E125" s="10" t="s">
        <v>142</v>
      </c>
      <c r="F125" s="10" t="s">
        <v>561</v>
      </c>
      <c r="G125" s="10" t="s">
        <v>562</v>
      </c>
      <c r="H125" s="16" t="n">
        <v>4</v>
      </c>
      <c r="I125" s="17" t="s">
        <v>465</v>
      </c>
      <c r="J125" s="13" t="s">
        <v>563</v>
      </c>
      <c r="K125" s="13" t="s">
        <v>564</v>
      </c>
      <c r="L125" s="12" t="s">
        <v>222</v>
      </c>
      <c r="M125" s="12" t="s">
        <v>223</v>
      </c>
      <c r="N125" s="12" t="s">
        <v>23</v>
      </c>
    </row>
    <row r="126" customFormat="false" ht="53" hidden="false" customHeight="false" outlineLevel="0" collapsed="false">
      <c r="A126" s="7" t="s">
        <v>565</v>
      </c>
      <c r="B126" s="8" t="s">
        <v>566</v>
      </c>
      <c r="C126" s="7" t="s">
        <v>565</v>
      </c>
      <c r="D126" s="9" t="n">
        <v>3</v>
      </c>
      <c r="E126" s="10" t="s">
        <v>39</v>
      </c>
      <c r="F126" s="10" t="s">
        <v>40</v>
      </c>
      <c r="G126" s="10" t="s">
        <v>17</v>
      </c>
      <c r="H126" s="16" t="n">
        <v>4</v>
      </c>
      <c r="I126" s="17" t="s">
        <v>465</v>
      </c>
      <c r="J126" s="12" t="s">
        <v>567</v>
      </c>
      <c r="K126" s="13" t="s">
        <v>305</v>
      </c>
      <c r="L126" s="12" t="s">
        <v>222</v>
      </c>
      <c r="M126" s="12" t="s">
        <v>223</v>
      </c>
      <c r="N126" s="12" t="s">
        <v>23</v>
      </c>
    </row>
    <row r="127" customFormat="false" ht="36" hidden="false" customHeight="false" outlineLevel="0" collapsed="false">
      <c r="A127" s="7" t="s">
        <v>568</v>
      </c>
      <c r="B127" s="8" t="s">
        <v>569</v>
      </c>
      <c r="C127" s="7" t="s">
        <v>568</v>
      </c>
      <c r="D127" s="9" t="n">
        <v>9</v>
      </c>
      <c r="E127" s="10" t="s">
        <v>113</v>
      </c>
      <c r="F127" s="10" t="s">
        <v>264</v>
      </c>
      <c r="G127" s="10" t="s">
        <v>265</v>
      </c>
      <c r="H127" s="16" t="n">
        <v>4</v>
      </c>
      <c r="I127" s="17" t="s">
        <v>465</v>
      </c>
      <c r="J127" s="12" t="s">
        <v>570</v>
      </c>
      <c r="K127" s="13" t="s">
        <v>544</v>
      </c>
      <c r="L127" s="12" t="s">
        <v>222</v>
      </c>
      <c r="M127" s="12" t="s">
        <v>223</v>
      </c>
      <c r="N127" s="12" t="s">
        <v>23</v>
      </c>
    </row>
    <row r="128" customFormat="false" ht="53" hidden="false" customHeight="false" outlineLevel="0" collapsed="false">
      <c r="A128" s="20" t="s">
        <v>571</v>
      </c>
      <c r="B128" s="15" t="s">
        <v>572</v>
      </c>
      <c r="C128" s="20" t="s">
        <v>571</v>
      </c>
      <c r="D128" s="9" t="n">
        <v>22</v>
      </c>
      <c r="E128" s="9" t="s">
        <v>47</v>
      </c>
      <c r="F128" s="10" t="s">
        <v>48</v>
      </c>
      <c r="G128" s="10" t="s">
        <v>573</v>
      </c>
      <c r="H128" s="16" t="n">
        <v>4</v>
      </c>
      <c r="I128" s="17" t="s">
        <v>465</v>
      </c>
      <c r="J128" s="13" t="s">
        <v>574</v>
      </c>
      <c r="K128" s="13" t="s">
        <v>575</v>
      </c>
      <c r="L128" s="12" t="s">
        <v>222</v>
      </c>
      <c r="M128" s="12" t="s">
        <v>223</v>
      </c>
      <c r="N128" s="12" t="s">
        <v>23</v>
      </c>
    </row>
    <row r="129" customFormat="false" ht="36" hidden="false" customHeight="false" outlineLevel="0" collapsed="false">
      <c r="A129" s="20" t="s">
        <v>576</v>
      </c>
      <c r="B129" s="15" t="s">
        <v>577</v>
      </c>
      <c r="C129" s="20" t="s">
        <v>576</v>
      </c>
      <c r="D129" s="9" t="n">
        <v>22</v>
      </c>
      <c r="E129" s="10" t="s">
        <v>47</v>
      </c>
      <c r="F129" s="10" t="s">
        <v>578</v>
      </c>
      <c r="G129" s="10" t="s">
        <v>579</v>
      </c>
      <c r="H129" s="16" t="n">
        <v>4</v>
      </c>
      <c r="I129" s="17" t="s">
        <v>465</v>
      </c>
      <c r="J129" s="13" t="s">
        <v>580</v>
      </c>
      <c r="K129" s="13" t="s">
        <v>43</v>
      </c>
      <c r="L129" s="12" t="s">
        <v>222</v>
      </c>
      <c r="M129" s="12" t="s">
        <v>223</v>
      </c>
      <c r="N129" s="12" t="s">
        <v>23</v>
      </c>
    </row>
    <row r="130" customFormat="false" ht="44.5" hidden="false" customHeight="false" outlineLevel="0" collapsed="false">
      <c r="A130" s="20" t="s">
        <v>581</v>
      </c>
      <c r="B130" s="15" t="s">
        <v>193</v>
      </c>
      <c r="C130" s="20" t="s">
        <v>581</v>
      </c>
      <c r="D130" s="9" t="n">
        <v>22</v>
      </c>
      <c r="E130" s="10" t="s">
        <v>47</v>
      </c>
      <c r="F130" s="10" t="s">
        <v>582</v>
      </c>
      <c r="G130" s="10" t="s">
        <v>579</v>
      </c>
      <c r="H130" s="16" t="n">
        <v>4</v>
      </c>
      <c r="I130" s="17" t="s">
        <v>465</v>
      </c>
      <c r="J130" s="13" t="s">
        <v>583</v>
      </c>
      <c r="K130" s="13" t="s">
        <v>584</v>
      </c>
      <c r="L130" s="12" t="s">
        <v>222</v>
      </c>
      <c r="M130" s="12" t="s">
        <v>223</v>
      </c>
      <c r="N130" s="12" t="s">
        <v>23</v>
      </c>
    </row>
    <row r="131" customFormat="false" ht="44.5" hidden="false" customHeight="false" outlineLevel="0" collapsed="false">
      <c r="A131" s="7" t="s">
        <v>585</v>
      </c>
      <c r="B131" s="8" t="s">
        <v>586</v>
      </c>
      <c r="C131" s="7" t="s">
        <v>585</v>
      </c>
      <c r="D131" s="9" t="n">
        <v>12</v>
      </c>
      <c r="E131" s="10" t="s">
        <v>185</v>
      </c>
      <c r="F131" s="10" t="s">
        <v>587</v>
      </c>
      <c r="G131" s="10" t="s">
        <v>587</v>
      </c>
      <c r="H131" s="16" t="n">
        <v>4</v>
      </c>
      <c r="I131" s="17" t="s">
        <v>465</v>
      </c>
      <c r="J131" s="12" t="s">
        <v>588</v>
      </c>
      <c r="K131" s="13" t="s">
        <v>471</v>
      </c>
      <c r="L131" s="12" t="s">
        <v>222</v>
      </c>
      <c r="M131" s="12" t="s">
        <v>223</v>
      </c>
      <c r="N131" s="12" t="s">
        <v>23</v>
      </c>
    </row>
    <row r="132" customFormat="false" ht="61.5" hidden="false" customHeight="false" outlineLevel="0" collapsed="false">
      <c r="A132" s="14" t="s">
        <v>589</v>
      </c>
      <c r="B132" s="15" t="s">
        <v>590</v>
      </c>
      <c r="C132" s="14" t="s">
        <v>589</v>
      </c>
      <c r="D132" s="9" t="n">
        <v>9</v>
      </c>
      <c r="E132" s="10" t="s">
        <v>113</v>
      </c>
      <c r="F132" s="10" t="s">
        <v>591</v>
      </c>
      <c r="G132" s="10" t="s">
        <v>591</v>
      </c>
      <c r="H132" s="16" t="n">
        <v>4</v>
      </c>
      <c r="I132" s="17" t="s">
        <v>465</v>
      </c>
      <c r="J132" s="18" t="s">
        <v>592</v>
      </c>
      <c r="K132" s="13" t="s">
        <v>593</v>
      </c>
      <c r="L132" s="12" t="s">
        <v>222</v>
      </c>
      <c r="M132" s="12" t="s">
        <v>223</v>
      </c>
      <c r="N132" s="12" t="s">
        <v>23</v>
      </c>
    </row>
    <row r="133" customFormat="false" ht="36" hidden="false" customHeight="false" outlineLevel="0" collapsed="false">
      <c r="A133" s="7" t="s">
        <v>594</v>
      </c>
      <c r="B133" s="8" t="s">
        <v>595</v>
      </c>
      <c r="C133" s="7" t="s">
        <v>594</v>
      </c>
      <c r="D133" s="9" t="n">
        <v>1</v>
      </c>
      <c r="E133" s="10" t="s">
        <v>203</v>
      </c>
      <c r="F133" s="10" t="s">
        <v>596</v>
      </c>
      <c r="G133" s="10" t="s">
        <v>596</v>
      </c>
      <c r="H133" s="16" t="n">
        <v>4</v>
      </c>
      <c r="I133" s="17" t="s">
        <v>465</v>
      </c>
      <c r="J133" s="12" t="s">
        <v>597</v>
      </c>
      <c r="K133" s="13" t="s">
        <v>200</v>
      </c>
      <c r="L133" s="12" t="s">
        <v>222</v>
      </c>
      <c r="M133" s="12" t="s">
        <v>223</v>
      </c>
      <c r="N133" s="12" t="s">
        <v>23</v>
      </c>
    </row>
    <row r="134" customFormat="false" ht="44.5" hidden="false" customHeight="false" outlineLevel="0" collapsed="false">
      <c r="A134" s="7" t="s">
        <v>598</v>
      </c>
      <c r="B134" s="8" t="s">
        <v>599</v>
      </c>
      <c r="C134" s="7" t="s">
        <v>598</v>
      </c>
      <c r="D134" s="9" t="n">
        <v>18</v>
      </c>
      <c r="E134" s="10" t="s">
        <v>449</v>
      </c>
      <c r="F134" s="10" t="s">
        <v>600</v>
      </c>
      <c r="G134" s="10" t="s">
        <v>601</v>
      </c>
      <c r="H134" s="16" t="n">
        <v>4</v>
      </c>
      <c r="I134" s="17" t="s">
        <v>465</v>
      </c>
      <c r="J134" s="18" t="s">
        <v>602</v>
      </c>
      <c r="K134" s="13" t="s">
        <v>544</v>
      </c>
      <c r="L134" s="12" t="s">
        <v>222</v>
      </c>
      <c r="M134" s="12" t="s">
        <v>223</v>
      </c>
      <c r="N134" s="12" t="s">
        <v>23</v>
      </c>
    </row>
    <row r="135" customFormat="false" ht="27.5" hidden="false" customHeight="false" outlineLevel="0" collapsed="false">
      <c r="A135" s="20" t="s">
        <v>603</v>
      </c>
      <c r="B135" s="15" t="s">
        <v>604</v>
      </c>
      <c r="C135" s="20" t="s">
        <v>603</v>
      </c>
      <c r="D135" s="9" t="n">
        <v>10</v>
      </c>
      <c r="E135" s="10" t="s">
        <v>142</v>
      </c>
      <c r="F135" s="10" t="s">
        <v>605</v>
      </c>
      <c r="G135" s="10" t="s">
        <v>606</v>
      </c>
      <c r="H135" s="16" t="n">
        <v>4</v>
      </c>
      <c r="I135" s="17" t="s">
        <v>465</v>
      </c>
      <c r="J135" s="13" t="s">
        <v>607</v>
      </c>
      <c r="K135" s="13" t="s">
        <v>608</v>
      </c>
      <c r="L135" s="12" t="s">
        <v>222</v>
      </c>
      <c r="M135" s="12" t="s">
        <v>223</v>
      </c>
      <c r="N135" s="12" t="s">
        <v>23</v>
      </c>
    </row>
    <row r="136" customFormat="false" ht="19" hidden="false" customHeight="false" outlineLevel="0" collapsed="false">
      <c r="A136" s="7" t="s">
        <v>609</v>
      </c>
      <c r="B136" s="8" t="s">
        <v>610</v>
      </c>
      <c r="C136" s="7" t="s">
        <v>609</v>
      </c>
      <c r="D136" s="9" t="n">
        <v>5</v>
      </c>
      <c r="E136" s="10" t="s">
        <v>63</v>
      </c>
      <c r="F136" s="10" t="s">
        <v>611</v>
      </c>
      <c r="G136" s="10" t="s">
        <v>611</v>
      </c>
      <c r="H136" s="16" t="n">
        <v>4</v>
      </c>
      <c r="I136" s="17" t="s">
        <v>465</v>
      </c>
      <c r="J136" s="12" t="s">
        <v>612</v>
      </c>
      <c r="K136" s="13" t="s">
        <v>321</v>
      </c>
      <c r="L136" s="12" t="s">
        <v>222</v>
      </c>
      <c r="M136" s="12" t="s">
        <v>223</v>
      </c>
      <c r="N136" s="12" t="s">
        <v>23</v>
      </c>
    </row>
    <row r="137" customFormat="false" ht="27.5" hidden="false" customHeight="false" outlineLevel="0" collapsed="false">
      <c r="A137" s="7" t="s">
        <v>613</v>
      </c>
      <c r="B137" s="8" t="s">
        <v>614</v>
      </c>
      <c r="C137" s="7" t="s">
        <v>613</v>
      </c>
      <c r="D137" s="9" t="n">
        <v>5</v>
      </c>
      <c r="E137" s="10" t="s">
        <v>63</v>
      </c>
      <c r="F137" s="10" t="s">
        <v>611</v>
      </c>
      <c r="G137" s="10" t="s">
        <v>611</v>
      </c>
      <c r="H137" s="16" t="n">
        <v>4</v>
      </c>
      <c r="I137" s="17" t="s">
        <v>615</v>
      </c>
      <c r="J137" s="12" t="s">
        <v>616</v>
      </c>
      <c r="K137" s="13" t="s">
        <v>617</v>
      </c>
      <c r="L137" s="12" t="s">
        <v>222</v>
      </c>
      <c r="M137" s="12" t="s">
        <v>618</v>
      </c>
      <c r="N137" s="12" t="s">
        <v>23</v>
      </c>
    </row>
    <row r="138" customFormat="false" ht="36" hidden="false" customHeight="false" outlineLevel="0" collapsed="false">
      <c r="A138" s="20" t="s">
        <v>619</v>
      </c>
      <c r="B138" s="15" t="s">
        <v>620</v>
      </c>
      <c r="C138" s="20" t="s">
        <v>619</v>
      </c>
      <c r="D138" s="9" t="n">
        <v>10</v>
      </c>
      <c r="E138" s="10" t="s">
        <v>142</v>
      </c>
      <c r="F138" s="10" t="s">
        <v>621</v>
      </c>
      <c r="G138" s="10" t="s">
        <v>621</v>
      </c>
      <c r="H138" s="16" t="n">
        <v>4</v>
      </c>
      <c r="I138" s="17" t="s">
        <v>465</v>
      </c>
      <c r="J138" s="13" t="s">
        <v>622</v>
      </c>
      <c r="K138" s="13" t="s">
        <v>564</v>
      </c>
      <c r="L138" s="12" t="s">
        <v>222</v>
      </c>
      <c r="M138" s="12" t="s">
        <v>223</v>
      </c>
      <c r="N138" s="12" t="s">
        <v>23</v>
      </c>
    </row>
    <row r="139" customFormat="false" ht="36" hidden="false" customHeight="false" outlineLevel="0" collapsed="false">
      <c r="A139" s="7" t="s">
        <v>623</v>
      </c>
      <c r="B139" s="8" t="s">
        <v>624</v>
      </c>
      <c r="C139" s="7" t="s">
        <v>623</v>
      </c>
      <c r="D139" s="9" t="n">
        <v>5</v>
      </c>
      <c r="E139" s="10" t="s">
        <v>63</v>
      </c>
      <c r="F139" s="10" t="s">
        <v>625</v>
      </c>
      <c r="G139" s="10" t="s">
        <v>626</v>
      </c>
      <c r="H139" s="16" t="n">
        <v>4</v>
      </c>
      <c r="I139" s="17" t="s">
        <v>465</v>
      </c>
      <c r="J139" s="12" t="s">
        <v>627</v>
      </c>
      <c r="K139" s="13" t="s">
        <v>325</v>
      </c>
      <c r="L139" s="12" t="s">
        <v>222</v>
      </c>
      <c r="M139" s="12" t="s">
        <v>223</v>
      </c>
      <c r="N139" s="12" t="s">
        <v>23</v>
      </c>
    </row>
    <row r="140" customFormat="false" ht="36" hidden="false" customHeight="false" outlineLevel="0" collapsed="false">
      <c r="A140" s="7" t="s">
        <v>628</v>
      </c>
      <c r="B140" s="8" t="s">
        <v>629</v>
      </c>
      <c r="C140" s="7" t="s">
        <v>628</v>
      </c>
      <c r="D140" s="9" t="n">
        <v>5</v>
      </c>
      <c r="E140" s="10" t="s">
        <v>63</v>
      </c>
      <c r="F140" s="10" t="s">
        <v>625</v>
      </c>
      <c r="G140" s="10" t="s">
        <v>626</v>
      </c>
      <c r="H140" s="16" t="n">
        <v>4</v>
      </c>
      <c r="I140" s="17" t="s">
        <v>465</v>
      </c>
      <c r="J140" s="12" t="s">
        <v>630</v>
      </c>
      <c r="K140" s="13" t="s">
        <v>325</v>
      </c>
      <c r="L140" s="12" t="s">
        <v>222</v>
      </c>
      <c r="M140" s="12" t="s">
        <v>223</v>
      </c>
      <c r="N140" s="12" t="s">
        <v>23</v>
      </c>
    </row>
    <row r="141" customFormat="false" ht="53" hidden="false" customHeight="false" outlineLevel="0" collapsed="false">
      <c r="A141" s="7" t="s">
        <v>631</v>
      </c>
      <c r="B141" s="8" t="s">
        <v>632</v>
      </c>
      <c r="C141" s="7" t="s">
        <v>631</v>
      </c>
      <c r="D141" s="9" t="n">
        <v>1</v>
      </c>
      <c r="E141" s="10" t="s">
        <v>203</v>
      </c>
      <c r="F141" s="10" t="s">
        <v>633</v>
      </c>
      <c r="G141" s="10" t="s">
        <v>634</v>
      </c>
      <c r="H141" s="16" t="n">
        <v>4</v>
      </c>
      <c r="I141" s="17" t="s">
        <v>465</v>
      </c>
      <c r="J141" s="12" t="s">
        <v>635</v>
      </c>
      <c r="K141" s="13" t="s">
        <v>636</v>
      </c>
      <c r="L141" s="12" t="s">
        <v>222</v>
      </c>
      <c r="M141" s="12" t="s">
        <v>223</v>
      </c>
      <c r="N141" s="12" t="s">
        <v>23</v>
      </c>
    </row>
    <row r="142" customFormat="false" ht="36" hidden="false" customHeight="false" outlineLevel="0" collapsed="false">
      <c r="A142" s="7" t="s">
        <v>637</v>
      </c>
      <c r="B142" s="8" t="s">
        <v>638</v>
      </c>
      <c r="C142" s="7" t="s">
        <v>637</v>
      </c>
      <c r="D142" s="9" t="n">
        <v>22</v>
      </c>
      <c r="E142" s="10" t="s">
        <v>47</v>
      </c>
      <c r="F142" s="10" t="s">
        <v>639</v>
      </c>
      <c r="G142" s="10" t="s">
        <v>639</v>
      </c>
      <c r="H142" s="16" t="n">
        <v>4</v>
      </c>
      <c r="I142" s="17" t="s">
        <v>465</v>
      </c>
      <c r="J142" s="12" t="s">
        <v>640</v>
      </c>
      <c r="K142" s="13" t="s">
        <v>641</v>
      </c>
      <c r="L142" s="12" t="s">
        <v>222</v>
      </c>
      <c r="M142" s="12" t="s">
        <v>223</v>
      </c>
      <c r="N142" s="12" t="s">
        <v>306</v>
      </c>
    </row>
    <row r="143" customFormat="false" ht="44.5" hidden="false" customHeight="false" outlineLevel="0" collapsed="false">
      <c r="A143" s="7" t="s">
        <v>642</v>
      </c>
      <c r="B143" s="8" t="s">
        <v>643</v>
      </c>
      <c r="C143" s="7" t="s">
        <v>642</v>
      </c>
      <c r="D143" s="9" t="n">
        <v>22</v>
      </c>
      <c r="E143" s="10" t="s">
        <v>47</v>
      </c>
      <c r="F143" s="10" t="s">
        <v>639</v>
      </c>
      <c r="G143" s="10" t="s">
        <v>639</v>
      </c>
      <c r="H143" s="16" t="n">
        <v>4</v>
      </c>
      <c r="I143" s="17" t="s">
        <v>465</v>
      </c>
      <c r="J143" s="12" t="s">
        <v>644</v>
      </c>
      <c r="K143" s="13" t="s">
        <v>645</v>
      </c>
      <c r="L143" s="12" t="s">
        <v>222</v>
      </c>
      <c r="M143" s="12" t="s">
        <v>223</v>
      </c>
      <c r="N143" s="12" t="s">
        <v>23</v>
      </c>
    </row>
    <row r="144" customFormat="false" ht="36" hidden="false" customHeight="false" outlineLevel="0" collapsed="false">
      <c r="A144" s="20" t="s">
        <v>646</v>
      </c>
      <c r="B144" s="15" t="s">
        <v>647</v>
      </c>
      <c r="C144" s="20" t="s">
        <v>646</v>
      </c>
      <c r="D144" s="9" t="n">
        <v>22</v>
      </c>
      <c r="E144" s="10" t="s">
        <v>47</v>
      </c>
      <c r="F144" s="10" t="s">
        <v>648</v>
      </c>
      <c r="G144" s="10" t="s">
        <v>648</v>
      </c>
      <c r="H144" s="16" t="n">
        <v>4</v>
      </c>
      <c r="I144" s="17" t="s">
        <v>465</v>
      </c>
      <c r="J144" s="13" t="s">
        <v>649</v>
      </c>
      <c r="K144" s="13" t="s">
        <v>650</v>
      </c>
      <c r="L144" s="12" t="s">
        <v>222</v>
      </c>
      <c r="M144" s="12" t="s">
        <v>223</v>
      </c>
      <c r="N144" s="12" t="s">
        <v>23</v>
      </c>
    </row>
    <row r="145" customFormat="false" ht="36" hidden="false" customHeight="false" outlineLevel="0" collapsed="false">
      <c r="A145" s="7" t="s">
        <v>651</v>
      </c>
      <c r="B145" s="8" t="s">
        <v>652</v>
      </c>
      <c r="C145" s="7" t="s">
        <v>651</v>
      </c>
      <c r="D145" s="9" t="n">
        <v>12</v>
      </c>
      <c r="E145" s="10" t="s">
        <v>185</v>
      </c>
      <c r="F145" s="10" t="s">
        <v>186</v>
      </c>
      <c r="G145" s="10" t="s">
        <v>185</v>
      </c>
      <c r="H145" s="16" t="n">
        <v>4</v>
      </c>
      <c r="I145" s="17" t="s">
        <v>465</v>
      </c>
      <c r="J145" s="18" t="s">
        <v>653</v>
      </c>
      <c r="K145" s="13" t="s">
        <v>654</v>
      </c>
      <c r="L145" s="12" t="s">
        <v>21</v>
      </c>
      <c r="M145" s="12" t="s">
        <v>223</v>
      </c>
      <c r="N145" s="12" t="s">
        <v>23</v>
      </c>
    </row>
    <row r="146" customFormat="false" ht="36" hidden="false" customHeight="false" outlineLevel="0" collapsed="false">
      <c r="A146" s="20" t="s">
        <v>655</v>
      </c>
      <c r="B146" s="15" t="s">
        <v>656</v>
      </c>
      <c r="C146" s="20" t="s">
        <v>655</v>
      </c>
      <c r="D146" s="9" t="n">
        <v>22</v>
      </c>
      <c r="E146" s="10" t="s">
        <v>47</v>
      </c>
      <c r="F146" s="10" t="s">
        <v>657</v>
      </c>
      <c r="G146" s="10" t="s">
        <v>657</v>
      </c>
      <c r="H146" s="16" t="n">
        <v>4</v>
      </c>
      <c r="I146" s="17" t="s">
        <v>465</v>
      </c>
      <c r="J146" s="13" t="s">
        <v>658</v>
      </c>
      <c r="K146" s="13" t="s">
        <v>325</v>
      </c>
      <c r="L146" s="12" t="s">
        <v>222</v>
      </c>
      <c r="M146" s="12" t="s">
        <v>223</v>
      </c>
      <c r="N146" s="12" t="s">
        <v>23</v>
      </c>
    </row>
    <row r="147" customFormat="false" ht="87" hidden="false" customHeight="false" outlineLevel="0" collapsed="false">
      <c r="A147" s="20" t="s">
        <v>659</v>
      </c>
      <c r="B147" s="15" t="s">
        <v>660</v>
      </c>
      <c r="C147" s="20" t="s">
        <v>659</v>
      </c>
      <c r="D147" s="9" t="n">
        <v>22</v>
      </c>
      <c r="E147" s="10" t="s">
        <v>47</v>
      </c>
      <c r="F147" s="10" t="s">
        <v>657</v>
      </c>
      <c r="G147" s="10" t="s">
        <v>657</v>
      </c>
      <c r="H147" s="16" t="n">
        <v>4</v>
      </c>
      <c r="I147" s="17" t="s">
        <v>465</v>
      </c>
      <c r="J147" s="13" t="s">
        <v>661</v>
      </c>
      <c r="K147" s="13" t="s">
        <v>325</v>
      </c>
      <c r="L147" s="12" t="s">
        <v>222</v>
      </c>
      <c r="M147" s="12" t="s">
        <v>223</v>
      </c>
      <c r="N147" s="12" t="s">
        <v>23</v>
      </c>
    </row>
    <row r="148" customFormat="false" ht="53" hidden="false" customHeight="false" outlineLevel="0" collapsed="false">
      <c r="A148" s="7" t="s">
        <v>662</v>
      </c>
      <c r="B148" s="8" t="s">
        <v>663</v>
      </c>
      <c r="C148" s="7" t="s">
        <v>662</v>
      </c>
      <c r="D148" s="9" t="n">
        <v>21</v>
      </c>
      <c r="E148" s="10" t="s">
        <v>117</v>
      </c>
      <c r="F148" s="10" t="s">
        <v>210</v>
      </c>
      <c r="G148" s="10" t="s">
        <v>664</v>
      </c>
      <c r="H148" s="16" t="n">
        <v>4</v>
      </c>
      <c r="I148" s="17" t="s">
        <v>465</v>
      </c>
      <c r="J148" s="12" t="s">
        <v>665</v>
      </c>
      <c r="K148" s="13" t="s">
        <v>666</v>
      </c>
      <c r="L148" s="12" t="s">
        <v>222</v>
      </c>
      <c r="M148" s="12" t="s">
        <v>223</v>
      </c>
      <c r="N148" s="12" t="s">
        <v>23</v>
      </c>
    </row>
    <row r="149" customFormat="false" ht="36" hidden="false" customHeight="false" outlineLevel="0" collapsed="false">
      <c r="A149" s="7" t="s">
        <v>667</v>
      </c>
      <c r="B149" s="8" t="s">
        <v>668</v>
      </c>
      <c r="C149" s="7" t="s">
        <v>667</v>
      </c>
      <c r="D149" s="9" t="n">
        <v>10</v>
      </c>
      <c r="E149" s="10" t="s">
        <v>142</v>
      </c>
      <c r="F149" s="10" t="s">
        <v>669</v>
      </c>
      <c r="G149" s="10" t="s">
        <v>669</v>
      </c>
      <c r="H149" s="16" t="n">
        <v>4</v>
      </c>
      <c r="I149" s="17" t="s">
        <v>465</v>
      </c>
      <c r="J149" s="12" t="s">
        <v>670</v>
      </c>
      <c r="K149" s="13" t="s">
        <v>292</v>
      </c>
      <c r="L149" s="12" t="s">
        <v>222</v>
      </c>
      <c r="M149" s="12" t="s">
        <v>223</v>
      </c>
      <c r="N149" s="12" t="s">
        <v>23</v>
      </c>
    </row>
    <row r="150" customFormat="false" ht="36" hidden="false" customHeight="false" outlineLevel="0" collapsed="false">
      <c r="A150" s="7" t="s">
        <v>671</v>
      </c>
      <c r="B150" s="8" t="s">
        <v>672</v>
      </c>
      <c r="C150" s="7" t="s">
        <v>671</v>
      </c>
      <c r="D150" s="9" t="n">
        <v>12</v>
      </c>
      <c r="E150" s="10" t="s">
        <v>185</v>
      </c>
      <c r="F150" s="10" t="s">
        <v>186</v>
      </c>
      <c r="G150" s="10" t="s">
        <v>186</v>
      </c>
      <c r="H150" s="16" t="n">
        <v>4</v>
      </c>
      <c r="I150" s="17" t="s">
        <v>465</v>
      </c>
      <c r="J150" s="12" t="s">
        <v>673</v>
      </c>
      <c r="K150" s="13" t="s">
        <v>471</v>
      </c>
      <c r="L150" s="12" t="s">
        <v>222</v>
      </c>
      <c r="M150" s="12" t="s">
        <v>223</v>
      </c>
      <c r="N150" s="12" t="s">
        <v>23</v>
      </c>
    </row>
    <row r="151" customFormat="false" ht="44.5" hidden="false" customHeight="false" outlineLevel="0" collapsed="false">
      <c r="A151" s="7" t="s">
        <v>674</v>
      </c>
      <c r="B151" s="8" t="s">
        <v>675</v>
      </c>
      <c r="C151" s="7" t="s">
        <v>674</v>
      </c>
      <c r="D151" s="9" t="n">
        <v>12</v>
      </c>
      <c r="E151" s="10" t="s">
        <v>185</v>
      </c>
      <c r="F151" s="10" t="s">
        <v>186</v>
      </c>
      <c r="G151" s="10" t="s">
        <v>186</v>
      </c>
      <c r="H151" s="16" t="n">
        <v>4</v>
      </c>
      <c r="I151" s="17" t="s">
        <v>465</v>
      </c>
      <c r="J151" s="12" t="s">
        <v>676</v>
      </c>
      <c r="K151" s="13" t="s">
        <v>471</v>
      </c>
      <c r="L151" s="12" t="s">
        <v>222</v>
      </c>
      <c r="M151" s="12" t="s">
        <v>223</v>
      </c>
      <c r="N151" s="12" t="s">
        <v>23</v>
      </c>
    </row>
    <row r="152" customFormat="false" ht="44.5" hidden="false" customHeight="false" outlineLevel="0" collapsed="false">
      <c r="A152" s="7" t="s">
        <v>677</v>
      </c>
      <c r="B152" s="8" t="s">
        <v>678</v>
      </c>
      <c r="C152" s="7" t="s">
        <v>677</v>
      </c>
      <c r="D152" s="9" t="n">
        <v>11</v>
      </c>
      <c r="E152" s="10" t="s">
        <v>69</v>
      </c>
      <c r="F152" s="10" t="s">
        <v>455</v>
      </c>
      <c r="G152" s="10" t="s">
        <v>455</v>
      </c>
      <c r="H152" s="16" t="n">
        <v>4</v>
      </c>
      <c r="I152" s="17" t="s">
        <v>465</v>
      </c>
      <c r="J152" s="12" t="s">
        <v>679</v>
      </c>
      <c r="K152" s="13" t="s">
        <v>680</v>
      </c>
      <c r="L152" s="12" t="s">
        <v>222</v>
      </c>
      <c r="M152" s="12" t="s">
        <v>223</v>
      </c>
      <c r="N152" s="12" t="s">
        <v>23</v>
      </c>
    </row>
    <row r="153" customFormat="false" ht="36" hidden="false" customHeight="false" outlineLevel="0" collapsed="false">
      <c r="A153" s="20" t="s">
        <v>681</v>
      </c>
      <c r="B153" s="15" t="s">
        <v>682</v>
      </c>
      <c r="C153" s="20" t="s">
        <v>681</v>
      </c>
      <c r="D153" s="9" t="n">
        <v>8</v>
      </c>
      <c r="E153" s="9" t="s">
        <v>89</v>
      </c>
      <c r="F153" s="10" t="s">
        <v>90</v>
      </c>
      <c r="G153" s="10" t="s">
        <v>90</v>
      </c>
      <c r="H153" s="16" t="n">
        <v>4</v>
      </c>
      <c r="I153" s="17" t="s">
        <v>465</v>
      </c>
      <c r="J153" s="13" t="s">
        <v>683</v>
      </c>
      <c r="K153" s="13" t="s">
        <v>191</v>
      </c>
      <c r="L153" s="12" t="s">
        <v>222</v>
      </c>
      <c r="M153" s="12" t="s">
        <v>223</v>
      </c>
      <c r="N153" s="12" t="s">
        <v>23</v>
      </c>
    </row>
    <row r="154" customFormat="false" ht="36" hidden="false" customHeight="false" outlineLevel="0" collapsed="false">
      <c r="A154" s="7" t="s">
        <v>684</v>
      </c>
      <c r="B154" s="8" t="s">
        <v>685</v>
      </c>
      <c r="C154" s="7" t="s">
        <v>684</v>
      </c>
      <c r="D154" s="9" t="n">
        <v>8</v>
      </c>
      <c r="E154" s="10" t="s">
        <v>89</v>
      </c>
      <c r="F154" s="10" t="s">
        <v>90</v>
      </c>
      <c r="G154" s="10" t="s">
        <v>90</v>
      </c>
      <c r="H154" s="16" t="n">
        <v>4</v>
      </c>
      <c r="I154" s="17" t="s">
        <v>465</v>
      </c>
      <c r="J154" s="12" t="s">
        <v>686</v>
      </c>
      <c r="K154" s="13" t="s">
        <v>191</v>
      </c>
      <c r="L154" s="12" t="s">
        <v>222</v>
      </c>
      <c r="M154" s="12" t="s">
        <v>223</v>
      </c>
      <c r="N154" s="12" t="s">
        <v>23</v>
      </c>
    </row>
    <row r="155" customFormat="false" ht="36" hidden="false" customHeight="false" outlineLevel="0" collapsed="false">
      <c r="A155" s="20" t="s">
        <v>687</v>
      </c>
      <c r="B155" s="15" t="s">
        <v>688</v>
      </c>
      <c r="C155" s="20" t="s">
        <v>687</v>
      </c>
      <c r="D155" s="9" t="n">
        <v>10</v>
      </c>
      <c r="E155" s="10" t="s">
        <v>142</v>
      </c>
      <c r="F155" s="10" t="s">
        <v>669</v>
      </c>
      <c r="G155" s="10" t="s">
        <v>689</v>
      </c>
      <c r="H155" s="16" t="n">
        <v>4</v>
      </c>
      <c r="I155" s="17" t="s">
        <v>465</v>
      </c>
      <c r="J155" s="13" t="s">
        <v>690</v>
      </c>
      <c r="K155" s="13" t="s">
        <v>608</v>
      </c>
      <c r="L155" s="12" t="s">
        <v>222</v>
      </c>
      <c r="M155" s="12" t="s">
        <v>223</v>
      </c>
      <c r="N155" s="12" t="s">
        <v>23</v>
      </c>
    </row>
    <row r="156" customFormat="false" ht="70" hidden="false" customHeight="false" outlineLevel="0" collapsed="false">
      <c r="A156" s="20" t="s">
        <v>691</v>
      </c>
      <c r="B156" s="15" t="s">
        <v>692</v>
      </c>
      <c r="C156" s="20" t="s">
        <v>691</v>
      </c>
      <c r="D156" s="9" t="n">
        <v>22</v>
      </c>
      <c r="E156" s="10" t="s">
        <v>47</v>
      </c>
      <c r="F156" s="10" t="s">
        <v>693</v>
      </c>
      <c r="G156" s="10" t="s">
        <v>694</v>
      </c>
      <c r="H156" s="16" t="n">
        <v>4</v>
      </c>
      <c r="I156" s="17" t="s">
        <v>465</v>
      </c>
      <c r="J156" s="13" t="s">
        <v>695</v>
      </c>
      <c r="K156" s="13" t="s">
        <v>696</v>
      </c>
      <c r="L156" s="12" t="s">
        <v>222</v>
      </c>
      <c r="M156" s="12" t="s">
        <v>223</v>
      </c>
      <c r="N156" s="12" t="s">
        <v>23</v>
      </c>
    </row>
    <row r="157" customFormat="false" ht="36" hidden="false" customHeight="false" outlineLevel="0" collapsed="false">
      <c r="A157" s="7" t="s">
        <v>697</v>
      </c>
      <c r="B157" s="8" t="s">
        <v>698</v>
      </c>
      <c r="C157" s="7" t="s">
        <v>697</v>
      </c>
      <c r="D157" s="9" t="n">
        <v>1</v>
      </c>
      <c r="E157" s="10" t="s">
        <v>203</v>
      </c>
      <c r="F157" s="10" t="s">
        <v>699</v>
      </c>
      <c r="G157" s="10" t="s">
        <v>699</v>
      </c>
      <c r="H157" s="16" t="n">
        <v>4</v>
      </c>
      <c r="I157" s="17" t="s">
        <v>465</v>
      </c>
      <c r="J157" s="12" t="s">
        <v>700</v>
      </c>
      <c r="K157" s="13" t="s">
        <v>200</v>
      </c>
      <c r="L157" s="12" t="s">
        <v>222</v>
      </c>
      <c r="M157" s="12" t="s">
        <v>223</v>
      </c>
      <c r="N157" s="12" t="s">
        <v>23</v>
      </c>
    </row>
    <row r="158" customFormat="false" ht="44.5" hidden="false" customHeight="false" outlineLevel="0" collapsed="false">
      <c r="A158" s="7" t="s">
        <v>701</v>
      </c>
      <c r="B158" s="8" t="s">
        <v>702</v>
      </c>
      <c r="C158" s="7" t="s">
        <v>701</v>
      </c>
      <c r="D158" s="9" t="n">
        <v>1</v>
      </c>
      <c r="E158" s="10" t="s">
        <v>203</v>
      </c>
      <c r="F158" s="10" t="s">
        <v>699</v>
      </c>
      <c r="G158" s="10" t="s">
        <v>699</v>
      </c>
      <c r="H158" s="16" t="n">
        <v>4</v>
      </c>
      <c r="I158" s="17" t="s">
        <v>465</v>
      </c>
      <c r="J158" s="12" t="s">
        <v>703</v>
      </c>
      <c r="K158" s="13" t="s">
        <v>497</v>
      </c>
      <c r="L158" s="12" t="s">
        <v>222</v>
      </c>
      <c r="M158" s="12" t="s">
        <v>223</v>
      </c>
      <c r="N158" s="12" t="s">
        <v>23</v>
      </c>
    </row>
    <row r="159" customFormat="false" ht="27.5" hidden="false" customHeight="false" outlineLevel="0" collapsed="false">
      <c r="A159" s="7" t="s">
        <v>704</v>
      </c>
      <c r="B159" s="8" t="s">
        <v>705</v>
      </c>
      <c r="C159" s="7" t="s">
        <v>704</v>
      </c>
      <c r="D159" s="9" t="n">
        <v>5</v>
      </c>
      <c r="E159" s="10" t="s">
        <v>63</v>
      </c>
      <c r="F159" s="10" t="s">
        <v>706</v>
      </c>
      <c r="G159" s="10" t="s">
        <v>706</v>
      </c>
      <c r="H159" s="16" t="n">
        <v>4</v>
      </c>
      <c r="I159" s="17" t="s">
        <v>465</v>
      </c>
      <c r="J159" s="12" t="s">
        <v>707</v>
      </c>
      <c r="K159" s="13" t="s">
        <v>321</v>
      </c>
      <c r="L159" s="12" t="s">
        <v>222</v>
      </c>
      <c r="M159" s="12" t="s">
        <v>223</v>
      </c>
      <c r="N159" s="12" t="s">
        <v>23</v>
      </c>
    </row>
    <row r="160" customFormat="false" ht="27.5" hidden="false" customHeight="false" outlineLevel="0" collapsed="false">
      <c r="A160" s="7" t="s">
        <v>708</v>
      </c>
      <c r="B160" s="8" t="s">
        <v>709</v>
      </c>
      <c r="C160" s="7" t="s">
        <v>708</v>
      </c>
      <c r="D160" s="9" t="n">
        <v>22</v>
      </c>
      <c r="E160" s="10" t="s">
        <v>47</v>
      </c>
      <c r="F160" s="10" t="s">
        <v>106</v>
      </c>
      <c r="G160" s="10" t="s">
        <v>106</v>
      </c>
      <c r="H160" s="16" t="n">
        <v>4</v>
      </c>
      <c r="I160" s="17" t="s">
        <v>465</v>
      </c>
      <c r="J160" s="12" t="s">
        <v>710</v>
      </c>
      <c r="K160" s="13" t="s">
        <v>43</v>
      </c>
      <c r="L160" s="12" t="s">
        <v>222</v>
      </c>
      <c r="M160" s="12" t="s">
        <v>223</v>
      </c>
      <c r="N160" s="12" t="s">
        <v>23</v>
      </c>
    </row>
    <row r="161" customFormat="false" ht="44.5" hidden="false" customHeight="false" outlineLevel="0" collapsed="false">
      <c r="A161" s="7" t="s">
        <v>711</v>
      </c>
      <c r="B161" s="8" t="s">
        <v>712</v>
      </c>
      <c r="C161" s="7" t="s">
        <v>711</v>
      </c>
      <c r="D161" s="9" t="n">
        <v>10</v>
      </c>
      <c r="E161" s="10" t="s">
        <v>142</v>
      </c>
      <c r="F161" s="10" t="s">
        <v>98</v>
      </c>
      <c r="G161" s="10" t="s">
        <v>98</v>
      </c>
      <c r="H161" s="16" t="n">
        <v>4</v>
      </c>
      <c r="I161" s="17" t="s">
        <v>465</v>
      </c>
      <c r="J161" s="12" t="s">
        <v>713</v>
      </c>
      <c r="K161" s="13" t="s">
        <v>196</v>
      </c>
      <c r="L161" s="12" t="s">
        <v>222</v>
      </c>
      <c r="M161" s="12" t="s">
        <v>223</v>
      </c>
      <c r="N161" s="12" t="s">
        <v>23</v>
      </c>
    </row>
    <row r="162" customFormat="false" ht="44.5" hidden="false" customHeight="false" outlineLevel="0" collapsed="false">
      <c r="A162" s="14" t="s">
        <v>714</v>
      </c>
      <c r="B162" s="15" t="s">
        <v>299</v>
      </c>
      <c r="C162" s="14" t="s">
        <v>714</v>
      </c>
      <c r="D162" s="9" t="n">
        <v>22</v>
      </c>
      <c r="E162" s="10" t="s">
        <v>47</v>
      </c>
      <c r="F162" s="10" t="s">
        <v>79</v>
      </c>
      <c r="G162" s="10" t="s">
        <v>98</v>
      </c>
      <c r="H162" s="16" t="n">
        <v>4</v>
      </c>
      <c r="I162" s="17" t="s">
        <v>465</v>
      </c>
      <c r="J162" s="18" t="s">
        <v>715</v>
      </c>
      <c r="K162" s="13" t="s">
        <v>650</v>
      </c>
      <c r="L162" s="12" t="s">
        <v>222</v>
      </c>
      <c r="M162" s="12" t="s">
        <v>223</v>
      </c>
      <c r="N162" s="12" t="s">
        <v>23</v>
      </c>
    </row>
    <row r="163" customFormat="false" ht="36" hidden="false" customHeight="false" outlineLevel="0" collapsed="false">
      <c r="A163" s="7" t="s">
        <v>716</v>
      </c>
      <c r="B163" s="8" t="s">
        <v>717</v>
      </c>
      <c r="C163" s="7" t="s">
        <v>716</v>
      </c>
      <c r="D163" s="9" t="n">
        <v>9</v>
      </c>
      <c r="E163" s="10" t="s">
        <v>113</v>
      </c>
      <c r="F163" s="10" t="s">
        <v>98</v>
      </c>
      <c r="G163" s="10" t="s">
        <v>98</v>
      </c>
      <c r="H163" s="16" t="n">
        <v>4</v>
      </c>
      <c r="I163" s="17" t="s">
        <v>465</v>
      </c>
      <c r="J163" s="12" t="s">
        <v>718</v>
      </c>
      <c r="K163" s="13" t="s">
        <v>267</v>
      </c>
      <c r="L163" s="12" t="s">
        <v>222</v>
      </c>
      <c r="M163" s="12" t="s">
        <v>223</v>
      </c>
      <c r="N163" s="12" t="s">
        <v>23</v>
      </c>
    </row>
    <row r="164" customFormat="false" ht="44.5" hidden="false" customHeight="false" outlineLevel="0" collapsed="false">
      <c r="A164" s="7" t="s">
        <v>719</v>
      </c>
      <c r="B164" s="8" t="s">
        <v>720</v>
      </c>
      <c r="C164" s="7" t="s">
        <v>719</v>
      </c>
      <c r="D164" s="9" t="n">
        <v>9</v>
      </c>
      <c r="E164" s="10" t="s">
        <v>113</v>
      </c>
      <c r="F164" s="10" t="s">
        <v>98</v>
      </c>
      <c r="G164" s="10" t="s">
        <v>98</v>
      </c>
      <c r="H164" s="16" t="n">
        <v>4</v>
      </c>
      <c r="I164" s="17" t="s">
        <v>465</v>
      </c>
      <c r="J164" s="12" t="s">
        <v>721</v>
      </c>
      <c r="K164" s="13" t="s">
        <v>267</v>
      </c>
      <c r="L164" s="12" t="s">
        <v>222</v>
      </c>
      <c r="M164" s="12" t="s">
        <v>223</v>
      </c>
      <c r="N164" s="12" t="s">
        <v>23</v>
      </c>
    </row>
    <row r="165" customFormat="false" ht="36" hidden="false" customHeight="false" outlineLevel="0" collapsed="false">
      <c r="A165" s="7" t="s">
        <v>722</v>
      </c>
      <c r="B165" s="8" t="s">
        <v>723</v>
      </c>
      <c r="C165" s="7" t="s">
        <v>722</v>
      </c>
      <c r="D165" s="9" t="n">
        <v>5</v>
      </c>
      <c r="E165" s="10" t="s">
        <v>63</v>
      </c>
      <c r="F165" s="10" t="s">
        <v>98</v>
      </c>
      <c r="G165" s="10" t="s">
        <v>98</v>
      </c>
      <c r="H165" s="16" t="n">
        <v>4</v>
      </c>
      <c r="I165" s="17" t="s">
        <v>724</v>
      </c>
      <c r="J165" s="12" t="s">
        <v>725</v>
      </c>
      <c r="K165" s="12"/>
      <c r="L165" s="12"/>
      <c r="M165" s="12"/>
      <c r="N165" s="12"/>
    </row>
    <row r="166" customFormat="false" ht="53" hidden="false" customHeight="false" outlineLevel="0" collapsed="false">
      <c r="A166" s="7" t="s">
        <v>726</v>
      </c>
      <c r="B166" s="8" t="s">
        <v>727</v>
      </c>
      <c r="C166" s="7" t="s">
        <v>726</v>
      </c>
      <c r="D166" s="9" t="n">
        <v>22</v>
      </c>
      <c r="E166" s="9" t="s">
        <v>47</v>
      </c>
      <c r="F166" s="10" t="s">
        <v>354</v>
      </c>
      <c r="G166" s="10" t="s">
        <v>354</v>
      </c>
      <c r="H166" s="16" t="n">
        <v>4</v>
      </c>
      <c r="I166" s="17" t="s">
        <v>465</v>
      </c>
      <c r="J166" s="18" t="s">
        <v>728</v>
      </c>
      <c r="K166" s="13" t="s">
        <v>729</v>
      </c>
      <c r="L166" s="12" t="s">
        <v>222</v>
      </c>
      <c r="M166" s="12" t="s">
        <v>223</v>
      </c>
      <c r="N166" s="12" t="s">
        <v>23</v>
      </c>
    </row>
    <row r="167" customFormat="false" ht="36" hidden="false" customHeight="false" outlineLevel="0" collapsed="false">
      <c r="A167" s="7" t="s">
        <v>730</v>
      </c>
      <c r="B167" s="8" t="s">
        <v>731</v>
      </c>
      <c r="C167" s="7" t="s">
        <v>730</v>
      </c>
      <c r="D167" s="9" t="n">
        <v>22</v>
      </c>
      <c r="E167" s="10" t="s">
        <v>47</v>
      </c>
      <c r="F167" s="10" t="s">
        <v>354</v>
      </c>
      <c r="G167" s="10" t="s">
        <v>354</v>
      </c>
      <c r="H167" s="16" t="n">
        <v>4</v>
      </c>
      <c r="I167" s="17" t="s">
        <v>465</v>
      </c>
      <c r="J167" s="12" t="s">
        <v>732</v>
      </c>
      <c r="K167" s="13" t="s">
        <v>356</v>
      </c>
      <c r="L167" s="12" t="s">
        <v>222</v>
      </c>
      <c r="M167" s="12" t="s">
        <v>223</v>
      </c>
      <c r="N167" s="12" t="s">
        <v>23</v>
      </c>
    </row>
    <row r="168" customFormat="false" ht="36" hidden="false" customHeight="false" outlineLevel="0" collapsed="false">
      <c r="A168" s="20" t="s">
        <v>733</v>
      </c>
      <c r="B168" s="15" t="s">
        <v>734</v>
      </c>
      <c r="C168" s="20" t="s">
        <v>733</v>
      </c>
      <c r="D168" s="9" t="n">
        <v>21</v>
      </c>
      <c r="E168" s="10" t="s">
        <v>117</v>
      </c>
      <c r="F168" s="10" t="s">
        <v>118</v>
      </c>
      <c r="G168" s="10" t="s">
        <v>119</v>
      </c>
      <c r="H168" s="16" t="n">
        <v>4</v>
      </c>
      <c r="I168" s="17" t="s">
        <v>465</v>
      </c>
      <c r="J168" s="13" t="s">
        <v>735</v>
      </c>
      <c r="K168" s="13" t="s">
        <v>736</v>
      </c>
      <c r="L168" s="12" t="s">
        <v>222</v>
      </c>
      <c r="M168" s="12" t="s">
        <v>223</v>
      </c>
      <c r="N168" s="12" t="s">
        <v>23</v>
      </c>
    </row>
    <row r="169" customFormat="false" ht="36" hidden="false" customHeight="false" outlineLevel="0" collapsed="false">
      <c r="A169" s="20" t="s">
        <v>737</v>
      </c>
      <c r="B169" s="15" t="s">
        <v>738</v>
      </c>
      <c r="C169" s="20" t="s">
        <v>737</v>
      </c>
      <c r="D169" s="9" t="n">
        <v>21</v>
      </c>
      <c r="E169" s="10" t="s">
        <v>117</v>
      </c>
      <c r="F169" s="10" t="s">
        <v>210</v>
      </c>
      <c r="G169" s="10" t="s">
        <v>119</v>
      </c>
      <c r="H169" s="16" t="n">
        <v>4</v>
      </c>
      <c r="I169" s="17" t="s">
        <v>465</v>
      </c>
      <c r="J169" s="13" t="s">
        <v>739</v>
      </c>
      <c r="K169" s="13" t="s">
        <v>740</v>
      </c>
      <c r="L169" s="12" t="s">
        <v>222</v>
      </c>
      <c r="M169" s="12" t="s">
        <v>223</v>
      </c>
      <c r="N169" s="12" t="s">
        <v>23</v>
      </c>
    </row>
    <row r="170" customFormat="false" ht="36" hidden="false" customHeight="false" outlineLevel="0" collapsed="false">
      <c r="A170" s="20" t="s">
        <v>741</v>
      </c>
      <c r="B170" s="15" t="s">
        <v>742</v>
      </c>
      <c r="C170" s="20" t="s">
        <v>741</v>
      </c>
      <c r="D170" s="9" t="n">
        <v>21</v>
      </c>
      <c r="E170" s="10" t="s">
        <v>117</v>
      </c>
      <c r="F170" s="10" t="s">
        <v>123</v>
      </c>
      <c r="G170" s="10" t="s">
        <v>119</v>
      </c>
      <c r="H170" s="16" t="n">
        <v>4</v>
      </c>
      <c r="I170" s="17" t="s">
        <v>465</v>
      </c>
      <c r="J170" s="13" t="s">
        <v>743</v>
      </c>
      <c r="K170" s="13" t="s">
        <v>744</v>
      </c>
      <c r="L170" s="12" t="s">
        <v>222</v>
      </c>
      <c r="M170" s="12" t="s">
        <v>223</v>
      </c>
      <c r="N170" s="12" t="s">
        <v>23</v>
      </c>
    </row>
    <row r="171" customFormat="false" ht="27.5" hidden="false" customHeight="false" outlineLevel="0" collapsed="false">
      <c r="A171" s="14" t="s">
        <v>745</v>
      </c>
      <c r="B171" s="15" t="s">
        <v>746</v>
      </c>
      <c r="C171" s="14" t="s">
        <v>745</v>
      </c>
      <c r="D171" s="9" t="n">
        <v>21</v>
      </c>
      <c r="E171" s="10" t="s">
        <v>117</v>
      </c>
      <c r="F171" s="10" t="s">
        <v>747</v>
      </c>
      <c r="G171" s="10" t="s">
        <v>748</v>
      </c>
      <c r="H171" s="16" t="n">
        <v>4</v>
      </c>
      <c r="I171" s="17" t="s">
        <v>465</v>
      </c>
      <c r="J171" s="21" t="s">
        <v>749</v>
      </c>
      <c r="K171" s="13" t="s">
        <v>367</v>
      </c>
      <c r="L171" s="12" t="s">
        <v>222</v>
      </c>
      <c r="M171" s="12" t="s">
        <v>223</v>
      </c>
      <c r="N171" s="12" t="s">
        <v>23</v>
      </c>
    </row>
    <row r="172" customFormat="false" ht="87" hidden="false" customHeight="true" outlineLevel="0" collapsed="false">
      <c r="A172" s="14" t="s">
        <v>750</v>
      </c>
      <c r="B172" s="15" t="s">
        <v>751</v>
      </c>
      <c r="C172" s="14" t="s">
        <v>750</v>
      </c>
      <c r="D172" s="9" t="n">
        <v>21</v>
      </c>
      <c r="E172" s="10" t="s">
        <v>117</v>
      </c>
      <c r="F172" s="10" t="s">
        <v>752</v>
      </c>
      <c r="G172" s="10" t="s">
        <v>748</v>
      </c>
      <c r="H172" s="16" t="n">
        <v>4</v>
      </c>
      <c r="I172" s="17" t="s">
        <v>465</v>
      </c>
      <c r="J172" s="21" t="s">
        <v>753</v>
      </c>
      <c r="K172" s="13" t="s">
        <v>321</v>
      </c>
      <c r="L172" s="12" t="s">
        <v>222</v>
      </c>
      <c r="M172" s="12" t="s">
        <v>223</v>
      </c>
      <c r="N172" s="12" t="s">
        <v>23</v>
      </c>
    </row>
    <row r="173" customFormat="false" ht="44.5" hidden="false" customHeight="false" outlineLevel="0" collapsed="false">
      <c r="A173" s="14" t="s">
        <v>754</v>
      </c>
      <c r="B173" s="15" t="s">
        <v>755</v>
      </c>
      <c r="C173" s="14" t="s">
        <v>754</v>
      </c>
      <c r="D173" s="9" t="n">
        <v>21</v>
      </c>
      <c r="E173" s="10" t="s">
        <v>117</v>
      </c>
      <c r="F173" s="10" t="s">
        <v>123</v>
      </c>
      <c r="G173" s="10" t="s">
        <v>748</v>
      </c>
      <c r="H173" s="16" t="n">
        <v>4</v>
      </c>
      <c r="I173" s="17" t="s">
        <v>465</v>
      </c>
      <c r="J173" s="21" t="s">
        <v>756</v>
      </c>
      <c r="K173" s="13" t="s">
        <v>654</v>
      </c>
      <c r="L173" s="12" t="s">
        <v>222</v>
      </c>
      <c r="M173" s="12" t="s">
        <v>223</v>
      </c>
      <c r="N173" s="12" t="s">
        <v>23</v>
      </c>
    </row>
    <row r="174" customFormat="false" ht="44.5" hidden="false" customHeight="false" outlineLevel="0" collapsed="false">
      <c r="A174" s="14" t="s">
        <v>757</v>
      </c>
      <c r="B174" s="15" t="s">
        <v>758</v>
      </c>
      <c r="C174" s="14" t="s">
        <v>757</v>
      </c>
      <c r="D174" s="9" t="n">
        <v>21</v>
      </c>
      <c r="E174" s="10" t="s">
        <v>117</v>
      </c>
      <c r="F174" s="10" t="s">
        <v>210</v>
      </c>
      <c r="G174" s="10" t="s">
        <v>748</v>
      </c>
      <c r="H174" s="16" t="n">
        <v>4</v>
      </c>
      <c r="I174" s="17" t="s">
        <v>465</v>
      </c>
      <c r="J174" s="21" t="s">
        <v>756</v>
      </c>
      <c r="K174" s="13" t="s">
        <v>740</v>
      </c>
      <c r="L174" s="12" t="s">
        <v>222</v>
      </c>
      <c r="M174" s="12" t="s">
        <v>223</v>
      </c>
      <c r="N174" s="12" t="s">
        <v>23</v>
      </c>
    </row>
    <row r="175" customFormat="false" ht="44.5" hidden="false" customHeight="false" outlineLevel="0" collapsed="false">
      <c r="A175" s="14" t="s">
        <v>759</v>
      </c>
      <c r="B175" s="15" t="s">
        <v>760</v>
      </c>
      <c r="C175" s="14" t="s">
        <v>759</v>
      </c>
      <c r="D175" s="9" t="n">
        <v>21</v>
      </c>
      <c r="E175" s="10" t="s">
        <v>117</v>
      </c>
      <c r="F175" s="10" t="s">
        <v>761</v>
      </c>
      <c r="G175" s="10" t="s">
        <v>748</v>
      </c>
      <c r="H175" s="16" t="n">
        <v>4</v>
      </c>
      <c r="I175" s="17" t="s">
        <v>465</v>
      </c>
      <c r="J175" s="21" t="s">
        <v>756</v>
      </c>
      <c r="K175" s="13" t="s">
        <v>321</v>
      </c>
      <c r="L175" s="12" t="s">
        <v>222</v>
      </c>
      <c r="M175" s="12" t="s">
        <v>223</v>
      </c>
      <c r="N175" s="12" t="s">
        <v>23</v>
      </c>
    </row>
    <row r="176" customFormat="false" ht="53" hidden="false" customHeight="false" outlineLevel="0" collapsed="false">
      <c r="A176" s="14" t="s">
        <v>762</v>
      </c>
      <c r="B176" s="15" t="s">
        <v>763</v>
      </c>
      <c r="C176" s="14" t="s">
        <v>762</v>
      </c>
      <c r="D176" s="9" t="n">
        <v>6</v>
      </c>
      <c r="E176" s="9" t="s">
        <v>180</v>
      </c>
      <c r="F176" s="10" t="s">
        <v>764</v>
      </c>
      <c r="G176" s="10" t="s">
        <v>764</v>
      </c>
      <c r="H176" s="16" t="n">
        <v>4</v>
      </c>
      <c r="I176" s="17" t="s">
        <v>465</v>
      </c>
      <c r="J176" s="18" t="s">
        <v>765</v>
      </c>
      <c r="K176" s="13" t="s">
        <v>429</v>
      </c>
      <c r="L176" s="12" t="s">
        <v>222</v>
      </c>
      <c r="M176" s="12" t="s">
        <v>223</v>
      </c>
      <c r="N176" s="12" t="s">
        <v>23</v>
      </c>
    </row>
    <row r="177" customFormat="false" ht="61.5" hidden="false" customHeight="false" outlineLevel="0" collapsed="false">
      <c r="A177" s="14" t="s">
        <v>766</v>
      </c>
      <c r="B177" s="15" t="s">
        <v>767</v>
      </c>
      <c r="C177" s="14" t="s">
        <v>766</v>
      </c>
      <c r="D177" s="9" t="n">
        <v>10</v>
      </c>
      <c r="E177" s="10" t="s">
        <v>142</v>
      </c>
      <c r="F177" s="10" t="s">
        <v>768</v>
      </c>
      <c r="G177" s="10" t="s">
        <v>769</v>
      </c>
      <c r="H177" s="16" t="n">
        <v>4</v>
      </c>
      <c r="I177" s="17" t="s">
        <v>465</v>
      </c>
      <c r="J177" s="18" t="s">
        <v>770</v>
      </c>
      <c r="K177" s="13" t="s">
        <v>771</v>
      </c>
      <c r="L177" s="12" t="s">
        <v>222</v>
      </c>
      <c r="M177" s="12" t="s">
        <v>223</v>
      </c>
      <c r="N177" s="12" t="s">
        <v>23</v>
      </c>
    </row>
    <row r="178" customFormat="false" ht="27.5" hidden="false" customHeight="false" outlineLevel="0" collapsed="false">
      <c r="A178" s="7" t="s">
        <v>772</v>
      </c>
      <c r="B178" s="8" t="s">
        <v>773</v>
      </c>
      <c r="C178" s="7" t="s">
        <v>772</v>
      </c>
      <c r="D178" s="9" t="n">
        <v>9</v>
      </c>
      <c r="E178" s="10" t="s">
        <v>113</v>
      </c>
      <c r="F178" s="10" t="s">
        <v>774</v>
      </c>
      <c r="G178" s="10" t="s">
        <v>774</v>
      </c>
      <c r="H178" s="16" t="n">
        <v>4</v>
      </c>
      <c r="I178" s="17" t="s">
        <v>465</v>
      </c>
      <c r="J178" s="12" t="s">
        <v>775</v>
      </c>
      <c r="K178" s="13" t="s">
        <v>196</v>
      </c>
      <c r="L178" s="12" t="s">
        <v>222</v>
      </c>
      <c r="M178" s="12" t="s">
        <v>223</v>
      </c>
      <c r="N178" s="12" t="s">
        <v>23</v>
      </c>
    </row>
    <row r="179" customFormat="false" ht="36" hidden="false" customHeight="false" outlineLevel="0" collapsed="false">
      <c r="A179" s="7" t="s">
        <v>776</v>
      </c>
      <c r="B179" s="8" t="s">
        <v>777</v>
      </c>
      <c r="C179" s="7" t="s">
        <v>776</v>
      </c>
      <c r="D179" s="9" t="n">
        <v>5</v>
      </c>
      <c r="E179" s="10" t="s">
        <v>63</v>
      </c>
      <c r="F179" s="10" t="s">
        <v>134</v>
      </c>
      <c r="G179" s="10" t="s">
        <v>134</v>
      </c>
      <c r="H179" s="16" t="n">
        <v>4</v>
      </c>
      <c r="I179" s="17" t="s">
        <v>465</v>
      </c>
      <c r="J179" s="12" t="s">
        <v>778</v>
      </c>
      <c r="K179" s="13" t="s">
        <v>384</v>
      </c>
      <c r="L179" s="12" t="s">
        <v>222</v>
      </c>
      <c r="M179" s="12" t="s">
        <v>223</v>
      </c>
      <c r="N179" s="12" t="s">
        <v>23</v>
      </c>
    </row>
    <row r="180" customFormat="false" ht="27.5" hidden="false" customHeight="false" outlineLevel="0" collapsed="false">
      <c r="A180" s="14" t="s">
        <v>779</v>
      </c>
      <c r="B180" s="15" t="s">
        <v>780</v>
      </c>
      <c r="C180" s="14" t="s">
        <v>779</v>
      </c>
      <c r="D180" s="9" t="n">
        <v>22</v>
      </c>
      <c r="E180" s="10" t="s">
        <v>47</v>
      </c>
      <c r="F180" s="10" t="s">
        <v>781</v>
      </c>
      <c r="G180" s="10" t="s">
        <v>782</v>
      </c>
      <c r="H180" s="16" t="n">
        <v>4</v>
      </c>
      <c r="I180" s="17" t="s">
        <v>465</v>
      </c>
      <c r="J180" s="21" t="s">
        <v>783</v>
      </c>
      <c r="K180" s="13" t="s">
        <v>325</v>
      </c>
      <c r="L180" s="12" t="s">
        <v>222</v>
      </c>
      <c r="M180" s="12" t="s">
        <v>223</v>
      </c>
      <c r="N180" s="12" t="s">
        <v>23</v>
      </c>
    </row>
    <row r="181" customFormat="false" ht="27.5" hidden="false" customHeight="false" outlineLevel="0" collapsed="false">
      <c r="A181" s="14" t="s">
        <v>784</v>
      </c>
      <c r="B181" s="15" t="s">
        <v>785</v>
      </c>
      <c r="C181" s="14" t="s">
        <v>784</v>
      </c>
      <c r="D181" s="9" t="n">
        <v>22</v>
      </c>
      <c r="E181" s="10" t="s">
        <v>47</v>
      </c>
      <c r="F181" s="10" t="s">
        <v>781</v>
      </c>
      <c r="G181" s="10" t="s">
        <v>786</v>
      </c>
      <c r="H181" s="16" t="n">
        <v>4</v>
      </c>
      <c r="I181" s="17" t="s">
        <v>465</v>
      </c>
      <c r="J181" s="21" t="s">
        <v>787</v>
      </c>
      <c r="K181" s="13" t="s">
        <v>788</v>
      </c>
      <c r="L181" s="12" t="s">
        <v>222</v>
      </c>
      <c r="M181" s="12" t="s">
        <v>223</v>
      </c>
      <c r="N181" s="12" t="s">
        <v>23</v>
      </c>
    </row>
    <row r="182" customFormat="false" ht="27.5" hidden="false" customHeight="false" outlineLevel="0" collapsed="false">
      <c r="A182" s="20" t="s">
        <v>789</v>
      </c>
      <c r="B182" s="15" t="s">
        <v>790</v>
      </c>
      <c r="C182" s="20" t="s">
        <v>789</v>
      </c>
      <c r="D182" s="9" t="n">
        <v>5</v>
      </c>
      <c r="E182" s="10" t="s">
        <v>63</v>
      </c>
      <c r="F182" s="10" t="s">
        <v>791</v>
      </c>
      <c r="G182" s="10" t="s">
        <v>791</v>
      </c>
      <c r="H182" s="16" t="n">
        <v>4</v>
      </c>
      <c r="I182" s="17" t="s">
        <v>465</v>
      </c>
      <c r="J182" s="13" t="s">
        <v>792</v>
      </c>
      <c r="K182" s="13" t="s">
        <v>793</v>
      </c>
      <c r="L182" s="12" t="s">
        <v>222</v>
      </c>
      <c r="M182" s="12" t="s">
        <v>223</v>
      </c>
      <c r="N182" s="12" t="s">
        <v>23</v>
      </c>
    </row>
    <row r="183" customFormat="false" ht="19" hidden="false" customHeight="false" outlineLevel="0" collapsed="false">
      <c r="A183" s="22" t="s">
        <v>794</v>
      </c>
      <c r="B183" s="8" t="s">
        <v>795</v>
      </c>
      <c r="C183" s="22" t="s">
        <v>794</v>
      </c>
      <c r="D183" s="9" t="n">
        <v>18</v>
      </c>
      <c r="E183" s="10" t="s">
        <v>449</v>
      </c>
      <c r="F183" s="10" t="s">
        <v>796</v>
      </c>
      <c r="G183" s="10" t="s">
        <v>797</v>
      </c>
      <c r="H183" s="16" t="n">
        <v>4</v>
      </c>
      <c r="I183" s="17" t="s">
        <v>465</v>
      </c>
      <c r="J183" s="18" t="s">
        <v>798</v>
      </c>
      <c r="K183" s="13" t="s">
        <v>544</v>
      </c>
      <c r="L183" s="12" t="s">
        <v>222</v>
      </c>
      <c r="M183" s="12" t="s">
        <v>223</v>
      </c>
      <c r="N183" s="12" t="s">
        <v>23</v>
      </c>
    </row>
    <row r="184" customFormat="false" ht="78.5" hidden="false" customHeight="false" outlineLevel="0" collapsed="false">
      <c r="A184" s="20" t="s">
        <v>799</v>
      </c>
      <c r="B184" s="15" t="s">
        <v>800</v>
      </c>
      <c r="C184" s="20" t="s">
        <v>799</v>
      </c>
      <c r="D184" s="9" t="n">
        <v>22</v>
      </c>
      <c r="E184" s="10" t="s">
        <v>47</v>
      </c>
      <c r="F184" s="10" t="s">
        <v>801</v>
      </c>
      <c r="G184" s="10" t="s">
        <v>801</v>
      </c>
      <c r="H184" s="16" t="n">
        <v>4</v>
      </c>
      <c r="I184" s="17" t="s">
        <v>465</v>
      </c>
      <c r="J184" s="13" t="s">
        <v>802</v>
      </c>
      <c r="K184" s="13" t="s">
        <v>650</v>
      </c>
      <c r="L184" s="12" t="s">
        <v>222</v>
      </c>
      <c r="M184" s="12" t="s">
        <v>223</v>
      </c>
      <c r="N184" s="12" t="s">
        <v>23</v>
      </c>
    </row>
    <row r="185" customFormat="false" ht="36" hidden="false" customHeight="false" outlineLevel="0" collapsed="false">
      <c r="A185" s="7" t="s">
        <v>803</v>
      </c>
      <c r="B185" s="8" t="s">
        <v>804</v>
      </c>
      <c r="C185" s="7" t="s">
        <v>803</v>
      </c>
      <c r="D185" s="9" t="n">
        <v>5</v>
      </c>
      <c r="E185" s="10" t="s">
        <v>63</v>
      </c>
      <c r="F185" s="10" t="s">
        <v>805</v>
      </c>
      <c r="G185" s="10" t="s">
        <v>805</v>
      </c>
      <c r="H185" s="16" t="n">
        <v>4</v>
      </c>
      <c r="I185" s="17" t="s">
        <v>465</v>
      </c>
      <c r="J185" s="12" t="s">
        <v>806</v>
      </c>
      <c r="K185" s="13" t="s">
        <v>807</v>
      </c>
      <c r="L185" s="12" t="s">
        <v>222</v>
      </c>
      <c r="M185" s="12" t="s">
        <v>223</v>
      </c>
      <c r="N185" s="12" t="s">
        <v>23</v>
      </c>
    </row>
    <row r="186" customFormat="false" ht="27.5" hidden="false" customHeight="false" outlineLevel="0" collapsed="false">
      <c r="A186" s="7" t="s">
        <v>808</v>
      </c>
      <c r="B186" s="8" t="s">
        <v>809</v>
      </c>
      <c r="C186" s="7" t="s">
        <v>808</v>
      </c>
      <c r="D186" s="9" t="n">
        <v>5</v>
      </c>
      <c r="E186" s="10" t="s">
        <v>63</v>
      </c>
      <c r="F186" s="10" t="s">
        <v>805</v>
      </c>
      <c r="G186" s="10" t="s">
        <v>805</v>
      </c>
      <c r="H186" s="16" t="n">
        <v>4</v>
      </c>
      <c r="I186" s="17" t="s">
        <v>465</v>
      </c>
      <c r="J186" s="12" t="s">
        <v>810</v>
      </c>
      <c r="K186" s="13" t="s">
        <v>811</v>
      </c>
      <c r="L186" s="12" t="s">
        <v>222</v>
      </c>
      <c r="M186" s="12" t="s">
        <v>223</v>
      </c>
      <c r="N186" s="12" t="s">
        <v>23</v>
      </c>
    </row>
    <row r="187" customFormat="false" ht="19" hidden="false" customHeight="false" outlineLevel="0" collapsed="false">
      <c r="A187" s="7" t="s">
        <v>812</v>
      </c>
      <c r="B187" s="8" t="s">
        <v>813</v>
      </c>
      <c r="C187" s="7" t="s">
        <v>812</v>
      </c>
      <c r="D187" s="9" t="n">
        <v>5</v>
      </c>
      <c r="E187" s="10" t="s">
        <v>63</v>
      </c>
      <c r="F187" s="10" t="s">
        <v>805</v>
      </c>
      <c r="G187" s="10" t="s">
        <v>805</v>
      </c>
      <c r="H187" s="16" t="n">
        <v>4</v>
      </c>
      <c r="I187" s="17" t="s">
        <v>615</v>
      </c>
      <c r="J187" s="12" t="s">
        <v>814</v>
      </c>
      <c r="K187" s="12" t="s">
        <v>815</v>
      </c>
      <c r="L187" s="12" t="s">
        <v>222</v>
      </c>
      <c r="M187" s="12" t="s">
        <v>816</v>
      </c>
      <c r="N187" s="12" t="s">
        <v>817</v>
      </c>
    </row>
    <row r="188" customFormat="false" ht="36" hidden="false" customHeight="false" outlineLevel="0" collapsed="false">
      <c r="A188" s="20" t="s">
        <v>818</v>
      </c>
      <c r="B188" s="15" t="s">
        <v>819</v>
      </c>
      <c r="C188" s="20" t="s">
        <v>818</v>
      </c>
      <c r="D188" s="9" t="n">
        <v>6</v>
      </c>
      <c r="E188" s="9" t="s">
        <v>180</v>
      </c>
      <c r="F188" s="10" t="s">
        <v>820</v>
      </c>
      <c r="G188" s="10" t="s">
        <v>821</v>
      </c>
      <c r="H188" s="16" t="n">
        <v>4</v>
      </c>
      <c r="I188" s="17" t="s">
        <v>465</v>
      </c>
      <c r="J188" s="13" t="s">
        <v>822</v>
      </c>
      <c r="K188" s="13" t="s">
        <v>823</v>
      </c>
      <c r="L188" s="12" t="s">
        <v>222</v>
      </c>
      <c r="M188" s="12" t="s">
        <v>223</v>
      </c>
      <c r="N188" s="12" t="s">
        <v>23</v>
      </c>
    </row>
    <row r="189" customFormat="false" ht="27.5" hidden="false" customHeight="false" outlineLevel="0" collapsed="false">
      <c r="A189" s="7" t="s">
        <v>824</v>
      </c>
      <c r="B189" s="8" t="s">
        <v>825</v>
      </c>
      <c r="C189" s="7" t="s">
        <v>824</v>
      </c>
      <c r="D189" s="9" t="n">
        <v>10</v>
      </c>
      <c r="E189" s="10" t="s">
        <v>142</v>
      </c>
      <c r="F189" s="10" t="s">
        <v>826</v>
      </c>
      <c r="G189" s="10" t="s">
        <v>826</v>
      </c>
      <c r="H189" s="16" t="n">
        <v>4</v>
      </c>
      <c r="I189" s="17" t="s">
        <v>465</v>
      </c>
      <c r="J189" s="12" t="s">
        <v>827</v>
      </c>
      <c r="K189" s="13" t="s">
        <v>200</v>
      </c>
      <c r="L189" s="12" t="s">
        <v>222</v>
      </c>
      <c r="M189" s="12" t="s">
        <v>223</v>
      </c>
      <c r="N189" s="12" t="s">
        <v>23</v>
      </c>
    </row>
    <row r="190" customFormat="false" ht="19" hidden="false" customHeight="false" outlineLevel="0" collapsed="false">
      <c r="A190" s="7" t="s">
        <v>828</v>
      </c>
      <c r="B190" s="8" t="s">
        <v>829</v>
      </c>
      <c r="C190" s="7" t="s">
        <v>828</v>
      </c>
      <c r="D190" s="9" t="n">
        <v>6</v>
      </c>
      <c r="E190" s="10" t="s">
        <v>180</v>
      </c>
      <c r="F190" s="10" t="s">
        <v>830</v>
      </c>
      <c r="G190" s="10" t="s">
        <v>830</v>
      </c>
      <c r="H190" s="16" t="n">
        <v>4</v>
      </c>
      <c r="I190" s="17" t="s">
        <v>465</v>
      </c>
      <c r="J190" s="12" t="s">
        <v>831</v>
      </c>
      <c r="K190" s="13" t="s">
        <v>43</v>
      </c>
      <c r="L190" s="12" t="s">
        <v>222</v>
      </c>
      <c r="M190" s="12" t="s">
        <v>223</v>
      </c>
      <c r="N190" s="12" t="s">
        <v>23</v>
      </c>
    </row>
    <row r="191" customFormat="false" ht="27.5" hidden="false" customHeight="false" outlineLevel="0" collapsed="false">
      <c r="A191" s="7" t="s">
        <v>832</v>
      </c>
      <c r="B191" s="8" t="s">
        <v>833</v>
      </c>
      <c r="C191" s="7" t="s">
        <v>832</v>
      </c>
      <c r="D191" s="9" t="n">
        <v>10</v>
      </c>
      <c r="E191" s="10" t="s">
        <v>142</v>
      </c>
      <c r="F191" s="10" t="s">
        <v>143</v>
      </c>
      <c r="G191" s="10" t="s">
        <v>143</v>
      </c>
      <c r="H191" s="16" t="n">
        <v>4</v>
      </c>
      <c r="I191" s="17" t="s">
        <v>465</v>
      </c>
      <c r="J191" s="12" t="s">
        <v>834</v>
      </c>
      <c r="K191" s="13" t="s">
        <v>835</v>
      </c>
      <c r="L191" s="12" t="s">
        <v>222</v>
      </c>
      <c r="M191" s="12" t="s">
        <v>223</v>
      </c>
      <c r="N191" s="12" t="s">
        <v>23</v>
      </c>
    </row>
    <row r="192" customFormat="false" ht="53" hidden="false" customHeight="false" outlineLevel="0" collapsed="false">
      <c r="A192" s="7" t="s">
        <v>836</v>
      </c>
      <c r="B192" s="8" t="s">
        <v>837</v>
      </c>
      <c r="C192" s="7" t="s">
        <v>836</v>
      </c>
      <c r="D192" s="9" t="n">
        <v>10</v>
      </c>
      <c r="E192" s="10" t="s">
        <v>142</v>
      </c>
      <c r="F192" s="10" t="s">
        <v>143</v>
      </c>
      <c r="G192" s="10" t="s">
        <v>143</v>
      </c>
      <c r="H192" s="16" t="n">
        <v>4</v>
      </c>
      <c r="I192" s="17" t="s">
        <v>465</v>
      </c>
      <c r="J192" s="12" t="s">
        <v>838</v>
      </c>
      <c r="K192" s="13" t="s">
        <v>835</v>
      </c>
      <c r="L192" s="12" t="s">
        <v>222</v>
      </c>
      <c r="M192" s="12" t="s">
        <v>223</v>
      </c>
      <c r="N192" s="12" t="s">
        <v>23</v>
      </c>
    </row>
    <row r="193" customFormat="false" ht="61.5" hidden="false" customHeight="false" outlineLevel="0" collapsed="false">
      <c r="A193" s="20" t="s">
        <v>839</v>
      </c>
      <c r="B193" s="15" t="s">
        <v>840</v>
      </c>
      <c r="C193" s="20" t="s">
        <v>839</v>
      </c>
      <c r="D193" s="9" t="n">
        <v>22</v>
      </c>
      <c r="E193" s="10" t="s">
        <v>47</v>
      </c>
      <c r="F193" s="10" t="s">
        <v>147</v>
      </c>
      <c r="G193" s="10" t="s">
        <v>147</v>
      </c>
      <c r="H193" s="16" t="n">
        <v>4</v>
      </c>
      <c r="I193" s="17" t="s">
        <v>465</v>
      </c>
      <c r="J193" s="13" t="s">
        <v>148</v>
      </c>
      <c r="K193" s="13" t="s">
        <v>841</v>
      </c>
      <c r="L193" s="12" t="s">
        <v>222</v>
      </c>
      <c r="M193" s="12" t="s">
        <v>223</v>
      </c>
      <c r="N193" s="12" t="s">
        <v>23</v>
      </c>
    </row>
    <row r="194" customFormat="false" ht="44.5" hidden="false" customHeight="false" outlineLevel="0" collapsed="false">
      <c r="A194" s="14" t="s">
        <v>842</v>
      </c>
      <c r="B194" s="15" t="s">
        <v>843</v>
      </c>
      <c r="C194" s="14" t="s">
        <v>842</v>
      </c>
      <c r="D194" s="9" t="n">
        <v>21</v>
      </c>
      <c r="E194" s="10" t="s">
        <v>117</v>
      </c>
      <c r="F194" s="10" t="s">
        <v>844</v>
      </c>
      <c r="G194" s="10" t="s">
        <v>123</v>
      </c>
      <c r="H194" s="16" t="n">
        <v>4</v>
      </c>
      <c r="I194" s="17" t="s">
        <v>465</v>
      </c>
      <c r="J194" s="18" t="s">
        <v>845</v>
      </c>
      <c r="K194" s="13" t="s">
        <v>461</v>
      </c>
      <c r="L194" s="12" t="s">
        <v>222</v>
      </c>
      <c r="M194" s="12" t="s">
        <v>223</v>
      </c>
      <c r="N194" s="12" t="s">
        <v>23</v>
      </c>
    </row>
    <row r="195" customFormat="false" ht="27.5" hidden="false" customHeight="false" outlineLevel="0" collapsed="false">
      <c r="A195" s="14" t="s">
        <v>846</v>
      </c>
      <c r="B195" s="15" t="s">
        <v>847</v>
      </c>
      <c r="C195" s="14" t="s">
        <v>846</v>
      </c>
      <c r="D195" s="9" t="n">
        <v>21</v>
      </c>
      <c r="E195" s="10" t="s">
        <v>117</v>
      </c>
      <c r="F195" s="10" t="s">
        <v>848</v>
      </c>
      <c r="G195" s="10" t="s">
        <v>123</v>
      </c>
      <c r="H195" s="16" t="n">
        <v>4</v>
      </c>
      <c r="I195" s="17" t="s">
        <v>465</v>
      </c>
      <c r="J195" s="18" t="s">
        <v>849</v>
      </c>
      <c r="K195" s="13" t="s">
        <v>215</v>
      </c>
      <c r="L195" s="12" t="s">
        <v>222</v>
      </c>
      <c r="M195" s="12" t="s">
        <v>223</v>
      </c>
      <c r="N195" s="12" t="s">
        <v>23</v>
      </c>
    </row>
    <row r="196" customFormat="false" ht="36" hidden="false" customHeight="false" outlineLevel="0" collapsed="false">
      <c r="A196" s="14" t="s">
        <v>850</v>
      </c>
      <c r="B196" s="15" t="s">
        <v>851</v>
      </c>
      <c r="C196" s="14" t="s">
        <v>850</v>
      </c>
      <c r="D196" s="9" t="n">
        <v>21</v>
      </c>
      <c r="E196" s="10" t="s">
        <v>117</v>
      </c>
      <c r="F196" s="10" t="s">
        <v>561</v>
      </c>
      <c r="G196" s="10" t="s">
        <v>123</v>
      </c>
      <c r="H196" s="16" t="n">
        <v>4</v>
      </c>
      <c r="I196" s="17" t="s">
        <v>465</v>
      </c>
      <c r="J196" s="18" t="s">
        <v>852</v>
      </c>
      <c r="K196" s="13" t="s">
        <v>321</v>
      </c>
      <c r="L196" s="12" t="s">
        <v>222</v>
      </c>
      <c r="M196" s="12" t="s">
        <v>223</v>
      </c>
      <c r="N196" s="12" t="s">
        <v>23</v>
      </c>
    </row>
    <row r="197" customFormat="false" ht="78.5" hidden="false" customHeight="false" outlineLevel="0" collapsed="false">
      <c r="A197" s="20" t="s">
        <v>853</v>
      </c>
      <c r="B197" s="15" t="s">
        <v>854</v>
      </c>
      <c r="C197" s="20" t="s">
        <v>853</v>
      </c>
      <c r="D197" s="9" t="n">
        <v>22</v>
      </c>
      <c r="E197" s="10" t="s">
        <v>47</v>
      </c>
      <c r="F197" s="10" t="s">
        <v>855</v>
      </c>
      <c r="G197" s="10" t="s">
        <v>856</v>
      </c>
      <c r="H197" s="16" t="n">
        <v>4</v>
      </c>
      <c r="I197" s="17" t="s">
        <v>465</v>
      </c>
      <c r="J197" s="13" t="s">
        <v>857</v>
      </c>
      <c r="K197" s="13" t="s">
        <v>325</v>
      </c>
      <c r="L197" s="12" t="s">
        <v>222</v>
      </c>
      <c r="M197" s="12" t="s">
        <v>223</v>
      </c>
      <c r="N197" s="12" t="s">
        <v>23</v>
      </c>
    </row>
    <row r="198" customFormat="false" ht="27.5" hidden="false" customHeight="false" outlineLevel="0" collapsed="false">
      <c r="A198" s="7" t="s">
        <v>858</v>
      </c>
      <c r="B198" s="8" t="s">
        <v>859</v>
      </c>
      <c r="C198" s="7" t="s">
        <v>858</v>
      </c>
      <c r="D198" s="9" t="n">
        <v>22</v>
      </c>
      <c r="E198" s="10" t="s">
        <v>47</v>
      </c>
      <c r="F198" s="10" t="s">
        <v>398</v>
      </c>
      <c r="G198" s="10" t="s">
        <v>39</v>
      </c>
      <c r="H198" s="16" t="n">
        <v>4</v>
      </c>
      <c r="I198" s="17" t="s">
        <v>465</v>
      </c>
      <c r="J198" s="12" t="s">
        <v>860</v>
      </c>
      <c r="K198" s="13" t="s">
        <v>305</v>
      </c>
      <c r="L198" s="12" t="s">
        <v>222</v>
      </c>
      <c r="M198" s="12" t="s">
        <v>223</v>
      </c>
      <c r="N198" s="12" t="s">
        <v>306</v>
      </c>
    </row>
    <row r="199" customFormat="false" ht="27.5" hidden="false" customHeight="false" outlineLevel="0" collapsed="false">
      <c r="A199" s="20" t="s">
        <v>861</v>
      </c>
      <c r="B199" s="15" t="s">
        <v>862</v>
      </c>
      <c r="C199" s="20" t="s">
        <v>861</v>
      </c>
      <c r="D199" s="9" t="n">
        <v>22</v>
      </c>
      <c r="E199" s="9" t="s">
        <v>47</v>
      </c>
      <c r="F199" s="10" t="s">
        <v>863</v>
      </c>
      <c r="G199" s="10" t="s">
        <v>863</v>
      </c>
      <c r="H199" s="16" t="n">
        <v>4</v>
      </c>
      <c r="I199" s="17" t="s">
        <v>465</v>
      </c>
      <c r="J199" s="13" t="s">
        <v>864</v>
      </c>
      <c r="K199" s="13" t="s">
        <v>650</v>
      </c>
      <c r="L199" s="12" t="s">
        <v>222</v>
      </c>
      <c r="M199" s="12" t="s">
        <v>223</v>
      </c>
      <c r="N199" s="12" t="s">
        <v>23</v>
      </c>
    </row>
    <row r="200" customFormat="false" ht="36" hidden="false" customHeight="false" outlineLevel="0" collapsed="false">
      <c r="A200" s="20" t="s">
        <v>865</v>
      </c>
      <c r="B200" s="15" t="s">
        <v>866</v>
      </c>
      <c r="C200" s="20" t="s">
        <v>865</v>
      </c>
      <c r="D200" s="9" t="n">
        <v>3</v>
      </c>
      <c r="E200" s="9" t="s">
        <v>39</v>
      </c>
      <c r="F200" s="10" t="s">
        <v>867</v>
      </c>
      <c r="G200" s="10" t="s">
        <v>867</v>
      </c>
      <c r="H200" s="16" t="n">
        <v>4</v>
      </c>
      <c r="I200" s="17" t="s">
        <v>465</v>
      </c>
      <c r="J200" s="13" t="s">
        <v>868</v>
      </c>
      <c r="K200" s="13" t="s">
        <v>869</v>
      </c>
      <c r="L200" s="12" t="s">
        <v>222</v>
      </c>
      <c r="M200" s="12" t="s">
        <v>223</v>
      </c>
      <c r="N200" s="12" t="s">
        <v>23</v>
      </c>
    </row>
    <row r="201" customFormat="false" ht="38" hidden="false" customHeight="false" outlineLevel="0" collapsed="false">
      <c r="A201" s="20" t="s">
        <v>870</v>
      </c>
      <c r="B201" s="15" t="s">
        <v>871</v>
      </c>
      <c r="C201" s="20" t="s">
        <v>870</v>
      </c>
      <c r="D201" s="9" t="n">
        <v>22</v>
      </c>
      <c r="E201" s="9" t="s">
        <v>47</v>
      </c>
      <c r="F201" s="10" t="s">
        <v>872</v>
      </c>
      <c r="G201" s="10" t="s">
        <v>873</v>
      </c>
      <c r="H201" s="16" t="n">
        <v>4</v>
      </c>
      <c r="I201" s="17" t="s">
        <v>465</v>
      </c>
      <c r="J201" s="13" t="s">
        <v>874</v>
      </c>
      <c r="K201" s="13" t="s">
        <v>650</v>
      </c>
      <c r="L201" s="12" t="s">
        <v>222</v>
      </c>
      <c r="M201" s="12" t="s">
        <v>223</v>
      </c>
      <c r="N201" s="12" t="s">
        <v>23</v>
      </c>
    </row>
    <row r="202" customFormat="false" ht="27.5" hidden="false" customHeight="false" outlineLevel="0" collapsed="false">
      <c r="A202" s="20" t="s">
        <v>875</v>
      </c>
      <c r="B202" s="15" t="s">
        <v>876</v>
      </c>
      <c r="C202" s="20" t="s">
        <v>875</v>
      </c>
      <c r="D202" s="9" t="n">
        <v>17</v>
      </c>
      <c r="E202" s="10" t="s">
        <v>415</v>
      </c>
      <c r="F202" s="10" t="s">
        <v>59</v>
      </c>
      <c r="G202" s="10" t="s">
        <v>417</v>
      </c>
      <c r="H202" s="16" t="n">
        <v>4</v>
      </c>
      <c r="I202" s="17" t="s">
        <v>465</v>
      </c>
      <c r="J202" s="13" t="s">
        <v>877</v>
      </c>
      <c r="K202" s="13" t="s">
        <v>878</v>
      </c>
      <c r="L202" s="12" t="s">
        <v>222</v>
      </c>
      <c r="M202" s="12" t="s">
        <v>223</v>
      </c>
      <c r="N202" s="12" t="s">
        <v>23</v>
      </c>
    </row>
    <row r="203" customFormat="false" ht="27.5" hidden="false" customHeight="false" outlineLevel="0" collapsed="false">
      <c r="A203" s="14" t="s">
        <v>879</v>
      </c>
      <c r="B203" s="15" t="s">
        <v>880</v>
      </c>
      <c r="C203" s="14" t="s">
        <v>879</v>
      </c>
      <c r="D203" s="9" t="n">
        <v>11</v>
      </c>
      <c r="E203" s="10" t="s">
        <v>69</v>
      </c>
      <c r="F203" s="10" t="s">
        <v>432</v>
      </c>
      <c r="G203" s="10" t="s">
        <v>432</v>
      </c>
      <c r="H203" s="16" t="n">
        <v>4</v>
      </c>
      <c r="I203" s="17" t="s">
        <v>465</v>
      </c>
      <c r="J203" s="18" t="s">
        <v>881</v>
      </c>
      <c r="K203" s="13" t="s">
        <v>882</v>
      </c>
      <c r="L203" s="12" t="s">
        <v>222</v>
      </c>
      <c r="M203" s="12" t="s">
        <v>223</v>
      </c>
      <c r="N203" s="12" t="s">
        <v>23</v>
      </c>
    </row>
    <row r="204" customFormat="false" ht="36" hidden="false" customHeight="false" outlineLevel="0" collapsed="false">
      <c r="A204" s="7" t="s">
        <v>883</v>
      </c>
      <c r="B204" s="8" t="s">
        <v>884</v>
      </c>
      <c r="C204" s="7" t="s">
        <v>883</v>
      </c>
      <c r="D204" s="9" t="n">
        <v>11</v>
      </c>
      <c r="E204" s="10" t="s">
        <v>69</v>
      </c>
      <c r="F204" s="10" t="s">
        <v>747</v>
      </c>
      <c r="G204" s="10" t="s">
        <v>885</v>
      </c>
      <c r="H204" s="16" t="n">
        <v>4</v>
      </c>
      <c r="I204" s="17" t="s">
        <v>465</v>
      </c>
      <c r="J204" s="12" t="s">
        <v>886</v>
      </c>
      <c r="K204" s="13" t="s">
        <v>281</v>
      </c>
      <c r="L204" s="12" t="s">
        <v>222</v>
      </c>
      <c r="M204" s="12" t="s">
        <v>223</v>
      </c>
      <c r="N204" s="12" t="s">
        <v>23</v>
      </c>
    </row>
    <row r="205" customFormat="false" ht="27.5" hidden="false" customHeight="false" outlineLevel="0" collapsed="false">
      <c r="A205" s="7" t="s">
        <v>887</v>
      </c>
      <c r="B205" s="8" t="s">
        <v>888</v>
      </c>
      <c r="C205" s="7" t="s">
        <v>887</v>
      </c>
      <c r="D205" s="9" t="n">
        <v>11</v>
      </c>
      <c r="E205" s="10" t="s">
        <v>69</v>
      </c>
      <c r="F205" s="10" t="s">
        <v>747</v>
      </c>
      <c r="G205" s="10" t="s">
        <v>885</v>
      </c>
      <c r="H205" s="16" t="n">
        <v>4</v>
      </c>
      <c r="I205" s="17" t="s">
        <v>465</v>
      </c>
      <c r="J205" s="12" t="s">
        <v>889</v>
      </c>
      <c r="K205" s="13" t="s">
        <v>281</v>
      </c>
      <c r="L205" s="12" t="s">
        <v>222</v>
      </c>
      <c r="M205" s="12" t="s">
        <v>223</v>
      </c>
      <c r="N205" s="12" t="s">
        <v>23</v>
      </c>
    </row>
    <row r="206" customFormat="false" ht="27.5" hidden="false" customHeight="false" outlineLevel="0" collapsed="false">
      <c r="A206" s="7" t="s">
        <v>890</v>
      </c>
      <c r="B206" s="8" t="s">
        <v>891</v>
      </c>
      <c r="C206" s="7" t="s">
        <v>890</v>
      </c>
      <c r="D206" s="9" t="n">
        <v>11</v>
      </c>
      <c r="E206" s="10" t="s">
        <v>69</v>
      </c>
      <c r="F206" s="10" t="s">
        <v>747</v>
      </c>
      <c r="G206" s="10" t="s">
        <v>885</v>
      </c>
      <c r="H206" s="16" t="n">
        <v>4</v>
      </c>
      <c r="I206" s="17" t="s">
        <v>724</v>
      </c>
      <c r="J206" s="12" t="s">
        <v>892</v>
      </c>
      <c r="K206" s="13" t="s">
        <v>893</v>
      </c>
      <c r="L206" s="12" t="s">
        <v>222</v>
      </c>
      <c r="M206" s="12" t="s">
        <v>618</v>
      </c>
      <c r="N206" s="12" t="s">
        <v>23</v>
      </c>
    </row>
    <row r="207" customFormat="false" ht="53" hidden="false" customHeight="false" outlineLevel="0" collapsed="false">
      <c r="A207" s="20" t="s">
        <v>894</v>
      </c>
      <c r="B207" s="15" t="s">
        <v>895</v>
      </c>
      <c r="C207" s="20" t="s">
        <v>894</v>
      </c>
      <c r="D207" s="9" t="n">
        <v>22</v>
      </c>
      <c r="E207" s="10" t="s">
        <v>47</v>
      </c>
      <c r="F207" s="10" t="s">
        <v>151</v>
      </c>
      <c r="G207" s="10" t="s">
        <v>151</v>
      </c>
      <c r="H207" s="16" t="n">
        <v>4</v>
      </c>
      <c r="I207" s="17" t="s">
        <v>465</v>
      </c>
      <c r="J207" s="13" t="s">
        <v>896</v>
      </c>
      <c r="K207" s="13" t="s">
        <v>793</v>
      </c>
      <c r="L207" s="12" t="s">
        <v>222</v>
      </c>
      <c r="M207" s="12" t="s">
        <v>223</v>
      </c>
      <c r="N207" s="12" t="s">
        <v>23</v>
      </c>
    </row>
    <row r="208" customFormat="false" ht="36" hidden="false" customHeight="false" outlineLevel="0" collapsed="false">
      <c r="A208" s="20" t="s">
        <v>897</v>
      </c>
      <c r="B208" s="15" t="s">
        <v>898</v>
      </c>
      <c r="C208" s="20" t="s">
        <v>897</v>
      </c>
      <c r="D208" s="9" t="n">
        <v>16</v>
      </c>
      <c r="E208" s="10" t="s">
        <v>155</v>
      </c>
      <c r="F208" s="10" t="s">
        <v>40</v>
      </c>
      <c r="G208" s="10" t="s">
        <v>157</v>
      </c>
      <c r="H208" s="16" t="n">
        <v>4</v>
      </c>
      <c r="I208" s="17" t="s">
        <v>465</v>
      </c>
      <c r="J208" s="13" t="s">
        <v>899</v>
      </c>
      <c r="K208" s="13" t="s">
        <v>900</v>
      </c>
      <c r="L208" s="12" t="s">
        <v>222</v>
      </c>
      <c r="M208" s="12" t="s">
        <v>223</v>
      </c>
      <c r="N208" s="12" t="s">
        <v>23</v>
      </c>
    </row>
    <row r="209" customFormat="false" ht="44.5" hidden="false" customHeight="false" outlineLevel="0" collapsed="false">
      <c r="A209" s="14" t="s">
        <v>901</v>
      </c>
      <c r="B209" s="15" t="s">
        <v>902</v>
      </c>
      <c r="C209" s="14" t="s">
        <v>901</v>
      </c>
      <c r="D209" s="9" t="n">
        <v>21</v>
      </c>
      <c r="E209" s="10" t="s">
        <v>117</v>
      </c>
      <c r="F209" s="10" t="s">
        <v>903</v>
      </c>
      <c r="G209" s="10" t="s">
        <v>903</v>
      </c>
      <c r="H209" s="16" t="n">
        <v>4</v>
      </c>
      <c r="I209" s="17" t="s">
        <v>465</v>
      </c>
      <c r="J209" s="21" t="s">
        <v>756</v>
      </c>
      <c r="K209" s="13" t="s">
        <v>321</v>
      </c>
      <c r="L209" s="12" t="s">
        <v>222</v>
      </c>
      <c r="M209" s="12" t="s">
        <v>223</v>
      </c>
      <c r="N209" s="12" t="s">
        <v>23</v>
      </c>
    </row>
    <row r="210" customFormat="false" ht="27.5" hidden="false" customHeight="false" outlineLevel="0" collapsed="false">
      <c r="A210" s="20" t="s">
        <v>904</v>
      </c>
      <c r="B210" s="15" t="s">
        <v>905</v>
      </c>
      <c r="C210" s="20" t="s">
        <v>904</v>
      </c>
      <c r="D210" s="9" t="n">
        <v>22</v>
      </c>
      <c r="E210" s="10" t="s">
        <v>47</v>
      </c>
      <c r="F210" s="10" t="s">
        <v>906</v>
      </c>
      <c r="G210" s="10" t="s">
        <v>907</v>
      </c>
      <c r="H210" s="16" t="n">
        <v>4</v>
      </c>
      <c r="I210" s="17" t="s">
        <v>465</v>
      </c>
      <c r="J210" s="13" t="s">
        <v>908</v>
      </c>
      <c r="K210" s="13" t="s">
        <v>793</v>
      </c>
      <c r="L210" s="12" t="s">
        <v>222</v>
      </c>
      <c r="M210" s="12" t="s">
        <v>223</v>
      </c>
      <c r="N210" s="12" t="s">
        <v>23</v>
      </c>
    </row>
    <row r="211" customFormat="false" ht="36" hidden="false" customHeight="false" outlineLevel="0" collapsed="false">
      <c r="A211" s="7" t="s">
        <v>909</v>
      </c>
      <c r="B211" s="8" t="s">
        <v>910</v>
      </c>
      <c r="C211" s="7" t="s">
        <v>909</v>
      </c>
      <c r="D211" s="9" t="n">
        <v>16</v>
      </c>
      <c r="E211" s="10" t="s">
        <v>168</v>
      </c>
      <c r="F211" s="10" t="n">
        <v>0</v>
      </c>
      <c r="G211" s="10" t="n">
        <v>0</v>
      </c>
      <c r="H211" s="16" t="n">
        <v>4</v>
      </c>
      <c r="I211" s="17" t="s">
        <v>465</v>
      </c>
      <c r="J211" s="18" t="s">
        <v>911</v>
      </c>
      <c r="K211" s="13" t="s">
        <v>912</v>
      </c>
      <c r="L211" s="12" t="s">
        <v>21</v>
      </c>
      <c r="M211" s="12" t="s">
        <v>223</v>
      </c>
      <c r="N211" s="12" t="s">
        <v>23</v>
      </c>
    </row>
    <row r="212" customFormat="false" ht="44.5" hidden="false" customHeight="false" outlineLevel="0" collapsed="false">
      <c r="A212" s="7" t="s">
        <v>913</v>
      </c>
      <c r="B212" s="8" t="s">
        <v>914</v>
      </c>
      <c r="C212" s="7" t="s">
        <v>913</v>
      </c>
      <c r="D212" s="9" t="n">
        <v>25</v>
      </c>
      <c r="E212" s="10" t="s">
        <v>915</v>
      </c>
      <c r="F212" s="10" t="s">
        <v>916</v>
      </c>
      <c r="G212" s="10" t="n">
        <v>0</v>
      </c>
      <c r="H212" s="16" t="n">
        <v>4</v>
      </c>
      <c r="I212" s="17" t="s">
        <v>465</v>
      </c>
      <c r="J212" s="12" t="s">
        <v>917</v>
      </c>
      <c r="K212" s="13" t="s">
        <v>33</v>
      </c>
      <c r="L212" s="12" t="s">
        <v>222</v>
      </c>
      <c r="M212" s="12" t="s">
        <v>223</v>
      </c>
      <c r="N212" s="12" t="s">
        <v>23</v>
      </c>
    </row>
    <row r="213" customFormat="false" ht="36" hidden="false" customHeight="false" outlineLevel="0" collapsed="false">
      <c r="A213" s="7" t="s">
        <v>918</v>
      </c>
      <c r="B213" s="8" t="s">
        <v>919</v>
      </c>
      <c r="C213" s="7" t="s">
        <v>918</v>
      </c>
      <c r="D213" s="9" t="n">
        <v>16</v>
      </c>
      <c r="E213" s="10" t="s">
        <v>168</v>
      </c>
      <c r="F213" s="10" t="n">
        <v>0</v>
      </c>
      <c r="G213" s="10" t="n">
        <v>0</v>
      </c>
      <c r="H213" s="16" t="n">
        <v>4</v>
      </c>
      <c r="I213" s="17" t="s">
        <v>465</v>
      </c>
      <c r="J213" s="12" t="s">
        <v>920</v>
      </c>
      <c r="K213" s="13" t="s">
        <v>921</v>
      </c>
      <c r="L213" s="12" t="s">
        <v>222</v>
      </c>
      <c r="M213" s="12" t="s">
        <v>223</v>
      </c>
      <c r="N213" s="12" t="s">
        <v>23</v>
      </c>
    </row>
    <row r="214" customFormat="false" ht="36" hidden="false" customHeight="false" outlineLevel="0" collapsed="false">
      <c r="A214" s="7" t="s">
        <v>922</v>
      </c>
      <c r="B214" s="8" t="s">
        <v>923</v>
      </c>
      <c r="C214" s="7" t="s">
        <v>922</v>
      </c>
      <c r="D214" s="9" t="n">
        <v>16</v>
      </c>
      <c r="E214" s="10" t="s">
        <v>168</v>
      </c>
      <c r="F214" s="10" t="n">
        <v>0</v>
      </c>
      <c r="G214" s="10" t="n">
        <v>0</v>
      </c>
      <c r="H214" s="16" t="n">
        <v>4</v>
      </c>
      <c r="I214" s="17" t="s">
        <v>465</v>
      </c>
      <c r="J214" s="12" t="s">
        <v>924</v>
      </c>
      <c r="K214" s="13" t="s">
        <v>196</v>
      </c>
      <c r="L214" s="12" t="s">
        <v>222</v>
      </c>
      <c r="M214" s="12" t="s">
        <v>223</v>
      </c>
      <c r="N214" s="12" t="s">
        <v>23</v>
      </c>
    </row>
    <row r="215" customFormat="false" ht="36" hidden="false" customHeight="false" outlineLevel="0" collapsed="false">
      <c r="A215" s="24" t="s">
        <v>925</v>
      </c>
      <c r="B215" s="8" t="s">
        <v>926</v>
      </c>
      <c r="C215" s="24" t="s">
        <v>925</v>
      </c>
      <c r="D215" s="9" t="n">
        <v>16</v>
      </c>
      <c r="E215" s="10" t="s">
        <v>168</v>
      </c>
      <c r="F215" s="10" t="n">
        <v>0</v>
      </c>
      <c r="G215" s="10" t="n">
        <v>0</v>
      </c>
      <c r="H215" s="16" t="n">
        <v>4</v>
      </c>
      <c r="I215" s="17" t="s">
        <v>465</v>
      </c>
      <c r="J215" s="18" t="s">
        <v>927</v>
      </c>
      <c r="K215" s="13" t="s">
        <v>912</v>
      </c>
      <c r="L215" s="12" t="s">
        <v>222</v>
      </c>
      <c r="M215" s="12" t="s">
        <v>223</v>
      </c>
      <c r="N215" s="12" t="s">
        <v>23</v>
      </c>
    </row>
    <row r="216" customFormat="false" ht="36" hidden="false" customHeight="false" outlineLevel="0" collapsed="false">
      <c r="A216" s="7" t="s">
        <v>928</v>
      </c>
      <c r="B216" s="8" t="s">
        <v>929</v>
      </c>
      <c r="C216" s="7" t="s">
        <v>928</v>
      </c>
      <c r="D216" s="9" t="n">
        <v>16</v>
      </c>
      <c r="E216" s="10" t="s">
        <v>168</v>
      </c>
      <c r="F216" s="10" t="n">
        <v>0</v>
      </c>
      <c r="G216" s="10" t="n">
        <v>0</v>
      </c>
      <c r="H216" s="16" t="n">
        <v>4</v>
      </c>
      <c r="I216" s="17" t="s">
        <v>465</v>
      </c>
      <c r="J216" s="12" t="s">
        <v>930</v>
      </c>
      <c r="K216" s="13" t="s">
        <v>912</v>
      </c>
      <c r="L216" s="12" t="s">
        <v>222</v>
      </c>
      <c r="M216" s="12" t="s">
        <v>223</v>
      </c>
      <c r="N216" s="12" t="s">
        <v>23</v>
      </c>
    </row>
    <row r="217" customFormat="false" ht="36" hidden="false" customHeight="false" outlineLevel="0" collapsed="false">
      <c r="A217" s="7" t="s">
        <v>931</v>
      </c>
      <c r="B217" s="8" t="s">
        <v>932</v>
      </c>
      <c r="C217" s="7" t="s">
        <v>931</v>
      </c>
      <c r="D217" s="9" t="n">
        <v>16</v>
      </c>
      <c r="E217" s="10" t="s">
        <v>168</v>
      </c>
      <c r="F217" s="10" t="n">
        <v>0</v>
      </c>
      <c r="G217" s="10" t="n">
        <v>0</v>
      </c>
      <c r="H217" s="16" t="n">
        <v>4</v>
      </c>
      <c r="I217" s="17" t="s">
        <v>465</v>
      </c>
      <c r="J217" s="12" t="s">
        <v>933</v>
      </c>
      <c r="K217" s="13" t="s">
        <v>934</v>
      </c>
      <c r="L217" s="12" t="s">
        <v>222</v>
      </c>
      <c r="M217" s="12" t="s">
        <v>223</v>
      </c>
      <c r="N217" s="12" t="s">
        <v>23</v>
      </c>
    </row>
    <row r="218" customFormat="false" ht="36" hidden="false" customHeight="false" outlineLevel="0" collapsed="false">
      <c r="A218" s="7" t="s">
        <v>935</v>
      </c>
      <c r="B218" s="8" t="s">
        <v>936</v>
      </c>
      <c r="C218" s="7" t="s">
        <v>935</v>
      </c>
      <c r="D218" s="9" t="n">
        <v>16</v>
      </c>
      <c r="E218" s="10" t="s">
        <v>168</v>
      </c>
      <c r="F218" s="10" t="n">
        <v>0</v>
      </c>
      <c r="G218" s="10" t="n">
        <v>0</v>
      </c>
      <c r="H218" s="16" t="n">
        <v>4</v>
      </c>
      <c r="I218" s="17" t="s">
        <v>465</v>
      </c>
      <c r="J218" s="12" t="s">
        <v>937</v>
      </c>
      <c r="K218" s="13" t="s">
        <v>912</v>
      </c>
      <c r="L218" s="12" t="s">
        <v>222</v>
      </c>
      <c r="M218" s="12" t="s">
        <v>223</v>
      </c>
      <c r="N218" s="12" t="s">
        <v>23</v>
      </c>
    </row>
    <row r="219" customFormat="false" ht="36" hidden="false" customHeight="false" outlineLevel="0" collapsed="false">
      <c r="A219" s="7" t="s">
        <v>938</v>
      </c>
      <c r="B219" s="8" t="s">
        <v>939</v>
      </c>
      <c r="C219" s="7" t="s">
        <v>938</v>
      </c>
      <c r="D219" s="9" t="n">
        <v>16</v>
      </c>
      <c r="E219" s="10" t="s">
        <v>168</v>
      </c>
      <c r="F219" s="10" t="n">
        <v>0</v>
      </c>
      <c r="G219" s="10" t="n">
        <v>0</v>
      </c>
      <c r="H219" s="16" t="n">
        <v>4</v>
      </c>
      <c r="I219" s="17" t="s">
        <v>465</v>
      </c>
      <c r="J219" s="12" t="s">
        <v>940</v>
      </c>
      <c r="K219" s="13" t="s">
        <v>321</v>
      </c>
      <c r="L219" s="12" t="s">
        <v>222</v>
      </c>
      <c r="M219" s="12" t="s">
        <v>223</v>
      </c>
      <c r="N219" s="12" t="s">
        <v>23</v>
      </c>
    </row>
    <row r="220" customFormat="false" ht="36" hidden="false" customHeight="false" outlineLevel="0" collapsed="false">
      <c r="A220" s="7" t="s">
        <v>941</v>
      </c>
      <c r="B220" s="8" t="s">
        <v>942</v>
      </c>
      <c r="C220" s="7" t="s">
        <v>941</v>
      </c>
      <c r="D220" s="9" t="n">
        <v>16</v>
      </c>
      <c r="E220" s="10" t="s">
        <v>168</v>
      </c>
      <c r="F220" s="10" t="n">
        <v>0</v>
      </c>
      <c r="G220" s="10" t="n">
        <v>0</v>
      </c>
      <c r="H220" s="16" t="n">
        <v>4</v>
      </c>
      <c r="I220" s="17" t="s">
        <v>465</v>
      </c>
      <c r="J220" s="12" t="s">
        <v>943</v>
      </c>
      <c r="K220" s="13" t="s">
        <v>321</v>
      </c>
      <c r="L220" s="12" t="s">
        <v>222</v>
      </c>
      <c r="M220" s="12" t="s">
        <v>223</v>
      </c>
      <c r="N220" s="12" t="s">
        <v>23</v>
      </c>
    </row>
    <row r="221" customFormat="false" ht="44.5" hidden="false" customHeight="false" outlineLevel="0" collapsed="false">
      <c r="A221" s="7" t="s">
        <v>944</v>
      </c>
      <c r="B221" s="8" t="s">
        <v>945</v>
      </c>
      <c r="C221" s="7" t="s">
        <v>944</v>
      </c>
      <c r="D221" s="9" t="n">
        <v>22</v>
      </c>
      <c r="E221" s="10" t="s">
        <v>47</v>
      </c>
      <c r="F221" s="10" t="s">
        <v>237</v>
      </c>
      <c r="G221" s="10" t="n">
        <v>0</v>
      </c>
      <c r="H221" s="16" t="n">
        <v>4</v>
      </c>
      <c r="I221" s="17" t="s">
        <v>465</v>
      </c>
      <c r="J221" s="12" t="s">
        <v>946</v>
      </c>
      <c r="K221" s="13" t="s">
        <v>947</v>
      </c>
      <c r="L221" s="12" t="s">
        <v>222</v>
      </c>
      <c r="M221" s="12" t="s">
        <v>223</v>
      </c>
      <c r="N221" s="12" t="s">
        <v>23</v>
      </c>
    </row>
    <row r="222" customFormat="false" ht="36" hidden="false" customHeight="false" outlineLevel="0" collapsed="false">
      <c r="A222" s="7" t="s">
        <v>948</v>
      </c>
      <c r="B222" s="8" t="s">
        <v>949</v>
      </c>
      <c r="C222" s="7" t="s">
        <v>948</v>
      </c>
      <c r="D222" s="9" t="n">
        <v>16</v>
      </c>
      <c r="E222" s="10" t="s">
        <v>168</v>
      </c>
      <c r="F222" s="10" t="n">
        <v>0</v>
      </c>
      <c r="G222" s="10" t="n">
        <v>0</v>
      </c>
      <c r="H222" s="16" t="n">
        <v>4</v>
      </c>
      <c r="I222" s="17" t="s">
        <v>465</v>
      </c>
      <c r="J222" s="12" t="s">
        <v>950</v>
      </c>
      <c r="K222" s="13" t="s">
        <v>321</v>
      </c>
      <c r="L222" s="12" t="s">
        <v>222</v>
      </c>
      <c r="M222" s="12" t="s">
        <v>223</v>
      </c>
      <c r="N222" s="12" t="s">
        <v>23</v>
      </c>
    </row>
    <row r="223" customFormat="false" ht="27.5" hidden="false" customHeight="false" outlineLevel="0" collapsed="false">
      <c r="A223" s="7" t="s">
        <v>951</v>
      </c>
      <c r="B223" s="8" t="s">
        <v>952</v>
      </c>
      <c r="C223" s="7" t="s">
        <v>951</v>
      </c>
      <c r="D223" s="9" t="n">
        <v>22</v>
      </c>
      <c r="E223" s="10" t="s">
        <v>47</v>
      </c>
      <c r="F223" s="10" t="s">
        <v>578</v>
      </c>
      <c r="G223" s="10" t="n">
        <v>0</v>
      </c>
      <c r="H223" s="16" t="n">
        <v>4</v>
      </c>
      <c r="I223" s="17" t="s">
        <v>465</v>
      </c>
      <c r="J223" s="12" t="s">
        <v>953</v>
      </c>
      <c r="K223" s="13" t="s">
        <v>43</v>
      </c>
      <c r="L223" s="12" t="s">
        <v>222</v>
      </c>
      <c r="M223" s="12" t="s">
        <v>223</v>
      </c>
      <c r="N223" s="12" t="s">
        <v>23</v>
      </c>
    </row>
    <row r="224" customFormat="false" ht="27.5" hidden="false" customHeight="false" outlineLevel="0" collapsed="false">
      <c r="A224" s="7" t="s">
        <v>954</v>
      </c>
      <c r="B224" s="8" t="s">
        <v>955</v>
      </c>
      <c r="C224" s="7" t="s">
        <v>954</v>
      </c>
      <c r="D224" s="9" t="n">
        <v>22</v>
      </c>
      <c r="E224" s="10" t="s">
        <v>47</v>
      </c>
      <c r="F224" s="10" t="s">
        <v>164</v>
      </c>
      <c r="G224" s="10" t="n">
        <v>0</v>
      </c>
      <c r="H224" s="16" t="n">
        <v>4</v>
      </c>
      <c r="I224" s="17" t="s">
        <v>465</v>
      </c>
      <c r="J224" s="12" t="s">
        <v>956</v>
      </c>
      <c r="K224" s="13" t="s">
        <v>957</v>
      </c>
      <c r="L224" s="12" t="s">
        <v>222</v>
      </c>
      <c r="M224" s="12" t="s">
        <v>223</v>
      </c>
      <c r="N224" s="12" t="s">
        <v>23</v>
      </c>
    </row>
    <row r="225" customFormat="false" ht="27.5" hidden="false" customHeight="false" outlineLevel="0" collapsed="false">
      <c r="A225" s="14" t="s">
        <v>958</v>
      </c>
      <c r="B225" s="8" t="s">
        <v>959</v>
      </c>
      <c r="C225" s="14" t="s">
        <v>958</v>
      </c>
      <c r="D225" s="9" t="n">
        <v>18</v>
      </c>
      <c r="E225" s="10" t="s">
        <v>449</v>
      </c>
      <c r="F225" s="10" t="s">
        <v>203</v>
      </c>
      <c r="G225" s="10" t="n">
        <v>0</v>
      </c>
      <c r="H225" s="16" t="n">
        <v>4</v>
      </c>
      <c r="I225" s="17" t="s">
        <v>465</v>
      </c>
      <c r="J225" s="21" t="s">
        <v>960</v>
      </c>
      <c r="K225" s="13" t="s">
        <v>321</v>
      </c>
      <c r="L225" s="13" t="s">
        <v>222</v>
      </c>
      <c r="M225" s="13" t="s">
        <v>961</v>
      </c>
      <c r="N225" s="13" t="s">
        <v>452</v>
      </c>
    </row>
    <row r="226" customFormat="false" ht="27.5" hidden="false" customHeight="false" outlineLevel="0" collapsed="false">
      <c r="A226" s="7" t="s">
        <v>962</v>
      </c>
      <c r="B226" s="8" t="s">
        <v>963</v>
      </c>
      <c r="C226" s="7" t="s">
        <v>962</v>
      </c>
      <c r="D226" s="9" t="n">
        <v>25</v>
      </c>
      <c r="E226" s="10" t="s">
        <v>915</v>
      </c>
      <c r="F226" s="10" t="s">
        <v>916</v>
      </c>
      <c r="G226" s="10" t="n">
        <v>0</v>
      </c>
      <c r="H226" s="16" t="n">
        <v>4</v>
      </c>
      <c r="I226" s="17" t="s">
        <v>465</v>
      </c>
      <c r="J226" s="12" t="s">
        <v>964</v>
      </c>
      <c r="K226" s="12" t="s">
        <v>196</v>
      </c>
      <c r="L226" s="12" t="s">
        <v>222</v>
      </c>
      <c r="M226" s="12" t="s">
        <v>223</v>
      </c>
      <c r="N226" s="12" t="s">
        <v>23</v>
      </c>
    </row>
    <row r="227" customFormat="false" ht="19" hidden="false" customHeight="false" outlineLevel="0" collapsed="false">
      <c r="A227" s="7" t="s">
        <v>965</v>
      </c>
      <c r="B227" s="8" t="s">
        <v>966</v>
      </c>
      <c r="C227" s="7" t="s">
        <v>965</v>
      </c>
      <c r="D227" s="9" t="n">
        <v>3</v>
      </c>
      <c r="E227" s="10" t="s">
        <v>39</v>
      </c>
      <c r="F227" s="10" t="s">
        <v>40</v>
      </c>
      <c r="G227" s="10" t="s">
        <v>40</v>
      </c>
      <c r="H227" s="16" t="n">
        <v>5</v>
      </c>
      <c r="I227" s="17" t="s">
        <v>967</v>
      </c>
      <c r="J227" s="18" t="s">
        <v>968</v>
      </c>
      <c r="K227" s="13" t="s">
        <v>666</v>
      </c>
      <c r="L227" s="12" t="s">
        <v>222</v>
      </c>
      <c r="M227" s="12" t="s">
        <v>969</v>
      </c>
      <c r="N227" s="12" t="s">
        <v>817</v>
      </c>
    </row>
    <row r="228" customFormat="false" ht="27.5" hidden="false" customHeight="false" outlineLevel="0" collapsed="false">
      <c r="A228" s="7" t="s">
        <v>970</v>
      </c>
      <c r="B228" s="8" t="s">
        <v>971</v>
      </c>
      <c r="C228" s="7" t="s">
        <v>970</v>
      </c>
      <c r="D228" s="9" t="n">
        <v>3</v>
      </c>
      <c r="E228" s="10" t="s">
        <v>39</v>
      </c>
      <c r="F228" s="10" t="s">
        <v>40</v>
      </c>
      <c r="G228" s="10" t="s">
        <v>40</v>
      </c>
      <c r="H228" s="16" t="n">
        <v>5</v>
      </c>
      <c r="I228" s="17" t="s">
        <v>967</v>
      </c>
      <c r="J228" s="12" t="s">
        <v>972</v>
      </c>
      <c r="K228" s="13" t="s">
        <v>973</v>
      </c>
      <c r="L228" s="12" t="s">
        <v>222</v>
      </c>
      <c r="M228" s="12" t="s">
        <v>816</v>
      </c>
      <c r="N228" s="12" t="s">
        <v>817</v>
      </c>
    </row>
    <row r="229" customFormat="false" ht="27.5" hidden="false" customHeight="false" outlineLevel="0" collapsed="false">
      <c r="A229" s="7" t="s">
        <v>974</v>
      </c>
      <c r="B229" s="8" t="s">
        <v>975</v>
      </c>
      <c r="C229" s="7" t="s">
        <v>974</v>
      </c>
      <c r="D229" s="9" t="n">
        <v>3</v>
      </c>
      <c r="E229" s="10" t="s">
        <v>39</v>
      </c>
      <c r="F229" s="10" t="s">
        <v>40</v>
      </c>
      <c r="G229" s="10" t="s">
        <v>40</v>
      </c>
      <c r="H229" s="16" t="n">
        <v>5</v>
      </c>
      <c r="I229" s="17" t="s">
        <v>967</v>
      </c>
      <c r="J229" s="12" t="s">
        <v>976</v>
      </c>
      <c r="K229" s="13" t="s">
        <v>977</v>
      </c>
      <c r="L229" s="12" t="s">
        <v>222</v>
      </c>
      <c r="M229" s="12" t="s">
        <v>816</v>
      </c>
      <c r="N229" s="12" t="s">
        <v>817</v>
      </c>
    </row>
    <row r="230" customFormat="false" ht="53" hidden="false" customHeight="false" outlineLevel="0" collapsed="false">
      <c r="A230" s="14" t="s">
        <v>978</v>
      </c>
      <c r="B230" s="15" t="s">
        <v>979</v>
      </c>
      <c r="C230" s="14" t="s">
        <v>978</v>
      </c>
      <c r="D230" s="9" t="n">
        <v>22</v>
      </c>
      <c r="E230" s="9" t="s">
        <v>47</v>
      </c>
      <c r="F230" s="10" t="s">
        <v>79</v>
      </c>
      <c r="G230" s="10" t="s">
        <v>478</v>
      </c>
      <c r="H230" s="16" t="n">
        <v>5</v>
      </c>
      <c r="I230" s="17" t="s">
        <v>967</v>
      </c>
      <c r="J230" s="18" t="s">
        <v>980</v>
      </c>
      <c r="K230" s="12" t="s">
        <v>793</v>
      </c>
      <c r="L230" s="12" t="s">
        <v>222</v>
      </c>
      <c r="M230" s="12" t="s">
        <v>816</v>
      </c>
      <c r="N230" s="12" t="s">
        <v>306</v>
      </c>
    </row>
    <row r="231" customFormat="false" ht="53" hidden="false" customHeight="false" outlineLevel="0" collapsed="false">
      <c r="A231" s="14" t="s">
        <v>981</v>
      </c>
      <c r="B231" s="15" t="s">
        <v>982</v>
      </c>
      <c r="C231" s="14" t="s">
        <v>981</v>
      </c>
      <c r="D231" s="9" t="n">
        <v>22</v>
      </c>
      <c r="E231" s="9" t="s">
        <v>47</v>
      </c>
      <c r="F231" s="10" t="s">
        <v>348</v>
      </c>
      <c r="G231" s="10" t="s">
        <v>478</v>
      </c>
      <c r="H231" s="16" t="n">
        <v>5</v>
      </c>
      <c r="I231" s="17" t="s">
        <v>967</v>
      </c>
      <c r="J231" s="21" t="s">
        <v>983</v>
      </c>
      <c r="K231" s="13" t="s">
        <v>584</v>
      </c>
      <c r="L231" s="12" t="s">
        <v>222</v>
      </c>
      <c r="M231" s="12" t="s">
        <v>816</v>
      </c>
      <c r="N231" s="12" t="s">
        <v>306</v>
      </c>
    </row>
    <row r="232" customFormat="false" ht="53" hidden="false" customHeight="false" outlineLevel="0" collapsed="false">
      <c r="A232" s="14" t="s">
        <v>984</v>
      </c>
      <c r="B232" s="15" t="s">
        <v>985</v>
      </c>
      <c r="C232" s="14" t="s">
        <v>984</v>
      </c>
      <c r="D232" s="9" t="n">
        <v>22</v>
      </c>
      <c r="E232" s="9" t="s">
        <v>47</v>
      </c>
      <c r="F232" s="10" t="s">
        <v>354</v>
      </c>
      <c r="G232" s="10" t="s">
        <v>478</v>
      </c>
      <c r="H232" s="16" t="n">
        <v>5</v>
      </c>
      <c r="I232" s="17" t="s">
        <v>967</v>
      </c>
      <c r="J232" s="21" t="s">
        <v>986</v>
      </c>
      <c r="K232" s="13" t="s">
        <v>987</v>
      </c>
      <c r="L232" s="12" t="s">
        <v>222</v>
      </c>
      <c r="M232" s="12" t="s">
        <v>816</v>
      </c>
      <c r="N232" s="12" t="s">
        <v>817</v>
      </c>
    </row>
    <row r="233" customFormat="false" ht="36" hidden="false" customHeight="false" outlineLevel="0" collapsed="false">
      <c r="A233" s="7" t="s">
        <v>988</v>
      </c>
      <c r="B233" s="8" t="s">
        <v>989</v>
      </c>
      <c r="C233" s="7" t="s">
        <v>988</v>
      </c>
      <c r="D233" s="9" t="n">
        <v>5</v>
      </c>
      <c r="E233" s="10" t="s">
        <v>63</v>
      </c>
      <c r="F233" s="10" t="s">
        <v>478</v>
      </c>
      <c r="G233" s="10" t="s">
        <v>478</v>
      </c>
      <c r="H233" s="16" t="n">
        <v>5</v>
      </c>
      <c r="I233" s="17" t="s">
        <v>967</v>
      </c>
      <c r="J233" s="12" t="s">
        <v>990</v>
      </c>
      <c r="K233" s="12" t="s">
        <v>991</v>
      </c>
      <c r="L233" s="12" t="s">
        <v>222</v>
      </c>
      <c r="M233" s="12" t="s">
        <v>816</v>
      </c>
      <c r="N233" s="12" t="s">
        <v>306</v>
      </c>
    </row>
    <row r="234" customFormat="false" ht="44.5" hidden="false" customHeight="false" outlineLevel="0" collapsed="false">
      <c r="A234" s="20" t="s">
        <v>992</v>
      </c>
      <c r="B234" s="15" t="s">
        <v>993</v>
      </c>
      <c r="C234" s="20" t="s">
        <v>992</v>
      </c>
      <c r="D234" s="9" t="n">
        <v>3</v>
      </c>
      <c r="E234" s="9" t="s">
        <v>39</v>
      </c>
      <c r="F234" s="10" t="s">
        <v>59</v>
      </c>
      <c r="G234" s="10" t="s">
        <v>246</v>
      </c>
      <c r="H234" s="16" t="n">
        <v>5</v>
      </c>
      <c r="I234" s="17" t="s">
        <v>967</v>
      </c>
      <c r="J234" s="13" t="s">
        <v>994</v>
      </c>
      <c r="K234" s="13" t="s">
        <v>995</v>
      </c>
      <c r="L234" s="12" t="s">
        <v>222</v>
      </c>
      <c r="M234" s="12" t="s">
        <v>816</v>
      </c>
      <c r="N234" s="12" t="s">
        <v>306</v>
      </c>
    </row>
    <row r="235" customFormat="false" ht="36" hidden="false" customHeight="false" outlineLevel="0" collapsed="false">
      <c r="A235" s="7" t="s">
        <v>996</v>
      </c>
      <c r="B235" s="8" t="s">
        <v>997</v>
      </c>
      <c r="C235" s="7" t="s">
        <v>996</v>
      </c>
      <c r="D235" s="9" t="n">
        <v>9</v>
      </c>
      <c r="E235" s="10" t="s">
        <v>113</v>
      </c>
      <c r="F235" s="10" t="s">
        <v>998</v>
      </c>
      <c r="G235" s="10" t="s">
        <v>998</v>
      </c>
      <c r="H235" s="16" t="n">
        <v>5</v>
      </c>
      <c r="I235" s="17" t="s">
        <v>967</v>
      </c>
      <c r="J235" s="12" t="s">
        <v>999</v>
      </c>
      <c r="K235" s="12" t="s">
        <v>1000</v>
      </c>
      <c r="L235" s="12" t="s">
        <v>222</v>
      </c>
      <c r="M235" s="12" t="s">
        <v>816</v>
      </c>
      <c r="N235" s="12" t="s">
        <v>306</v>
      </c>
    </row>
    <row r="236" customFormat="false" ht="44.5" hidden="false" customHeight="false" outlineLevel="0" collapsed="false">
      <c r="A236" s="20" t="s">
        <v>1001</v>
      </c>
      <c r="B236" s="15" t="s">
        <v>1002</v>
      </c>
      <c r="C236" s="20" t="s">
        <v>1001</v>
      </c>
      <c r="D236" s="9" t="n">
        <v>22</v>
      </c>
      <c r="E236" s="9" t="s">
        <v>47</v>
      </c>
      <c r="F236" s="10" t="s">
        <v>582</v>
      </c>
      <c r="G236" s="10" t="s">
        <v>582</v>
      </c>
      <c r="H236" s="16" t="n">
        <v>5</v>
      </c>
      <c r="I236" s="17" t="s">
        <v>967</v>
      </c>
      <c r="J236" s="13" t="s">
        <v>1003</v>
      </c>
      <c r="K236" s="13" t="s">
        <v>1004</v>
      </c>
      <c r="L236" s="12" t="s">
        <v>222</v>
      </c>
      <c r="M236" s="12" t="s">
        <v>816</v>
      </c>
      <c r="N236" s="12" t="s">
        <v>817</v>
      </c>
    </row>
    <row r="237" customFormat="false" ht="53" hidden="false" customHeight="false" outlineLevel="0" collapsed="false">
      <c r="A237" s="14" t="s">
        <v>1005</v>
      </c>
      <c r="B237" s="15" t="s">
        <v>1006</v>
      </c>
      <c r="C237" s="14" t="s">
        <v>1005</v>
      </c>
      <c r="D237" s="9" t="n">
        <v>22</v>
      </c>
      <c r="E237" s="9" t="s">
        <v>47</v>
      </c>
      <c r="F237" s="10" t="s">
        <v>483</v>
      </c>
      <c r="G237" s="10" t="s">
        <v>483</v>
      </c>
      <c r="H237" s="16" t="n">
        <v>5</v>
      </c>
      <c r="I237" s="17" t="s">
        <v>967</v>
      </c>
      <c r="J237" s="21" t="s">
        <v>1007</v>
      </c>
      <c r="K237" s="13" t="s">
        <v>1008</v>
      </c>
      <c r="L237" s="12" t="s">
        <v>222</v>
      </c>
      <c r="M237" s="12" t="s">
        <v>969</v>
      </c>
      <c r="N237" s="12" t="s">
        <v>306</v>
      </c>
    </row>
    <row r="238" customFormat="false" ht="27.5" hidden="false" customHeight="false" outlineLevel="0" collapsed="false">
      <c r="A238" s="7" t="s">
        <v>1009</v>
      </c>
      <c r="B238" s="8" t="s">
        <v>1010</v>
      </c>
      <c r="C238" s="7" t="s">
        <v>1009</v>
      </c>
      <c r="D238" s="9" t="n">
        <v>22</v>
      </c>
      <c r="E238" s="9" t="s">
        <v>47</v>
      </c>
      <c r="F238" s="10" t="s">
        <v>483</v>
      </c>
      <c r="G238" s="10" t="s">
        <v>483</v>
      </c>
      <c r="H238" s="16" t="n">
        <v>5</v>
      </c>
      <c r="I238" s="17" t="s">
        <v>967</v>
      </c>
      <c r="J238" s="12" t="s">
        <v>1011</v>
      </c>
      <c r="K238" s="13" t="s">
        <v>1008</v>
      </c>
      <c r="L238" s="12" t="s">
        <v>222</v>
      </c>
      <c r="M238" s="12" t="s">
        <v>816</v>
      </c>
      <c r="N238" s="12" t="s">
        <v>817</v>
      </c>
    </row>
    <row r="239" customFormat="false" ht="44.5" hidden="false" customHeight="false" outlineLevel="0" collapsed="false">
      <c r="A239" s="20" t="s">
        <v>1012</v>
      </c>
      <c r="B239" s="15" t="s">
        <v>1013</v>
      </c>
      <c r="C239" s="20" t="s">
        <v>1012</v>
      </c>
      <c r="D239" s="9" t="n">
        <v>22</v>
      </c>
      <c r="E239" s="9" t="s">
        <v>47</v>
      </c>
      <c r="F239" s="10" t="s">
        <v>164</v>
      </c>
      <c r="G239" s="10" t="s">
        <v>164</v>
      </c>
      <c r="H239" s="16" t="n">
        <v>5</v>
      </c>
      <c r="I239" s="17" t="s">
        <v>967</v>
      </c>
      <c r="J239" s="13" t="s">
        <v>1014</v>
      </c>
      <c r="K239" s="13" t="s">
        <v>1015</v>
      </c>
      <c r="L239" s="12" t="s">
        <v>222</v>
      </c>
      <c r="M239" s="12" t="s">
        <v>816</v>
      </c>
      <c r="N239" s="12" t="s">
        <v>817</v>
      </c>
    </row>
    <row r="240" customFormat="false" ht="27.5" hidden="false" customHeight="false" outlineLevel="0" collapsed="false">
      <c r="A240" s="7" t="s">
        <v>1016</v>
      </c>
      <c r="B240" s="8" t="s">
        <v>1017</v>
      </c>
      <c r="C240" s="7" t="s">
        <v>1016</v>
      </c>
      <c r="D240" s="8" t="n">
        <v>9</v>
      </c>
      <c r="E240" s="10" t="s">
        <v>113</v>
      </c>
      <c r="F240" s="10" t="s">
        <v>490</v>
      </c>
      <c r="G240" s="10" t="s">
        <v>490</v>
      </c>
      <c r="H240" s="16" t="n">
        <v>5</v>
      </c>
      <c r="I240" s="17" t="s">
        <v>967</v>
      </c>
      <c r="J240" s="12" t="s">
        <v>1018</v>
      </c>
      <c r="K240" s="12" t="s">
        <v>1000</v>
      </c>
      <c r="L240" s="12" t="s">
        <v>222</v>
      </c>
      <c r="M240" s="12" t="s">
        <v>816</v>
      </c>
      <c r="N240" s="12" t="s">
        <v>306</v>
      </c>
    </row>
    <row r="241" customFormat="false" ht="36" hidden="false" customHeight="false" outlineLevel="0" collapsed="false">
      <c r="A241" s="14" t="s">
        <v>1019</v>
      </c>
      <c r="B241" s="15" t="s">
        <v>1020</v>
      </c>
      <c r="C241" s="14" t="s">
        <v>1019</v>
      </c>
      <c r="D241" s="9" t="n">
        <v>1</v>
      </c>
      <c r="E241" s="9" t="s">
        <v>203</v>
      </c>
      <c r="F241" s="10" t="s">
        <v>495</v>
      </c>
      <c r="G241" s="10" t="s">
        <v>495</v>
      </c>
      <c r="H241" s="16" t="n">
        <v>5</v>
      </c>
      <c r="I241" s="17" t="s">
        <v>967</v>
      </c>
      <c r="J241" s="18" t="s">
        <v>1021</v>
      </c>
      <c r="K241" s="18" t="s">
        <v>1022</v>
      </c>
      <c r="L241" s="12" t="s">
        <v>222</v>
      </c>
      <c r="M241" s="12" t="s">
        <v>816</v>
      </c>
      <c r="N241" s="12" t="s">
        <v>817</v>
      </c>
    </row>
    <row r="242" customFormat="false" ht="36" hidden="false" customHeight="false" outlineLevel="0" collapsed="false">
      <c r="A242" s="7" t="s">
        <v>1023</v>
      </c>
      <c r="B242" s="8" t="s">
        <v>1024</v>
      </c>
      <c r="C242" s="7" t="s">
        <v>1023</v>
      </c>
      <c r="D242" s="9" t="n">
        <v>20</v>
      </c>
      <c r="E242" s="9" t="s">
        <v>53</v>
      </c>
      <c r="F242" s="10" t="s">
        <v>1025</v>
      </c>
      <c r="G242" s="10" t="s">
        <v>55</v>
      </c>
      <c r="H242" s="16" t="n">
        <v>5</v>
      </c>
      <c r="I242" s="17" t="s">
        <v>967</v>
      </c>
      <c r="J242" s="18" t="s">
        <v>1026</v>
      </c>
      <c r="K242" s="13" t="s">
        <v>1027</v>
      </c>
      <c r="L242" s="12" t="s">
        <v>21</v>
      </c>
      <c r="M242" s="12" t="s">
        <v>969</v>
      </c>
      <c r="N242" s="12" t="s">
        <v>306</v>
      </c>
    </row>
    <row r="243" customFormat="false" ht="27.5" hidden="false" customHeight="false" outlineLevel="0" collapsed="false">
      <c r="A243" s="7" t="s">
        <v>1028</v>
      </c>
      <c r="B243" s="8" t="s">
        <v>1029</v>
      </c>
      <c r="C243" s="7" t="s">
        <v>1028</v>
      </c>
      <c r="D243" s="9" t="n">
        <v>20</v>
      </c>
      <c r="E243" s="9" t="s">
        <v>53</v>
      </c>
      <c r="F243" s="10" t="s">
        <v>510</v>
      </c>
      <c r="G243" s="10" t="s">
        <v>55</v>
      </c>
      <c r="H243" s="16" t="n">
        <v>5</v>
      </c>
      <c r="I243" s="17" t="s">
        <v>967</v>
      </c>
      <c r="J243" s="18" t="s">
        <v>1030</v>
      </c>
      <c r="K243" s="13" t="s">
        <v>1031</v>
      </c>
      <c r="L243" s="12" t="s">
        <v>222</v>
      </c>
      <c r="M243" s="12" t="s">
        <v>969</v>
      </c>
      <c r="N243" s="12" t="s">
        <v>306</v>
      </c>
    </row>
    <row r="244" customFormat="false" ht="19" hidden="false" customHeight="false" outlineLevel="0" collapsed="false">
      <c r="A244" s="7" t="s">
        <v>1032</v>
      </c>
      <c r="B244" s="8" t="s">
        <v>1033</v>
      </c>
      <c r="C244" s="7" t="s">
        <v>1032</v>
      </c>
      <c r="D244" s="9" t="n">
        <v>20</v>
      </c>
      <c r="E244" s="9" t="s">
        <v>53</v>
      </c>
      <c r="F244" s="10" t="s">
        <v>1034</v>
      </c>
      <c r="G244" s="10" t="s">
        <v>55</v>
      </c>
      <c r="H244" s="16" t="n">
        <v>5</v>
      </c>
      <c r="I244" s="17" t="s">
        <v>967</v>
      </c>
      <c r="J244" s="18" t="s">
        <v>1035</v>
      </c>
      <c r="K244" s="13" t="s">
        <v>502</v>
      </c>
      <c r="L244" s="12" t="s">
        <v>222</v>
      </c>
      <c r="M244" s="12" t="s">
        <v>969</v>
      </c>
      <c r="N244" s="12" t="s">
        <v>306</v>
      </c>
    </row>
    <row r="245" customFormat="false" ht="27.5" hidden="false" customHeight="false" outlineLevel="0" collapsed="false">
      <c r="A245" s="7" t="s">
        <v>1036</v>
      </c>
      <c r="B245" s="8" t="s">
        <v>1037</v>
      </c>
      <c r="C245" s="7" t="s">
        <v>1036</v>
      </c>
      <c r="D245" s="9" t="n">
        <v>20</v>
      </c>
      <c r="E245" s="9" t="s">
        <v>53</v>
      </c>
      <c r="F245" s="10" t="s">
        <v>1038</v>
      </c>
      <c r="G245" s="10" t="s">
        <v>55</v>
      </c>
      <c r="H245" s="16" t="n">
        <v>5</v>
      </c>
      <c r="I245" s="17" t="s">
        <v>967</v>
      </c>
      <c r="J245" s="18" t="s">
        <v>1039</v>
      </c>
      <c r="K245" s="13" t="s">
        <v>502</v>
      </c>
      <c r="L245" s="12" t="s">
        <v>222</v>
      </c>
      <c r="M245" s="12" t="s">
        <v>969</v>
      </c>
      <c r="N245" s="12" t="s">
        <v>306</v>
      </c>
    </row>
    <row r="246" customFormat="false" ht="36" hidden="false" customHeight="false" outlineLevel="0" collapsed="false">
      <c r="A246" s="14" t="s">
        <v>1040</v>
      </c>
      <c r="B246" s="15" t="s">
        <v>1041</v>
      </c>
      <c r="C246" s="14" t="s">
        <v>1040</v>
      </c>
      <c r="D246" s="9" t="n">
        <v>20</v>
      </c>
      <c r="E246" s="9" t="s">
        <v>55</v>
      </c>
      <c r="F246" s="10" t="s">
        <v>1042</v>
      </c>
      <c r="G246" s="10" t="s">
        <v>55</v>
      </c>
      <c r="H246" s="16" t="n">
        <v>5</v>
      </c>
      <c r="I246" s="17" t="s">
        <v>967</v>
      </c>
      <c r="J246" s="18" t="s">
        <v>1043</v>
      </c>
      <c r="K246" s="13" t="s">
        <v>507</v>
      </c>
      <c r="L246" s="12" t="s">
        <v>21</v>
      </c>
      <c r="M246" s="12" t="s">
        <v>969</v>
      </c>
      <c r="N246" s="12" t="s">
        <v>306</v>
      </c>
    </row>
    <row r="247" customFormat="false" ht="30" hidden="false" customHeight="true" outlineLevel="0" collapsed="false">
      <c r="A247" s="14" t="s">
        <v>1044</v>
      </c>
      <c r="B247" s="15" t="s">
        <v>1045</v>
      </c>
      <c r="C247" s="14" t="s">
        <v>1044</v>
      </c>
      <c r="D247" s="9" t="n">
        <v>20</v>
      </c>
      <c r="E247" s="9" t="s">
        <v>55</v>
      </c>
      <c r="F247" s="10" t="s">
        <v>1046</v>
      </c>
      <c r="G247" s="10" t="s">
        <v>55</v>
      </c>
      <c r="H247" s="16" t="n">
        <v>5</v>
      </c>
      <c r="I247" s="17" t="s">
        <v>967</v>
      </c>
      <c r="J247" s="18" t="s">
        <v>1047</v>
      </c>
      <c r="K247" s="13" t="s">
        <v>502</v>
      </c>
      <c r="L247" s="12" t="s">
        <v>21</v>
      </c>
      <c r="M247" s="12" t="s">
        <v>969</v>
      </c>
      <c r="N247" s="12" t="s">
        <v>306</v>
      </c>
    </row>
    <row r="248" customFormat="false" ht="36" hidden="false" customHeight="false" outlineLevel="0" collapsed="false">
      <c r="A248" s="14" t="s">
        <v>1048</v>
      </c>
      <c r="B248" s="15" t="s">
        <v>1049</v>
      </c>
      <c r="C248" s="14" t="s">
        <v>1048</v>
      </c>
      <c r="D248" s="9" t="n">
        <v>20</v>
      </c>
      <c r="E248" s="9" t="s">
        <v>55</v>
      </c>
      <c r="F248" s="10" t="s">
        <v>1034</v>
      </c>
      <c r="G248" s="10" t="s">
        <v>55</v>
      </c>
      <c r="H248" s="16" t="n">
        <v>5</v>
      </c>
      <c r="I248" s="17" t="s">
        <v>967</v>
      </c>
      <c r="J248" s="18" t="s">
        <v>1050</v>
      </c>
      <c r="K248" s="13" t="s">
        <v>1051</v>
      </c>
      <c r="L248" s="12" t="s">
        <v>222</v>
      </c>
      <c r="M248" s="12" t="s">
        <v>816</v>
      </c>
      <c r="N248" s="12" t="s">
        <v>452</v>
      </c>
    </row>
    <row r="249" customFormat="false" ht="36" hidden="false" customHeight="false" outlineLevel="0" collapsed="false">
      <c r="A249" s="7" t="s">
        <v>1052</v>
      </c>
      <c r="B249" s="8" t="s">
        <v>1053</v>
      </c>
      <c r="C249" s="7" t="s">
        <v>1052</v>
      </c>
      <c r="D249" s="9" t="n">
        <v>3</v>
      </c>
      <c r="E249" s="10" t="s">
        <v>39</v>
      </c>
      <c r="F249" s="10" t="s">
        <v>59</v>
      </c>
      <c r="G249" s="10" t="s">
        <v>59</v>
      </c>
      <c r="H249" s="16" t="n">
        <v>5</v>
      </c>
      <c r="I249" s="17" t="s">
        <v>967</v>
      </c>
      <c r="J249" s="12" t="s">
        <v>1054</v>
      </c>
      <c r="K249" s="12" t="s">
        <v>878</v>
      </c>
      <c r="L249" s="12" t="s">
        <v>222</v>
      </c>
      <c r="M249" s="12" t="s">
        <v>816</v>
      </c>
      <c r="N249" s="12" t="s">
        <v>817</v>
      </c>
    </row>
    <row r="250" customFormat="false" ht="27.5" hidden="false" customHeight="false" outlineLevel="0" collapsed="false">
      <c r="A250" s="7" t="s">
        <v>1055</v>
      </c>
      <c r="B250" s="8" t="s">
        <v>1056</v>
      </c>
      <c r="C250" s="7" t="s">
        <v>1055</v>
      </c>
      <c r="D250" s="9" t="n">
        <v>6</v>
      </c>
      <c r="E250" s="10" t="s">
        <v>180</v>
      </c>
      <c r="F250" s="10" t="s">
        <v>251</v>
      </c>
      <c r="G250" s="10" t="s">
        <v>251</v>
      </c>
      <c r="H250" s="16" t="n">
        <v>5</v>
      </c>
      <c r="I250" s="17" t="s">
        <v>967</v>
      </c>
      <c r="J250" s="12" t="s">
        <v>1057</v>
      </c>
      <c r="K250" s="12" t="s">
        <v>1058</v>
      </c>
      <c r="L250" s="12" t="s">
        <v>222</v>
      </c>
      <c r="M250" s="12" t="s">
        <v>816</v>
      </c>
      <c r="N250" s="12" t="s">
        <v>306</v>
      </c>
    </row>
    <row r="251" customFormat="false" ht="27.5" hidden="false" customHeight="false" outlineLevel="0" collapsed="false">
      <c r="A251" s="20" t="s">
        <v>1059</v>
      </c>
      <c r="B251" s="15" t="s">
        <v>1060</v>
      </c>
      <c r="C251" s="20" t="s">
        <v>1059</v>
      </c>
      <c r="D251" s="9" t="n">
        <v>5</v>
      </c>
      <c r="E251" s="9" t="s">
        <v>63</v>
      </c>
      <c r="F251" s="10" t="s">
        <v>64</v>
      </c>
      <c r="G251" s="10" t="s">
        <v>1061</v>
      </c>
      <c r="H251" s="16" t="n">
        <v>5</v>
      </c>
      <c r="I251" s="17" t="s">
        <v>967</v>
      </c>
      <c r="J251" s="13" t="s">
        <v>1062</v>
      </c>
      <c r="K251" s="13" t="s">
        <v>793</v>
      </c>
      <c r="L251" s="12" t="s">
        <v>222</v>
      </c>
      <c r="M251" s="12" t="s">
        <v>816</v>
      </c>
      <c r="N251" s="12" t="s">
        <v>817</v>
      </c>
    </row>
    <row r="252" customFormat="false" ht="36" hidden="false" customHeight="false" outlineLevel="0" collapsed="false">
      <c r="A252" s="14" t="s">
        <v>1063</v>
      </c>
      <c r="B252" s="15" t="s">
        <v>1064</v>
      </c>
      <c r="C252" s="14" t="s">
        <v>1063</v>
      </c>
      <c r="D252" s="9" t="n">
        <v>9</v>
      </c>
      <c r="E252" s="10" t="s">
        <v>113</v>
      </c>
      <c r="F252" s="10" t="s">
        <v>517</v>
      </c>
      <c r="G252" s="10" t="s">
        <v>518</v>
      </c>
      <c r="H252" s="16" t="n">
        <v>5</v>
      </c>
      <c r="I252" s="17" t="s">
        <v>967</v>
      </c>
      <c r="J252" s="21" t="s">
        <v>1065</v>
      </c>
      <c r="K252" s="13" t="s">
        <v>1066</v>
      </c>
      <c r="L252" s="12" t="s">
        <v>222</v>
      </c>
      <c r="M252" s="12" t="s">
        <v>816</v>
      </c>
      <c r="N252" s="12" t="s">
        <v>306</v>
      </c>
    </row>
    <row r="253" customFormat="false" ht="70" hidden="false" customHeight="false" outlineLevel="0" collapsed="false">
      <c r="A253" s="14" t="s">
        <v>1067</v>
      </c>
      <c r="B253" s="15" t="s">
        <v>1068</v>
      </c>
      <c r="C253" s="14" t="s">
        <v>1067</v>
      </c>
      <c r="D253" s="9" t="n">
        <v>6</v>
      </c>
      <c r="E253" s="9" t="s">
        <v>180</v>
      </c>
      <c r="F253" s="10" t="s">
        <v>1069</v>
      </c>
      <c r="G253" s="10" t="s">
        <v>1070</v>
      </c>
      <c r="H253" s="16" t="n">
        <v>5</v>
      </c>
      <c r="I253" s="17" t="s">
        <v>967</v>
      </c>
      <c r="J253" s="18" t="s">
        <v>1071</v>
      </c>
      <c r="K253" s="18" t="s">
        <v>1072</v>
      </c>
      <c r="L253" s="12" t="s">
        <v>222</v>
      </c>
      <c r="M253" s="12" t="s">
        <v>816</v>
      </c>
      <c r="N253" s="12" t="s">
        <v>817</v>
      </c>
    </row>
    <row r="254" customFormat="false" ht="19" hidden="false" customHeight="false" outlineLevel="0" collapsed="false">
      <c r="A254" s="7" t="s">
        <v>1073</v>
      </c>
      <c r="B254" s="8" t="s">
        <v>1074</v>
      </c>
      <c r="C254" s="7" t="s">
        <v>1073</v>
      </c>
      <c r="D254" s="9" t="n">
        <v>11</v>
      </c>
      <c r="E254" s="10" t="s">
        <v>69</v>
      </c>
      <c r="F254" s="10" t="s">
        <v>526</v>
      </c>
      <c r="G254" s="10" t="s">
        <v>527</v>
      </c>
      <c r="H254" s="16" t="n">
        <v>5</v>
      </c>
      <c r="I254" s="17" t="s">
        <v>967</v>
      </c>
      <c r="J254" s="12" t="s">
        <v>1075</v>
      </c>
      <c r="K254" s="12" t="s">
        <v>1076</v>
      </c>
      <c r="L254" s="12" t="s">
        <v>222</v>
      </c>
      <c r="M254" s="12" t="s">
        <v>816</v>
      </c>
      <c r="N254" s="12" t="s">
        <v>817</v>
      </c>
    </row>
    <row r="255" customFormat="false" ht="36" hidden="false" customHeight="false" outlineLevel="0" collapsed="false">
      <c r="A255" s="20" t="s">
        <v>1077</v>
      </c>
      <c r="B255" s="15" t="s">
        <v>1078</v>
      </c>
      <c r="C255" s="20" t="s">
        <v>1077</v>
      </c>
      <c r="D255" s="9" t="n">
        <v>11</v>
      </c>
      <c r="E255" s="10" t="s">
        <v>69</v>
      </c>
      <c r="F255" s="10" t="s">
        <v>526</v>
      </c>
      <c r="G255" s="10" t="s">
        <v>527</v>
      </c>
      <c r="H255" s="16" t="n">
        <v>5</v>
      </c>
      <c r="I255" s="17" t="s">
        <v>967</v>
      </c>
      <c r="J255" s="13" t="s">
        <v>1079</v>
      </c>
      <c r="K255" s="13" t="s">
        <v>1080</v>
      </c>
      <c r="L255" s="12" t="s">
        <v>222</v>
      </c>
      <c r="M255" s="12" t="s">
        <v>816</v>
      </c>
      <c r="N255" s="12" t="s">
        <v>817</v>
      </c>
    </row>
    <row r="256" customFormat="false" ht="27.5" hidden="false" customHeight="false" outlineLevel="0" collapsed="false">
      <c r="A256" s="22" t="s">
        <v>1081</v>
      </c>
      <c r="B256" s="8" t="s">
        <v>1082</v>
      </c>
      <c r="C256" s="22" t="s">
        <v>1081</v>
      </c>
      <c r="D256" s="9" t="n">
        <v>27</v>
      </c>
      <c r="E256" s="10" t="s">
        <v>1083</v>
      </c>
      <c r="F256" s="10" t="s">
        <v>796</v>
      </c>
      <c r="G256" s="10" t="s">
        <v>1084</v>
      </c>
      <c r="H256" s="16" t="n">
        <v>5</v>
      </c>
      <c r="I256" s="17" t="s">
        <v>967</v>
      </c>
      <c r="J256" s="23" t="s">
        <v>1085</v>
      </c>
      <c r="K256" s="13" t="s">
        <v>1086</v>
      </c>
      <c r="L256" s="12" t="s">
        <v>222</v>
      </c>
      <c r="M256" s="12" t="s">
        <v>816</v>
      </c>
      <c r="N256" s="12" t="s">
        <v>452</v>
      </c>
    </row>
    <row r="257" customFormat="false" ht="27.5" hidden="false" customHeight="false" outlineLevel="0" collapsed="false">
      <c r="A257" s="7" t="s">
        <v>1087</v>
      </c>
      <c r="B257" s="8" t="s">
        <v>1088</v>
      </c>
      <c r="C257" s="7" t="s">
        <v>1087</v>
      </c>
      <c r="D257" s="9" t="n">
        <v>26</v>
      </c>
      <c r="E257" s="10" t="s">
        <v>541</v>
      </c>
      <c r="F257" s="10" t="s">
        <v>226</v>
      </c>
      <c r="G257" s="10" t="s">
        <v>542</v>
      </c>
      <c r="H257" s="16" t="n">
        <v>5</v>
      </c>
      <c r="I257" s="17" t="s">
        <v>967</v>
      </c>
      <c r="J257" s="12" t="s">
        <v>1089</v>
      </c>
      <c r="K257" s="13" t="s">
        <v>1090</v>
      </c>
      <c r="L257" s="12" t="s">
        <v>21</v>
      </c>
      <c r="M257" s="12" t="s">
        <v>969</v>
      </c>
      <c r="N257" s="12" t="s">
        <v>452</v>
      </c>
    </row>
    <row r="258" customFormat="false" ht="70" hidden="false" customHeight="false" outlineLevel="0" collapsed="false">
      <c r="A258" s="14" t="s">
        <v>1091</v>
      </c>
      <c r="B258" s="15" t="s">
        <v>1092</v>
      </c>
      <c r="C258" s="14" t="s">
        <v>1091</v>
      </c>
      <c r="D258" s="9" t="n">
        <v>26</v>
      </c>
      <c r="E258" s="10" t="s">
        <v>541</v>
      </c>
      <c r="F258" s="10" t="s">
        <v>210</v>
      </c>
      <c r="G258" s="10" t="s">
        <v>542</v>
      </c>
      <c r="H258" s="16" t="n">
        <v>5</v>
      </c>
      <c r="I258" s="17" t="s">
        <v>967</v>
      </c>
      <c r="J258" s="18" t="s">
        <v>1093</v>
      </c>
      <c r="K258" s="13" t="s">
        <v>551</v>
      </c>
      <c r="L258" s="12" t="s">
        <v>21</v>
      </c>
      <c r="M258" s="12" t="s">
        <v>969</v>
      </c>
      <c r="N258" s="12" t="s">
        <v>452</v>
      </c>
    </row>
    <row r="259" customFormat="false" ht="53" hidden="false" customHeight="false" outlineLevel="0" collapsed="false">
      <c r="A259" s="14" t="s">
        <v>1094</v>
      </c>
      <c r="B259" s="15" t="s">
        <v>1095</v>
      </c>
      <c r="C259" s="14" t="s">
        <v>1094</v>
      </c>
      <c r="D259" s="9" t="n">
        <v>26</v>
      </c>
      <c r="E259" s="10" t="s">
        <v>541</v>
      </c>
      <c r="F259" s="10" t="s">
        <v>210</v>
      </c>
      <c r="G259" s="10" t="s">
        <v>542</v>
      </c>
      <c r="H259" s="16" t="n">
        <v>5</v>
      </c>
      <c r="I259" s="17" t="s">
        <v>967</v>
      </c>
      <c r="J259" s="18" t="s">
        <v>1096</v>
      </c>
      <c r="K259" s="13" t="s">
        <v>551</v>
      </c>
      <c r="L259" s="12" t="s">
        <v>21</v>
      </c>
      <c r="M259" s="12" t="s">
        <v>969</v>
      </c>
      <c r="N259" s="12" t="s">
        <v>452</v>
      </c>
    </row>
    <row r="260" customFormat="false" ht="19" hidden="false" customHeight="false" outlineLevel="0" collapsed="false">
      <c r="A260" s="7" t="s">
        <v>1097</v>
      </c>
      <c r="B260" s="8" t="s">
        <v>1098</v>
      </c>
      <c r="C260" s="7" t="s">
        <v>1097</v>
      </c>
      <c r="D260" s="9" t="n">
        <v>26</v>
      </c>
      <c r="E260" s="10" t="s">
        <v>541</v>
      </c>
      <c r="F260" s="10" t="s">
        <v>1099</v>
      </c>
      <c r="G260" s="10" t="s">
        <v>542</v>
      </c>
      <c r="H260" s="16" t="n">
        <v>5</v>
      </c>
      <c r="I260" s="17" t="s">
        <v>967</v>
      </c>
      <c r="J260" s="12" t="s">
        <v>1100</v>
      </c>
      <c r="K260" s="13" t="s">
        <v>1101</v>
      </c>
      <c r="L260" s="12" t="s">
        <v>222</v>
      </c>
      <c r="M260" s="12" t="s">
        <v>1102</v>
      </c>
      <c r="N260" s="12" t="s">
        <v>452</v>
      </c>
    </row>
    <row r="261" customFormat="false" ht="19" hidden="false" customHeight="false" outlineLevel="0" collapsed="false">
      <c r="A261" s="7" t="s">
        <v>1103</v>
      </c>
      <c r="B261" s="8" t="s">
        <v>1104</v>
      </c>
      <c r="C261" s="7" t="s">
        <v>1103</v>
      </c>
      <c r="D261" s="9" t="n">
        <v>26</v>
      </c>
      <c r="E261" s="10" t="s">
        <v>541</v>
      </c>
      <c r="F261" s="10" t="s">
        <v>203</v>
      </c>
      <c r="G261" s="10" t="s">
        <v>542</v>
      </c>
      <c r="H261" s="16" t="n">
        <v>5</v>
      </c>
      <c r="I261" s="17" t="s">
        <v>967</v>
      </c>
      <c r="J261" s="12" t="s">
        <v>1105</v>
      </c>
      <c r="K261" s="13" t="s">
        <v>196</v>
      </c>
      <c r="L261" s="12" t="s">
        <v>222</v>
      </c>
      <c r="M261" s="12" t="s">
        <v>816</v>
      </c>
      <c r="N261" s="12" t="s">
        <v>452</v>
      </c>
    </row>
    <row r="262" customFormat="false" ht="61.5" hidden="false" customHeight="false" outlineLevel="0" collapsed="false">
      <c r="A262" s="14" t="s">
        <v>1106</v>
      </c>
      <c r="B262" s="15" t="s">
        <v>1107</v>
      </c>
      <c r="C262" s="14" t="s">
        <v>1106</v>
      </c>
      <c r="D262" s="9" t="n">
        <v>26</v>
      </c>
      <c r="E262" s="10" t="s">
        <v>541</v>
      </c>
      <c r="F262" s="10" t="s">
        <v>210</v>
      </c>
      <c r="G262" s="10" t="s">
        <v>542</v>
      </c>
      <c r="H262" s="16" t="n">
        <v>5</v>
      </c>
      <c r="I262" s="17" t="s">
        <v>967</v>
      </c>
      <c r="J262" s="18" t="s">
        <v>1108</v>
      </c>
      <c r="K262" s="13" t="s">
        <v>551</v>
      </c>
      <c r="L262" s="12" t="s">
        <v>21</v>
      </c>
      <c r="M262" s="12" t="s">
        <v>1109</v>
      </c>
      <c r="N262" s="12" t="s">
        <v>452</v>
      </c>
    </row>
    <row r="263" customFormat="false" ht="36" hidden="false" customHeight="false" outlineLevel="0" collapsed="false">
      <c r="A263" s="14" t="s">
        <v>1110</v>
      </c>
      <c r="B263" s="15" t="s">
        <v>1111</v>
      </c>
      <c r="C263" s="14" t="s">
        <v>1110</v>
      </c>
      <c r="D263" s="9" t="n">
        <v>26</v>
      </c>
      <c r="E263" s="10" t="s">
        <v>541</v>
      </c>
      <c r="F263" s="10" t="s">
        <v>210</v>
      </c>
      <c r="G263" s="10" t="s">
        <v>542</v>
      </c>
      <c r="H263" s="16" t="n">
        <v>5</v>
      </c>
      <c r="I263" s="17" t="s">
        <v>967</v>
      </c>
      <c r="J263" s="18" t="s">
        <v>1112</v>
      </c>
      <c r="K263" s="13" t="s">
        <v>551</v>
      </c>
      <c r="L263" s="12" t="s">
        <v>21</v>
      </c>
      <c r="M263" s="12" t="s">
        <v>816</v>
      </c>
      <c r="N263" s="12" t="s">
        <v>452</v>
      </c>
    </row>
    <row r="264" customFormat="false" ht="53" hidden="false" customHeight="false" outlineLevel="0" collapsed="false">
      <c r="A264" s="14" t="s">
        <v>1113</v>
      </c>
      <c r="B264" s="15" t="s">
        <v>1114</v>
      </c>
      <c r="C264" s="14" t="s">
        <v>1113</v>
      </c>
      <c r="D264" s="9" t="n">
        <v>26</v>
      </c>
      <c r="E264" s="10" t="s">
        <v>541</v>
      </c>
      <c r="F264" s="10" t="s">
        <v>203</v>
      </c>
      <c r="G264" s="10" t="s">
        <v>542</v>
      </c>
      <c r="H264" s="16" t="n">
        <v>5</v>
      </c>
      <c r="I264" s="17" t="s">
        <v>967</v>
      </c>
      <c r="J264" s="18" t="s">
        <v>1115</v>
      </c>
      <c r="K264" s="12" t="s">
        <v>1116</v>
      </c>
      <c r="L264" s="12" t="s">
        <v>222</v>
      </c>
      <c r="M264" s="12" t="s">
        <v>816</v>
      </c>
      <c r="N264" s="12" t="s">
        <v>452</v>
      </c>
    </row>
    <row r="265" customFormat="false" ht="27.5" hidden="false" customHeight="false" outlineLevel="0" collapsed="false">
      <c r="A265" s="14" t="s">
        <v>1117</v>
      </c>
      <c r="B265" s="15" t="s">
        <v>1118</v>
      </c>
      <c r="C265" s="14" t="s">
        <v>1117</v>
      </c>
      <c r="D265" s="9" t="n">
        <v>26</v>
      </c>
      <c r="E265" s="10" t="s">
        <v>541</v>
      </c>
      <c r="F265" s="10" t="s">
        <v>210</v>
      </c>
      <c r="G265" s="10" t="s">
        <v>542</v>
      </c>
      <c r="H265" s="16" t="n">
        <v>5</v>
      </c>
      <c r="I265" s="17" t="s">
        <v>967</v>
      </c>
      <c r="J265" s="18" t="s">
        <v>1119</v>
      </c>
      <c r="K265" s="12" t="s">
        <v>1120</v>
      </c>
      <c r="L265" s="12" t="s">
        <v>222</v>
      </c>
      <c r="M265" s="12" t="s">
        <v>816</v>
      </c>
      <c r="N265" s="12" t="s">
        <v>817</v>
      </c>
    </row>
    <row r="266" customFormat="false" ht="19" hidden="false" customHeight="false" outlineLevel="0" collapsed="false">
      <c r="A266" s="7" t="s">
        <v>1121</v>
      </c>
      <c r="B266" s="8" t="s">
        <v>1122</v>
      </c>
      <c r="C266" s="7" t="s">
        <v>1121</v>
      </c>
      <c r="D266" s="9" t="n">
        <v>26</v>
      </c>
      <c r="E266" s="10" t="s">
        <v>541</v>
      </c>
      <c r="F266" s="10" t="s">
        <v>210</v>
      </c>
      <c r="G266" s="10" t="s">
        <v>542</v>
      </c>
      <c r="H266" s="16" t="n">
        <v>5</v>
      </c>
      <c r="I266" s="17" t="s">
        <v>967</v>
      </c>
      <c r="J266" s="12" t="s">
        <v>1123</v>
      </c>
      <c r="K266" s="12" t="s">
        <v>196</v>
      </c>
      <c r="L266" s="12" t="s">
        <v>21</v>
      </c>
      <c r="M266" s="12" t="s">
        <v>816</v>
      </c>
      <c r="N266" s="12" t="s">
        <v>452</v>
      </c>
    </row>
    <row r="267" customFormat="false" ht="70" hidden="false" customHeight="false" outlineLevel="0" collapsed="false">
      <c r="A267" s="20" t="s">
        <v>1124</v>
      </c>
      <c r="B267" s="15" t="s">
        <v>1125</v>
      </c>
      <c r="C267" s="20" t="s">
        <v>1124</v>
      </c>
      <c r="D267" s="9" t="n">
        <v>22</v>
      </c>
      <c r="E267" s="9" t="s">
        <v>47</v>
      </c>
      <c r="F267" s="10" t="s">
        <v>554</v>
      </c>
      <c r="G267" s="10" t="s">
        <v>554</v>
      </c>
      <c r="H267" s="16" t="n">
        <v>5</v>
      </c>
      <c r="I267" s="17" t="s">
        <v>967</v>
      </c>
      <c r="J267" s="13" t="s">
        <v>1126</v>
      </c>
      <c r="K267" s="13" t="s">
        <v>1127</v>
      </c>
      <c r="L267" s="12" t="s">
        <v>222</v>
      </c>
      <c r="M267" s="12" t="s">
        <v>816</v>
      </c>
      <c r="N267" s="12" t="s">
        <v>817</v>
      </c>
    </row>
    <row r="268" customFormat="false" ht="44.5" hidden="false" customHeight="false" outlineLevel="0" collapsed="false">
      <c r="A268" s="14" t="s">
        <v>1128</v>
      </c>
      <c r="B268" s="15" t="s">
        <v>1129</v>
      </c>
      <c r="C268" s="14" t="s">
        <v>1128</v>
      </c>
      <c r="D268" s="9" t="n">
        <v>22</v>
      </c>
      <c r="E268" s="9" t="s">
        <v>47</v>
      </c>
      <c r="F268" s="10" t="s">
        <v>781</v>
      </c>
      <c r="G268" s="10" t="s">
        <v>1130</v>
      </c>
      <c r="H268" s="16" t="n">
        <v>5</v>
      </c>
      <c r="I268" s="17" t="s">
        <v>967</v>
      </c>
      <c r="J268" s="21" t="s">
        <v>1131</v>
      </c>
      <c r="K268" s="12" t="s">
        <v>1132</v>
      </c>
      <c r="L268" s="12" t="s">
        <v>222</v>
      </c>
      <c r="M268" s="12" t="s">
        <v>816</v>
      </c>
      <c r="N268" s="12" t="s">
        <v>817</v>
      </c>
    </row>
    <row r="269" customFormat="false" ht="61.5" hidden="false" customHeight="false" outlineLevel="0" collapsed="false">
      <c r="A269" s="20" t="s">
        <v>1133</v>
      </c>
      <c r="B269" s="15" t="s">
        <v>1134</v>
      </c>
      <c r="C269" s="20" t="s">
        <v>1133</v>
      </c>
      <c r="D269" s="9" t="n">
        <v>5</v>
      </c>
      <c r="E269" s="9" t="s">
        <v>63</v>
      </c>
      <c r="F269" s="10" t="s">
        <v>64</v>
      </c>
      <c r="G269" s="10" t="s">
        <v>65</v>
      </c>
      <c r="H269" s="16" t="n">
        <v>5</v>
      </c>
      <c r="I269" s="17" t="s">
        <v>967</v>
      </c>
      <c r="J269" s="13" t="s">
        <v>1135</v>
      </c>
      <c r="K269" s="13" t="s">
        <v>696</v>
      </c>
      <c r="L269" s="12" t="s">
        <v>222</v>
      </c>
      <c r="M269" s="12" t="s">
        <v>816</v>
      </c>
      <c r="N269" s="12" t="s">
        <v>306</v>
      </c>
      <c r="O269" s="25"/>
      <c r="P269" s="25"/>
      <c r="Q269" s="25"/>
      <c r="R269" s="25"/>
      <c r="S269" s="25"/>
      <c r="T269" s="25"/>
      <c r="U269" s="25"/>
      <c r="V269" s="25"/>
      <c r="W269" s="25"/>
      <c r="X269" s="25"/>
      <c r="Y269" s="25"/>
      <c r="Z269" s="25"/>
      <c r="AA269" s="25"/>
      <c r="AB269" s="25"/>
      <c r="AC269" s="25"/>
      <c r="AD269" s="25"/>
      <c r="AE269" s="25"/>
    </row>
    <row r="270" customFormat="false" ht="44.5" hidden="false" customHeight="false" outlineLevel="0" collapsed="false">
      <c r="A270" s="14" t="s">
        <v>1136</v>
      </c>
      <c r="B270" s="15" t="s">
        <v>1137</v>
      </c>
      <c r="C270" s="14" t="s">
        <v>1136</v>
      </c>
      <c r="D270" s="9" t="n">
        <v>10</v>
      </c>
      <c r="E270" s="9" t="s">
        <v>142</v>
      </c>
      <c r="F270" s="10" t="s">
        <v>561</v>
      </c>
      <c r="G270" s="10" t="s">
        <v>562</v>
      </c>
      <c r="H270" s="16" t="n">
        <v>5</v>
      </c>
      <c r="I270" s="17" t="s">
        <v>967</v>
      </c>
      <c r="J270" s="18" t="s">
        <v>1138</v>
      </c>
      <c r="K270" s="18" t="s">
        <v>1139</v>
      </c>
      <c r="L270" s="12" t="s">
        <v>222</v>
      </c>
      <c r="M270" s="12" t="s">
        <v>816</v>
      </c>
      <c r="N270" s="12" t="s">
        <v>23</v>
      </c>
      <c r="O270" s="25"/>
      <c r="P270" s="25"/>
      <c r="Q270" s="25"/>
      <c r="R270" s="25"/>
      <c r="S270" s="25"/>
      <c r="T270" s="25"/>
      <c r="U270" s="25"/>
      <c r="V270" s="25"/>
      <c r="W270" s="25"/>
      <c r="X270" s="25"/>
      <c r="Y270" s="25"/>
      <c r="Z270" s="25"/>
      <c r="AA270" s="25"/>
      <c r="AB270" s="25"/>
      <c r="AC270" s="25"/>
      <c r="AD270" s="25"/>
      <c r="AE270" s="25"/>
    </row>
    <row r="271" customFormat="false" ht="44.5" hidden="false" customHeight="false" outlineLevel="0" collapsed="false">
      <c r="A271" s="20" t="s">
        <v>1140</v>
      </c>
      <c r="B271" s="15" t="s">
        <v>1141</v>
      </c>
      <c r="C271" s="20" t="s">
        <v>1140</v>
      </c>
      <c r="D271" s="9" t="n">
        <v>9</v>
      </c>
      <c r="E271" s="10" t="s">
        <v>113</v>
      </c>
      <c r="F271" s="10" t="s">
        <v>264</v>
      </c>
      <c r="G271" s="10" t="s">
        <v>265</v>
      </c>
      <c r="H271" s="16" t="n">
        <v>5</v>
      </c>
      <c r="I271" s="17" t="s">
        <v>967</v>
      </c>
      <c r="J271" s="13" t="s">
        <v>1142</v>
      </c>
      <c r="K271" s="13" t="s">
        <v>1143</v>
      </c>
      <c r="L271" s="12" t="s">
        <v>222</v>
      </c>
      <c r="M271" s="12" t="s">
        <v>816</v>
      </c>
      <c r="N271" s="12" t="s">
        <v>306</v>
      </c>
      <c r="O271" s="25"/>
      <c r="P271" s="25"/>
      <c r="Q271" s="25"/>
      <c r="R271" s="25"/>
      <c r="S271" s="25"/>
      <c r="T271" s="25"/>
      <c r="U271" s="25"/>
      <c r="V271" s="25"/>
      <c r="W271" s="25"/>
      <c r="X271" s="25"/>
      <c r="Y271" s="25"/>
      <c r="Z271" s="25"/>
      <c r="AA271" s="25"/>
      <c r="AB271" s="25"/>
      <c r="AC271" s="25"/>
      <c r="AD271" s="25"/>
      <c r="AE271" s="25"/>
    </row>
    <row r="272" customFormat="false" ht="36" hidden="false" customHeight="false" outlineLevel="0" collapsed="false">
      <c r="A272" s="20" t="s">
        <v>1144</v>
      </c>
      <c r="B272" s="15" t="s">
        <v>1145</v>
      </c>
      <c r="C272" s="20" t="s">
        <v>1144</v>
      </c>
      <c r="D272" s="9" t="n">
        <v>9</v>
      </c>
      <c r="E272" s="10" t="s">
        <v>113</v>
      </c>
      <c r="F272" s="10" t="s">
        <v>264</v>
      </c>
      <c r="G272" s="10" t="s">
        <v>265</v>
      </c>
      <c r="H272" s="16" t="n">
        <v>5</v>
      </c>
      <c r="I272" s="17" t="s">
        <v>967</v>
      </c>
      <c r="J272" s="13" t="s">
        <v>1146</v>
      </c>
      <c r="K272" s="13" t="s">
        <v>1143</v>
      </c>
      <c r="L272" s="12" t="s">
        <v>222</v>
      </c>
      <c r="M272" s="12" t="s">
        <v>816</v>
      </c>
      <c r="N272" s="12" t="s">
        <v>306</v>
      </c>
      <c r="O272" s="25"/>
      <c r="P272" s="25"/>
      <c r="Q272" s="25"/>
      <c r="R272" s="25"/>
      <c r="S272" s="25"/>
      <c r="T272" s="25"/>
      <c r="U272" s="25"/>
      <c r="V272" s="25"/>
      <c r="W272" s="25"/>
      <c r="X272" s="25"/>
      <c r="Y272" s="25"/>
      <c r="Z272" s="25"/>
      <c r="AA272" s="25"/>
      <c r="AB272" s="25"/>
      <c r="AC272" s="25"/>
      <c r="AD272" s="25"/>
      <c r="AE272" s="25"/>
    </row>
    <row r="273" customFormat="false" ht="27.5" hidden="false" customHeight="false" outlineLevel="0" collapsed="false">
      <c r="A273" s="7" t="s">
        <v>1147</v>
      </c>
      <c r="B273" s="8" t="s">
        <v>1148</v>
      </c>
      <c r="C273" s="7" t="s">
        <v>1147</v>
      </c>
      <c r="D273" s="9" t="n">
        <v>6</v>
      </c>
      <c r="E273" s="10" t="s">
        <v>180</v>
      </c>
      <c r="F273" s="10" t="s">
        <v>98</v>
      </c>
      <c r="G273" s="10" t="s">
        <v>181</v>
      </c>
      <c r="H273" s="16" t="n">
        <v>5</v>
      </c>
      <c r="I273" s="17" t="s">
        <v>967</v>
      </c>
      <c r="J273" s="12" t="s">
        <v>1149</v>
      </c>
      <c r="K273" s="12" t="s">
        <v>1076</v>
      </c>
      <c r="L273" s="12" t="s">
        <v>222</v>
      </c>
      <c r="M273" s="12" t="s">
        <v>816</v>
      </c>
      <c r="N273" s="12" t="s">
        <v>306</v>
      </c>
      <c r="O273" s="25"/>
      <c r="P273" s="25"/>
      <c r="Q273" s="25"/>
      <c r="R273" s="25"/>
      <c r="S273" s="25"/>
      <c r="T273" s="25"/>
      <c r="U273" s="25"/>
      <c r="V273" s="25"/>
      <c r="W273" s="25"/>
      <c r="X273" s="25"/>
      <c r="Y273" s="25"/>
      <c r="Z273" s="25"/>
      <c r="AA273" s="25"/>
      <c r="AB273" s="25"/>
      <c r="AC273" s="25"/>
      <c r="AD273" s="25"/>
      <c r="AE273" s="25"/>
    </row>
    <row r="274" customFormat="false" ht="44.5" hidden="false" customHeight="false" outlineLevel="0" collapsed="false">
      <c r="A274" s="20" t="s">
        <v>1150</v>
      </c>
      <c r="B274" s="15" t="s">
        <v>1151</v>
      </c>
      <c r="C274" s="20" t="s">
        <v>1150</v>
      </c>
      <c r="D274" s="9" t="n">
        <v>22</v>
      </c>
      <c r="E274" s="9" t="s">
        <v>47</v>
      </c>
      <c r="F274" s="10" t="s">
        <v>48</v>
      </c>
      <c r="G274" s="10" t="s">
        <v>573</v>
      </c>
      <c r="H274" s="16" t="n">
        <v>5</v>
      </c>
      <c r="I274" s="17" t="s">
        <v>967</v>
      </c>
      <c r="J274" s="13" t="s">
        <v>1152</v>
      </c>
      <c r="K274" s="13" t="s">
        <v>1153</v>
      </c>
      <c r="L274" s="12" t="s">
        <v>222</v>
      </c>
      <c r="M274" s="12" t="s">
        <v>816</v>
      </c>
      <c r="N274" s="12" t="s">
        <v>817</v>
      </c>
      <c r="O274" s="25"/>
      <c r="P274" s="25"/>
      <c r="Q274" s="25"/>
      <c r="R274" s="25"/>
      <c r="S274" s="25"/>
      <c r="T274" s="25"/>
      <c r="U274" s="25"/>
      <c r="V274" s="25"/>
      <c r="W274" s="25"/>
      <c r="X274" s="25"/>
      <c r="Y274" s="25"/>
      <c r="Z274" s="25"/>
      <c r="AA274" s="25"/>
      <c r="AB274" s="25"/>
      <c r="AC274" s="25"/>
      <c r="AD274" s="25"/>
      <c r="AE274" s="25"/>
    </row>
    <row r="275" customFormat="false" ht="60.75" hidden="false" customHeight="true" outlineLevel="0" collapsed="false">
      <c r="A275" s="20" t="s">
        <v>1154</v>
      </c>
      <c r="B275" s="15" t="s">
        <v>1155</v>
      </c>
      <c r="C275" s="20" t="s">
        <v>1154</v>
      </c>
      <c r="D275" s="9" t="n">
        <v>22</v>
      </c>
      <c r="E275" s="9" t="s">
        <v>47</v>
      </c>
      <c r="F275" s="10" t="s">
        <v>578</v>
      </c>
      <c r="G275" s="10" t="s">
        <v>578</v>
      </c>
      <c r="H275" s="16" t="n">
        <v>5</v>
      </c>
      <c r="I275" s="17" t="s">
        <v>967</v>
      </c>
      <c r="J275" s="13" t="s">
        <v>1003</v>
      </c>
      <c r="K275" s="13" t="s">
        <v>1156</v>
      </c>
      <c r="L275" s="12" t="s">
        <v>222</v>
      </c>
      <c r="M275" s="12" t="s">
        <v>816</v>
      </c>
      <c r="N275" s="12" t="s">
        <v>817</v>
      </c>
      <c r="O275" s="25"/>
      <c r="P275" s="25"/>
      <c r="Q275" s="25"/>
      <c r="R275" s="25"/>
      <c r="S275" s="25"/>
      <c r="T275" s="25"/>
      <c r="U275" s="25"/>
      <c r="V275" s="25"/>
      <c r="W275" s="25"/>
      <c r="X275" s="25"/>
      <c r="Y275" s="25"/>
      <c r="Z275" s="25"/>
      <c r="AA275" s="25"/>
      <c r="AB275" s="25"/>
      <c r="AC275" s="25"/>
      <c r="AD275" s="25"/>
      <c r="AE275" s="25"/>
    </row>
    <row r="276" customFormat="false" ht="27.5" hidden="false" customHeight="false" outlineLevel="0" collapsed="false">
      <c r="A276" s="20" t="s">
        <v>1157</v>
      </c>
      <c r="B276" s="15" t="s">
        <v>1158</v>
      </c>
      <c r="C276" s="20" t="s">
        <v>1157</v>
      </c>
      <c r="D276" s="9" t="n">
        <v>12</v>
      </c>
      <c r="E276" s="9" t="s">
        <v>185</v>
      </c>
      <c r="F276" s="10" t="s">
        <v>587</v>
      </c>
      <c r="G276" s="10" t="s">
        <v>587</v>
      </c>
      <c r="H276" s="16" t="n">
        <v>5</v>
      </c>
      <c r="I276" s="17" t="s">
        <v>967</v>
      </c>
      <c r="J276" s="13" t="s">
        <v>1159</v>
      </c>
      <c r="K276" s="13" t="s">
        <v>1160</v>
      </c>
      <c r="L276" s="12" t="s">
        <v>222</v>
      </c>
      <c r="M276" s="12" t="s">
        <v>816</v>
      </c>
      <c r="N276" s="12" t="s">
        <v>306</v>
      </c>
      <c r="O276" s="25"/>
      <c r="P276" s="25"/>
      <c r="Q276" s="25"/>
      <c r="R276" s="25"/>
      <c r="S276" s="25"/>
      <c r="T276" s="25"/>
      <c r="U276" s="25"/>
      <c r="V276" s="25"/>
      <c r="W276" s="25"/>
      <c r="X276" s="25"/>
      <c r="Y276" s="25"/>
      <c r="Z276" s="25"/>
      <c r="AA276" s="25"/>
      <c r="AB276" s="25"/>
      <c r="AC276" s="25"/>
      <c r="AD276" s="25"/>
      <c r="AE276" s="25"/>
    </row>
    <row r="277" customFormat="false" ht="53" hidden="false" customHeight="false" outlineLevel="0" collapsed="false">
      <c r="A277" s="7" t="s">
        <v>1161</v>
      </c>
      <c r="B277" s="8" t="s">
        <v>1162</v>
      </c>
      <c r="C277" s="7" t="s">
        <v>1161</v>
      </c>
      <c r="D277" s="9" t="n">
        <v>9</v>
      </c>
      <c r="E277" s="10" t="s">
        <v>113</v>
      </c>
      <c r="F277" s="10" t="s">
        <v>591</v>
      </c>
      <c r="G277" s="10" t="s">
        <v>591</v>
      </c>
      <c r="H277" s="16" t="n">
        <v>5</v>
      </c>
      <c r="I277" s="17" t="s">
        <v>967</v>
      </c>
      <c r="J277" s="12" t="s">
        <v>1163</v>
      </c>
      <c r="K277" s="13" t="s">
        <v>1164</v>
      </c>
      <c r="L277" s="12" t="s">
        <v>222</v>
      </c>
      <c r="M277" s="12" t="s">
        <v>816</v>
      </c>
      <c r="N277" s="12" t="s">
        <v>306</v>
      </c>
      <c r="O277" s="25"/>
      <c r="P277" s="25"/>
      <c r="Q277" s="25"/>
      <c r="R277" s="25"/>
      <c r="S277" s="25"/>
      <c r="T277" s="25"/>
      <c r="U277" s="25"/>
      <c r="V277" s="25"/>
      <c r="W277" s="25"/>
      <c r="X277" s="25"/>
      <c r="Y277" s="25"/>
      <c r="Z277" s="25"/>
      <c r="AA277" s="25"/>
      <c r="AB277" s="25"/>
      <c r="AC277" s="25"/>
      <c r="AD277" s="25"/>
      <c r="AE277" s="25"/>
    </row>
    <row r="278" customFormat="false" ht="27.5" hidden="false" customHeight="false" outlineLevel="0" collapsed="false">
      <c r="A278" s="7" t="s">
        <v>1165</v>
      </c>
      <c r="B278" s="8" t="s">
        <v>1166</v>
      </c>
      <c r="C278" s="7" t="s">
        <v>1165</v>
      </c>
      <c r="D278" s="9" t="n">
        <v>9</v>
      </c>
      <c r="E278" s="10" t="s">
        <v>113</v>
      </c>
      <c r="F278" s="10" t="s">
        <v>591</v>
      </c>
      <c r="G278" s="10" t="s">
        <v>591</v>
      </c>
      <c r="H278" s="16" t="n">
        <v>5</v>
      </c>
      <c r="I278" s="17" t="s">
        <v>967</v>
      </c>
      <c r="J278" s="12" t="s">
        <v>1167</v>
      </c>
      <c r="K278" s="12" t="s">
        <v>1168</v>
      </c>
      <c r="L278" s="12" t="s">
        <v>222</v>
      </c>
      <c r="M278" s="12" t="s">
        <v>816</v>
      </c>
      <c r="N278" s="12" t="s">
        <v>306</v>
      </c>
      <c r="O278" s="25"/>
      <c r="P278" s="25"/>
      <c r="Q278" s="25"/>
      <c r="R278" s="25"/>
      <c r="S278" s="25"/>
      <c r="T278" s="25"/>
      <c r="U278" s="25"/>
      <c r="V278" s="25"/>
      <c r="W278" s="25"/>
      <c r="X278" s="25"/>
      <c r="Y278" s="25"/>
      <c r="Z278" s="25"/>
      <c r="AA278" s="25"/>
      <c r="AB278" s="25"/>
      <c r="AC278" s="25"/>
      <c r="AD278" s="25"/>
      <c r="AE278" s="25"/>
    </row>
    <row r="279" customFormat="false" ht="27.5" hidden="false" customHeight="false" outlineLevel="0" collapsed="false">
      <c r="A279" s="7" t="s">
        <v>1169</v>
      </c>
      <c r="B279" s="8" t="s">
        <v>1170</v>
      </c>
      <c r="C279" s="7" t="s">
        <v>1169</v>
      </c>
      <c r="D279" s="9" t="n">
        <v>1</v>
      </c>
      <c r="E279" s="10" t="s">
        <v>203</v>
      </c>
      <c r="F279" s="10" t="s">
        <v>596</v>
      </c>
      <c r="G279" s="10" t="s">
        <v>596</v>
      </c>
      <c r="H279" s="16" t="n">
        <v>5</v>
      </c>
      <c r="I279" s="17" t="s">
        <v>967</v>
      </c>
      <c r="J279" s="12" t="s">
        <v>1171</v>
      </c>
      <c r="K279" s="12" t="s">
        <v>1172</v>
      </c>
      <c r="L279" s="12" t="s">
        <v>222</v>
      </c>
      <c r="M279" s="12" t="s">
        <v>816</v>
      </c>
      <c r="N279" s="12" t="s">
        <v>817</v>
      </c>
      <c r="O279" s="25"/>
      <c r="P279" s="25"/>
      <c r="Q279" s="25"/>
      <c r="R279" s="25"/>
      <c r="S279" s="25"/>
      <c r="T279" s="25"/>
      <c r="U279" s="25"/>
      <c r="V279" s="25"/>
      <c r="W279" s="25"/>
      <c r="X279" s="25"/>
      <c r="Y279" s="25"/>
      <c r="Z279" s="25"/>
      <c r="AA279" s="25"/>
      <c r="AB279" s="25"/>
      <c r="AC279" s="25"/>
      <c r="AD279" s="25"/>
      <c r="AE279" s="25"/>
    </row>
    <row r="280" customFormat="false" ht="19" hidden="false" customHeight="false" outlineLevel="0" collapsed="false">
      <c r="A280" s="7" t="s">
        <v>1173</v>
      </c>
      <c r="B280" s="8" t="s">
        <v>1174</v>
      </c>
      <c r="C280" s="7" t="s">
        <v>1173</v>
      </c>
      <c r="D280" s="9" t="n">
        <v>11</v>
      </c>
      <c r="E280" s="10" t="s">
        <v>69</v>
      </c>
      <c r="F280" s="10" t="s">
        <v>70</v>
      </c>
      <c r="G280" s="10" t="s">
        <v>70</v>
      </c>
      <c r="H280" s="16" t="n">
        <v>5</v>
      </c>
      <c r="I280" s="17" t="s">
        <v>967</v>
      </c>
      <c r="J280" s="12" t="s">
        <v>1175</v>
      </c>
      <c r="K280" s="12" t="s">
        <v>1176</v>
      </c>
      <c r="L280" s="12" t="s">
        <v>222</v>
      </c>
      <c r="M280" s="12" t="s">
        <v>816</v>
      </c>
      <c r="N280" s="12" t="s">
        <v>817</v>
      </c>
      <c r="O280" s="25"/>
      <c r="P280" s="25"/>
      <c r="Q280" s="25"/>
      <c r="R280" s="25"/>
      <c r="S280" s="25"/>
      <c r="T280" s="25"/>
      <c r="U280" s="25"/>
      <c r="V280" s="25"/>
      <c r="W280" s="25"/>
      <c r="X280" s="25"/>
      <c r="Y280" s="25"/>
      <c r="Z280" s="25"/>
      <c r="AA280" s="25"/>
      <c r="AB280" s="25"/>
      <c r="AC280" s="25"/>
      <c r="AD280" s="25"/>
      <c r="AE280" s="25"/>
    </row>
    <row r="281" customFormat="false" ht="19" hidden="false" customHeight="false" outlineLevel="0" collapsed="false">
      <c r="A281" s="14" t="s">
        <v>1177</v>
      </c>
      <c r="B281" s="15" t="s">
        <v>1178</v>
      </c>
      <c r="C281" s="14" t="s">
        <v>1177</v>
      </c>
      <c r="D281" s="9" t="n">
        <v>1</v>
      </c>
      <c r="E281" s="10" t="s">
        <v>203</v>
      </c>
      <c r="F281" s="10" t="s">
        <v>1179</v>
      </c>
      <c r="G281" s="10" t="s">
        <v>1179</v>
      </c>
      <c r="H281" s="16" t="n">
        <v>5</v>
      </c>
      <c r="I281" s="17" t="s">
        <v>967</v>
      </c>
      <c r="J281" s="21" t="s">
        <v>1180</v>
      </c>
      <c r="K281" s="13" t="s">
        <v>1181</v>
      </c>
      <c r="L281" s="12" t="s">
        <v>222</v>
      </c>
      <c r="M281" s="12" t="s">
        <v>816</v>
      </c>
      <c r="N281" s="12" t="s">
        <v>817</v>
      </c>
      <c r="O281" s="25"/>
      <c r="P281" s="25"/>
      <c r="Q281" s="25"/>
      <c r="R281" s="25"/>
      <c r="S281" s="25"/>
      <c r="T281" s="25"/>
      <c r="U281" s="25"/>
      <c r="V281" s="25"/>
      <c r="W281" s="25"/>
      <c r="X281" s="25"/>
      <c r="Y281" s="25"/>
      <c r="Z281" s="25"/>
      <c r="AA281" s="25"/>
      <c r="AB281" s="25"/>
      <c r="AC281" s="25"/>
      <c r="AD281" s="25"/>
      <c r="AE281" s="25"/>
    </row>
    <row r="282" customFormat="false" ht="36" hidden="false" customHeight="false" outlineLevel="0" collapsed="false">
      <c r="A282" s="7" t="s">
        <v>1182</v>
      </c>
      <c r="B282" s="8" t="s">
        <v>1183</v>
      </c>
      <c r="C282" s="7" t="s">
        <v>1182</v>
      </c>
      <c r="D282" s="9" t="n">
        <v>5</v>
      </c>
      <c r="E282" s="10" t="s">
        <v>63</v>
      </c>
      <c r="F282" s="10" t="s">
        <v>611</v>
      </c>
      <c r="G282" s="10" t="s">
        <v>611</v>
      </c>
      <c r="H282" s="16" t="n">
        <v>5</v>
      </c>
      <c r="I282" s="17" t="s">
        <v>967</v>
      </c>
      <c r="J282" s="12" t="s">
        <v>1184</v>
      </c>
      <c r="K282" s="12" t="s">
        <v>815</v>
      </c>
      <c r="L282" s="12" t="s">
        <v>222</v>
      </c>
      <c r="M282" s="12" t="s">
        <v>816</v>
      </c>
      <c r="N282" s="12" t="s">
        <v>817</v>
      </c>
      <c r="O282" s="25"/>
      <c r="P282" s="25"/>
      <c r="Q282" s="25"/>
      <c r="R282" s="25"/>
      <c r="S282" s="25"/>
      <c r="T282" s="25"/>
      <c r="U282" s="25"/>
      <c r="V282" s="25"/>
      <c r="W282" s="25"/>
      <c r="X282" s="25"/>
      <c r="Y282" s="25"/>
      <c r="Z282" s="25"/>
      <c r="AA282" s="25"/>
      <c r="AB282" s="25"/>
      <c r="AC282" s="25"/>
      <c r="AD282" s="25"/>
      <c r="AE282" s="25"/>
    </row>
    <row r="283" customFormat="false" ht="36" hidden="false" customHeight="false" outlineLevel="0" collapsed="false">
      <c r="A283" s="20" t="s">
        <v>1185</v>
      </c>
      <c r="B283" s="15" t="s">
        <v>1186</v>
      </c>
      <c r="C283" s="20" t="s">
        <v>1185</v>
      </c>
      <c r="D283" s="9" t="n">
        <v>11</v>
      </c>
      <c r="E283" s="10" t="s">
        <v>69</v>
      </c>
      <c r="F283" s="10" t="s">
        <v>289</v>
      </c>
      <c r="G283" s="10" t="s">
        <v>290</v>
      </c>
      <c r="H283" s="16" t="n">
        <v>5</v>
      </c>
      <c r="I283" s="17" t="s">
        <v>967</v>
      </c>
      <c r="J283" s="13" t="s">
        <v>1187</v>
      </c>
      <c r="K283" s="13" t="s">
        <v>1188</v>
      </c>
      <c r="L283" s="12" t="s">
        <v>222</v>
      </c>
      <c r="M283" s="12" t="s">
        <v>816</v>
      </c>
      <c r="N283" s="12" t="s">
        <v>817</v>
      </c>
      <c r="O283" s="25"/>
      <c r="P283" s="25"/>
      <c r="Q283" s="25"/>
      <c r="R283" s="25"/>
      <c r="S283" s="25"/>
      <c r="T283" s="25"/>
      <c r="U283" s="25"/>
      <c r="V283" s="25"/>
      <c r="W283" s="25"/>
      <c r="X283" s="25"/>
      <c r="Y283" s="25"/>
      <c r="Z283" s="25"/>
      <c r="AA283" s="25"/>
      <c r="AB283" s="25"/>
      <c r="AC283" s="25"/>
      <c r="AD283" s="25"/>
      <c r="AE283" s="25"/>
    </row>
    <row r="284" customFormat="false" ht="27.5" hidden="false" customHeight="false" outlineLevel="0" collapsed="false">
      <c r="A284" s="7" t="s">
        <v>1189</v>
      </c>
      <c r="B284" s="8" t="s">
        <v>1190</v>
      </c>
      <c r="C284" s="7" t="s">
        <v>1189</v>
      </c>
      <c r="D284" s="9" t="n">
        <v>11</v>
      </c>
      <c r="E284" s="10" t="s">
        <v>69</v>
      </c>
      <c r="F284" s="10" t="s">
        <v>289</v>
      </c>
      <c r="G284" s="10" t="s">
        <v>290</v>
      </c>
      <c r="H284" s="16" t="n">
        <v>5</v>
      </c>
      <c r="I284" s="17" t="s">
        <v>967</v>
      </c>
      <c r="J284" s="12" t="s">
        <v>1191</v>
      </c>
      <c r="K284" s="12" t="s">
        <v>1192</v>
      </c>
      <c r="L284" s="12" t="s">
        <v>222</v>
      </c>
      <c r="M284" s="12" t="s">
        <v>816</v>
      </c>
      <c r="N284" s="12" t="s">
        <v>817</v>
      </c>
      <c r="O284" s="26"/>
      <c r="P284" s="26"/>
      <c r="Q284" s="26"/>
      <c r="R284" s="26"/>
      <c r="S284" s="26"/>
      <c r="T284" s="26"/>
      <c r="U284" s="26"/>
      <c r="V284" s="26"/>
      <c r="W284" s="26"/>
      <c r="X284" s="26"/>
      <c r="Y284" s="26"/>
      <c r="Z284" s="26"/>
      <c r="AA284" s="26"/>
      <c r="AB284" s="26"/>
      <c r="AC284" s="26"/>
      <c r="AD284" s="26"/>
      <c r="AE284" s="26"/>
    </row>
    <row r="285" customFormat="false" ht="27.5" hidden="false" customHeight="false" outlineLevel="0" collapsed="false">
      <c r="A285" s="7" t="s">
        <v>1193</v>
      </c>
      <c r="B285" s="8" t="s">
        <v>1194</v>
      </c>
      <c r="C285" s="7" t="s">
        <v>1193</v>
      </c>
      <c r="D285" s="9" t="n">
        <v>5</v>
      </c>
      <c r="E285" s="10" t="s">
        <v>63</v>
      </c>
      <c r="F285" s="10" t="s">
        <v>625</v>
      </c>
      <c r="G285" s="10" t="s">
        <v>626</v>
      </c>
      <c r="H285" s="16" t="n">
        <v>5</v>
      </c>
      <c r="I285" s="17" t="s">
        <v>967</v>
      </c>
      <c r="J285" s="12" t="s">
        <v>1195</v>
      </c>
      <c r="K285" s="12" t="s">
        <v>815</v>
      </c>
      <c r="L285" s="12" t="s">
        <v>222</v>
      </c>
      <c r="M285" s="12" t="s">
        <v>816</v>
      </c>
      <c r="N285" s="12" t="s">
        <v>306</v>
      </c>
    </row>
    <row r="286" customFormat="false" ht="44.5" hidden="false" customHeight="false" outlineLevel="0" collapsed="false">
      <c r="A286" s="20" t="s">
        <v>1196</v>
      </c>
      <c r="B286" s="15" t="s">
        <v>1197</v>
      </c>
      <c r="C286" s="20" t="s">
        <v>1196</v>
      </c>
      <c r="D286" s="9" t="n">
        <v>22</v>
      </c>
      <c r="E286" s="9" t="s">
        <v>47</v>
      </c>
      <c r="F286" s="10" t="s">
        <v>1198</v>
      </c>
      <c r="G286" s="10" t="s">
        <v>1199</v>
      </c>
      <c r="H286" s="16" t="n">
        <v>5</v>
      </c>
      <c r="I286" s="17" t="s">
        <v>967</v>
      </c>
      <c r="J286" s="13" t="s">
        <v>1200</v>
      </c>
      <c r="K286" s="13" t="s">
        <v>793</v>
      </c>
      <c r="L286" s="12" t="s">
        <v>222</v>
      </c>
      <c r="M286" s="12" t="s">
        <v>816</v>
      </c>
      <c r="N286" s="12" t="s">
        <v>817</v>
      </c>
    </row>
    <row r="287" customFormat="false" ht="27.5" hidden="false" customHeight="false" outlineLevel="0" collapsed="false">
      <c r="A287" s="7" t="s">
        <v>1201</v>
      </c>
      <c r="B287" s="8" t="s">
        <v>1202</v>
      </c>
      <c r="C287" s="7" t="s">
        <v>1201</v>
      </c>
      <c r="D287" s="9" t="n">
        <v>1</v>
      </c>
      <c r="E287" s="10" t="s">
        <v>203</v>
      </c>
      <c r="F287" s="10" t="s">
        <v>633</v>
      </c>
      <c r="G287" s="10" t="s">
        <v>634</v>
      </c>
      <c r="H287" s="16" t="n">
        <v>5</v>
      </c>
      <c r="I287" s="17" t="s">
        <v>967</v>
      </c>
      <c r="J287" s="12" t="s">
        <v>1203</v>
      </c>
      <c r="K287" s="12" t="s">
        <v>1204</v>
      </c>
      <c r="L287" s="12" t="s">
        <v>222</v>
      </c>
      <c r="M287" s="12" t="s">
        <v>816</v>
      </c>
      <c r="N287" s="12" t="s">
        <v>817</v>
      </c>
    </row>
    <row r="288" customFormat="false" ht="27.5" hidden="false" customHeight="false" outlineLevel="0" collapsed="false">
      <c r="A288" s="7" t="s">
        <v>1205</v>
      </c>
      <c r="B288" s="8" t="s">
        <v>1206</v>
      </c>
      <c r="C288" s="7" t="s">
        <v>1205</v>
      </c>
      <c r="D288" s="9" t="n">
        <v>9</v>
      </c>
      <c r="E288" s="10" t="s">
        <v>113</v>
      </c>
      <c r="F288" s="10" t="s">
        <v>296</v>
      </c>
      <c r="G288" s="10" t="s">
        <v>296</v>
      </c>
      <c r="H288" s="16" t="n">
        <v>5</v>
      </c>
      <c r="I288" s="17" t="s">
        <v>967</v>
      </c>
      <c r="J288" s="12" t="s">
        <v>1207</v>
      </c>
      <c r="K288" s="12" t="s">
        <v>1000</v>
      </c>
      <c r="L288" s="12" t="s">
        <v>222</v>
      </c>
      <c r="M288" s="12" t="s">
        <v>816</v>
      </c>
      <c r="N288" s="12" t="s">
        <v>306</v>
      </c>
    </row>
    <row r="289" customFormat="false" ht="27.5" hidden="false" customHeight="false" outlineLevel="0" collapsed="false">
      <c r="A289" s="7" t="s">
        <v>1208</v>
      </c>
      <c r="B289" s="8" t="s">
        <v>1209</v>
      </c>
      <c r="C289" s="7" t="s">
        <v>1208</v>
      </c>
      <c r="D289" s="9" t="n">
        <v>9</v>
      </c>
      <c r="E289" s="10" t="s">
        <v>113</v>
      </c>
      <c r="F289" s="10" t="s">
        <v>296</v>
      </c>
      <c r="G289" s="10" t="s">
        <v>296</v>
      </c>
      <c r="H289" s="16" t="n">
        <v>5</v>
      </c>
      <c r="I289" s="17" t="s">
        <v>967</v>
      </c>
      <c r="J289" s="12" t="s">
        <v>1210</v>
      </c>
      <c r="K289" s="12" t="s">
        <v>1000</v>
      </c>
      <c r="L289" s="12" t="s">
        <v>222</v>
      </c>
      <c r="M289" s="12" t="s">
        <v>816</v>
      </c>
      <c r="N289" s="12" t="s">
        <v>817</v>
      </c>
    </row>
    <row r="290" customFormat="false" ht="27.5" hidden="false" customHeight="false" outlineLevel="0" collapsed="false">
      <c r="A290" s="7" t="s">
        <v>1211</v>
      </c>
      <c r="B290" s="8" t="s">
        <v>1212</v>
      </c>
      <c r="C290" s="7" t="s">
        <v>1211</v>
      </c>
      <c r="D290" s="9" t="n">
        <v>22</v>
      </c>
      <c r="E290" s="9" t="s">
        <v>47</v>
      </c>
      <c r="F290" s="10" t="s">
        <v>79</v>
      </c>
      <c r="G290" s="10" t="s">
        <v>79</v>
      </c>
      <c r="H290" s="16" t="n">
        <v>5</v>
      </c>
      <c r="I290" s="17" t="s">
        <v>967</v>
      </c>
      <c r="J290" s="18" t="s">
        <v>1213</v>
      </c>
      <c r="K290" s="13" t="s">
        <v>1214</v>
      </c>
      <c r="L290" s="12" t="s">
        <v>222</v>
      </c>
      <c r="M290" s="12" t="s">
        <v>969</v>
      </c>
      <c r="N290" s="12" t="s">
        <v>452</v>
      </c>
    </row>
    <row r="291" customFormat="false" ht="27.5" hidden="false" customHeight="false" outlineLevel="0" collapsed="false">
      <c r="A291" s="20" t="s">
        <v>1215</v>
      </c>
      <c r="B291" s="15" t="s">
        <v>1216</v>
      </c>
      <c r="C291" s="20" t="s">
        <v>1215</v>
      </c>
      <c r="D291" s="9" t="n">
        <v>13</v>
      </c>
      <c r="E291" s="9" t="s">
        <v>79</v>
      </c>
      <c r="F291" s="10" t="s">
        <v>79</v>
      </c>
      <c r="G291" s="10" t="s">
        <v>79</v>
      </c>
      <c r="H291" s="16" t="n">
        <v>5</v>
      </c>
      <c r="I291" s="17" t="s">
        <v>967</v>
      </c>
      <c r="J291" s="13" t="s">
        <v>1217</v>
      </c>
      <c r="K291" s="13" t="s">
        <v>1218</v>
      </c>
      <c r="L291" s="12" t="s">
        <v>222</v>
      </c>
      <c r="M291" s="12" t="s">
        <v>816</v>
      </c>
      <c r="N291" s="12" t="s">
        <v>306</v>
      </c>
    </row>
    <row r="292" customFormat="false" ht="27.5" hidden="false" customHeight="false" outlineLevel="0" collapsed="false">
      <c r="A292" s="7" t="s">
        <v>1219</v>
      </c>
      <c r="B292" s="8" t="s">
        <v>1220</v>
      </c>
      <c r="C292" s="7" t="s">
        <v>1219</v>
      </c>
      <c r="D292" s="9" t="n">
        <v>22</v>
      </c>
      <c r="E292" s="9" t="s">
        <v>47</v>
      </c>
      <c r="F292" s="10" t="s">
        <v>79</v>
      </c>
      <c r="G292" s="10" t="s">
        <v>79</v>
      </c>
      <c r="H292" s="16" t="n">
        <v>5</v>
      </c>
      <c r="I292" s="17" t="s">
        <v>967</v>
      </c>
      <c r="J292" s="12" t="s">
        <v>1221</v>
      </c>
      <c r="K292" s="12" t="s">
        <v>815</v>
      </c>
      <c r="L292" s="12" t="s">
        <v>222</v>
      </c>
      <c r="M292" s="12" t="s">
        <v>816</v>
      </c>
      <c r="N292" s="12" t="s">
        <v>23</v>
      </c>
    </row>
    <row r="293" customFormat="false" ht="36" hidden="false" customHeight="false" outlineLevel="0" collapsed="false">
      <c r="A293" s="14" t="s">
        <v>1222</v>
      </c>
      <c r="B293" s="15" t="s">
        <v>1223</v>
      </c>
      <c r="C293" s="14" t="s">
        <v>1222</v>
      </c>
      <c r="D293" s="9" t="n">
        <v>22</v>
      </c>
      <c r="E293" s="9" t="s">
        <v>47</v>
      </c>
      <c r="F293" s="10" t="s">
        <v>398</v>
      </c>
      <c r="G293" s="10" t="s">
        <v>639</v>
      </c>
      <c r="H293" s="16" t="n">
        <v>5</v>
      </c>
      <c r="I293" s="17" t="s">
        <v>967</v>
      </c>
      <c r="J293" s="18" t="s">
        <v>1224</v>
      </c>
      <c r="K293" s="12" t="s">
        <v>1225</v>
      </c>
      <c r="L293" s="12" t="s">
        <v>222</v>
      </c>
      <c r="M293" s="12" t="s">
        <v>816</v>
      </c>
      <c r="N293" s="12" t="s">
        <v>817</v>
      </c>
    </row>
    <row r="294" customFormat="false" ht="19" hidden="false" customHeight="false" outlineLevel="0" collapsed="false">
      <c r="A294" s="7" t="s">
        <v>1226</v>
      </c>
      <c r="B294" s="8" t="s">
        <v>1227</v>
      </c>
      <c r="C294" s="7" t="s">
        <v>1226</v>
      </c>
      <c r="D294" s="9" t="n">
        <v>18</v>
      </c>
      <c r="E294" s="10" t="s">
        <v>449</v>
      </c>
      <c r="F294" s="10" t="s">
        <v>600</v>
      </c>
      <c r="G294" s="10" t="s">
        <v>600</v>
      </c>
      <c r="H294" s="16" t="n">
        <v>5</v>
      </c>
      <c r="I294" s="17" t="s">
        <v>967</v>
      </c>
      <c r="J294" s="12" t="s">
        <v>1228</v>
      </c>
      <c r="K294" s="13" t="s">
        <v>1229</v>
      </c>
      <c r="L294" s="12" t="s">
        <v>222</v>
      </c>
      <c r="M294" s="12" t="s">
        <v>969</v>
      </c>
      <c r="N294" s="12" t="s">
        <v>817</v>
      </c>
    </row>
    <row r="295" customFormat="false" ht="36" hidden="false" customHeight="false" outlineLevel="0" collapsed="false">
      <c r="A295" s="20" t="s">
        <v>1230</v>
      </c>
      <c r="B295" s="15" t="s">
        <v>1231</v>
      </c>
      <c r="C295" s="20" t="s">
        <v>1230</v>
      </c>
      <c r="D295" s="9" t="n">
        <v>12</v>
      </c>
      <c r="E295" s="9" t="s">
        <v>185</v>
      </c>
      <c r="F295" s="10" t="s">
        <v>186</v>
      </c>
      <c r="G295" s="10" t="s">
        <v>185</v>
      </c>
      <c r="H295" s="16" t="n">
        <v>5</v>
      </c>
      <c r="I295" s="17" t="s">
        <v>967</v>
      </c>
      <c r="J295" s="13" t="s">
        <v>1232</v>
      </c>
      <c r="K295" s="13" t="s">
        <v>404</v>
      </c>
      <c r="L295" s="12" t="s">
        <v>222</v>
      </c>
      <c r="M295" s="12" t="s">
        <v>816</v>
      </c>
      <c r="N295" s="12" t="s">
        <v>306</v>
      </c>
    </row>
    <row r="296" customFormat="false" ht="27.5" hidden="false" customHeight="false" outlineLevel="0" collapsed="false">
      <c r="A296" s="14" t="s">
        <v>1233</v>
      </c>
      <c r="B296" s="15" t="s">
        <v>1234</v>
      </c>
      <c r="C296" s="14" t="s">
        <v>1233</v>
      </c>
      <c r="D296" s="9" t="n">
        <v>19</v>
      </c>
      <c r="E296" s="10" t="s">
        <v>83</v>
      </c>
      <c r="F296" s="17" t="s">
        <v>84</v>
      </c>
      <c r="G296" s="21" t="s">
        <v>85</v>
      </c>
      <c r="H296" s="16" t="n">
        <v>5</v>
      </c>
      <c r="I296" s="17" t="s">
        <v>967</v>
      </c>
      <c r="J296" s="12" t="s">
        <v>1235</v>
      </c>
      <c r="K296" s="13" t="s">
        <v>1236</v>
      </c>
      <c r="L296" s="12" t="s">
        <v>222</v>
      </c>
      <c r="M296" s="12" t="s">
        <v>816</v>
      </c>
      <c r="N296" s="12" t="s">
        <v>306</v>
      </c>
    </row>
    <row r="297" customFormat="false" ht="27.5" hidden="false" customHeight="false" outlineLevel="0" collapsed="false">
      <c r="A297" s="7" t="s">
        <v>1237</v>
      </c>
      <c r="B297" s="8" t="s">
        <v>1238</v>
      </c>
      <c r="C297" s="7" t="s">
        <v>1237</v>
      </c>
      <c r="D297" s="9" t="n">
        <v>12</v>
      </c>
      <c r="E297" s="10" t="s">
        <v>185</v>
      </c>
      <c r="F297" s="10" t="s">
        <v>186</v>
      </c>
      <c r="G297" s="10" t="s">
        <v>185</v>
      </c>
      <c r="H297" s="16" t="n">
        <v>5</v>
      </c>
      <c r="I297" s="17" t="s">
        <v>967</v>
      </c>
      <c r="J297" s="12" t="s">
        <v>1239</v>
      </c>
      <c r="K297" s="12" t="s">
        <v>1240</v>
      </c>
      <c r="L297" s="12" t="s">
        <v>222</v>
      </c>
      <c r="M297" s="12" t="s">
        <v>816</v>
      </c>
      <c r="N297" s="12" t="s">
        <v>306</v>
      </c>
    </row>
    <row r="298" customFormat="false" ht="78.5" hidden="false" customHeight="false" outlineLevel="0" collapsed="false">
      <c r="A298" s="20" t="s">
        <v>1241</v>
      </c>
      <c r="B298" s="15" t="s">
        <v>1242</v>
      </c>
      <c r="C298" s="20" t="s">
        <v>1241</v>
      </c>
      <c r="D298" s="9" t="n">
        <v>22</v>
      </c>
      <c r="E298" s="9" t="s">
        <v>47</v>
      </c>
      <c r="F298" s="10" t="s">
        <v>657</v>
      </c>
      <c r="G298" s="10" t="s">
        <v>657</v>
      </c>
      <c r="H298" s="16" t="n">
        <v>5</v>
      </c>
      <c r="I298" s="17" t="s">
        <v>967</v>
      </c>
      <c r="J298" s="13" t="s">
        <v>1243</v>
      </c>
      <c r="K298" s="12" t="s">
        <v>1244</v>
      </c>
      <c r="L298" s="12" t="s">
        <v>222</v>
      </c>
      <c r="M298" s="12" t="s">
        <v>816</v>
      </c>
      <c r="N298" s="12" t="s">
        <v>817</v>
      </c>
    </row>
    <row r="299" customFormat="false" ht="36" hidden="false" customHeight="false" outlineLevel="0" collapsed="false">
      <c r="A299" s="20" t="s">
        <v>1245</v>
      </c>
      <c r="B299" s="15" t="s">
        <v>664</v>
      </c>
      <c r="C299" s="20" t="s">
        <v>1245</v>
      </c>
      <c r="D299" s="9" t="n">
        <v>22</v>
      </c>
      <c r="E299" s="9" t="s">
        <v>47</v>
      </c>
      <c r="F299" s="10" t="s">
        <v>657</v>
      </c>
      <c r="G299" s="10" t="s">
        <v>657</v>
      </c>
      <c r="H299" s="16" t="n">
        <v>5</v>
      </c>
      <c r="I299" s="17" t="s">
        <v>967</v>
      </c>
      <c r="J299" s="13" t="s">
        <v>1246</v>
      </c>
      <c r="K299" s="12" t="s">
        <v>1247</v>
      </c>
      <c r="L299" s="12" t="s">
        <v>222</v>
      </c>
      <c r="M299" s="12" t="s">
        <v>969</v>
      </c>
      <c r="N299" s="12" t="s">
        <v>452</v>
      </c>
    </row>
    <row r="300" customFormat="false" ht="36" hidden="false" customHeight="false" outlineLevel="0" collapsed="false">
      <c r="A300" s="7" t="s">
        <v>1248</v>
      </c>
      <c r="B300" s="8" t="s">
        <v>1249</v>
      </c>
      <c r="C300" s="7" t="s">
        <v>1248</v>
      </c>
      <c r="D300" s="9" t="n">
        <v>12</v>
      </c>
      <c r="E300" s="10" t="s">
        <v>185</v>
      </c>
      <c r="F300" s="10" t="s">
        <v>186</v>
      </c>
      <c r="G300" s="10" t="s">
        <v>186</v>
      </c>
      <c r="H300" s="16" t="n">
        <v>5</v>
      </c>
      <c r="I300" s="17" t="s">
        <v>967</v>
      </c>
      <c r="J300" s="12" t="s">
        <v>1250</v>
      </c>
      <c r="K300" s="13" t="s">
        <v>471</v>
      </c>
      <c r="L300" s="12" t="s">
        <v>222</v>
      </c>
      <c r="M300" s="12" t="s">
        <v>816</v>
      </c>
      <c r="N300" s="12" t="s">
        <v>306</v>
      </c>
    </row>
    <row r="301" customFormat="false" ht="36" hidden="false" customHeight="false" outlineLevel="0" collapsed="false">
      <c r="A301" s="20" t="s">
        <v>1251</v>
      </c>
      <c r="B301" s="15" t="s">
        <v>1252</v>
      </c>
      <c r="C301" s="20" t="s">
        <v>1251</v>
      </c>
      <c r="D301" s="9" t="n">
        <v>21</v>
      </c>
      <c r="E301" s="10" t="s">
        <v>117</v>
      </c>
      <c r="F301" s="10" t="s">
        <v>70</v>
      </c>
      <c r="G301" s="10" t="s">
        <v>1253</v>
      </c>
      <c r="H301" s="16" t="n">
        <v>5</v>
      </c>
      <c r="I301" s="17" t="s">
        <v>967</v>
      </c>
      <c r="J301" s="13" t="s">
        <v>1254</v>
      </c>
      <c r="K301" s="13" t="s">
        <v>286</v>
      </c>
      <c r="L301" s="12" t="s">
        <v>222</v>
      </c>
      <c r="M301" s="12" t="s">
        <v>816</v>
      </c>
      <c r="N301" s="12" t="s">
        <v>306</v>
      </c>
    </row>
    <row r="302" customFormat="false" ht="36" hidden="false" customHeight="false" outlineLevel="0" collapsed="false">
      <c r="A302" s="20" t="s">
        <v>1255</v>
      </c>
      <c r="B302" s="15" t="s">
        <v>1256</v>
      </c>
      <c r="C302" s="20" t="s">
        <v>1255</v>
      </c>
      <c r="D302" s="9" t="n">
        <v>21</v>
      </c>
      <c r="E302" s="10" t="s">
        <v>117</v>
      </c>
      <c r="F302" s="10" t="s">
        <v>70</v>
      </c>
      <c r="G302" s="10" t="s">
        <v>1253</v>
      </c>
      <c r="H302" s="16" t="n">
        <v>5</v>
      </c>
      <c r="I302" s="17" t="s">
        <v>967</v>
      </c>
      <c r="J302" s="13" t="s">
        <v>1257</v>
      </c>
      <c r="K302" s="13" t="s">
        <v>286</v>
      </c>
      <c r="L302" s="12" t="s">
        <v>222</v>
      </c>
      <c r="M302" s="12" t="s">
        <v>816</v>
      </c>
      <c r="N302" s="12" t="s">
        <v>306</v>
      </c>
    </row>
    <row r="303" customFormat="false" ht="70" hidden="false" customHeight="false" outlineLevel="0" collapsed="false">
      <c r="A303" s="24" t="s">
        <v>1258</v>
      </c>
      <c r="B303" s="15" t="s">
        <v>1259</v>
      </c>
      <c r="C303" s="24" t="s">
        <v>1258</v>
      </c>
      <c r="D303" s="9" t="n">
        <v>11</v>
      </c>
      <c r="E303" s="10" t="s">
        <v>69</v>
      </c>
      <c r="F303" s="10" t="s">
        <v>455</v>
      </c>
      <c r="G303" s="10" t="s">
        <v>455</v>
      </c>
      <c r="H303" s="16" t="n">
        <v>5</v>
      </c>
      <c r="I303" s="17" t="s">
        <v>967</v>
      </c>
      <c r="J303" s="18" t="s">
        <v>1260</v>
      </c>
      <c r="K303" s="18" t="s">
        <v>1261</v>
      </c>
      <c r="L303" s="12" t="s">
        <v>222</v>
      </c>
      <c r="M303" s="12" t="s">
        <v>816</v>
      </c>
      <c r="N303" s="12" t="s">
        <v>817</v>
      </c>
    </row>
    <row r="304" customFormat="false" ht="19" hidden="false" customHeight="false" outlineLevel="0" collapsed="false">
      <c r="A304" s="7" t="s">
        <v>1262</v>
      </c>
      <c r="B304" s="8" t="s">
        <v>1263</v>
      </c>
      <c r="C304" s="7" t="s">
        <v>1262</v>
      </c>
      <c r="D304" s="9" t="n">
        <v>11</v>
      </c>
      <c r="E304" s="10" t="s">
        <v>69</v>
      </c>
      <c r="F304" s="10" t="s">
        <v>455</v>
      </c>
      <c r="G304" s="10" t="s">
        <v>455</v>
      </c>
      <c r="H304" s="16" t="n">
        <v>5</v>
      </c>
      <c r="I304" s="17" t="s">
        <v>967</v>
      </c>
      <c r="J304" s="12" t="s">
        <v>1264</v>
      </c>
      <c r="K304" s="12" t="s">
        <v>1265</v>
      </c>
      <c r="L304" s="12" t="s">
        <v>222</v>
      </c>
      <c r="M304" s="12" t="s">
        <v>816</v>
      </c>
      <c r="N304" s="12" t="s">
        <v>817</v>
      </c>
    </row>
    <row r="305" customFormat="false" ht="27.5" hidden="false" customHeight="false" outlineLevel="0" collapsed="false">
      <c r="A305" s="7" t="s">
        <v>1266</v>
      </c>
      <c r="B305" s="8" t="s">
        <v>1267</v>
      </c>
      <c r="C305" s="7" t="s">
        <v>1266</v>
      </c>
      <c r="D305" s="9" t="n">
        <v>8</v>
      </c>
      <c r="E305" s="10" t="s">
        <v>89</v>
      </c>
      <c r="F305" s="10" t="s">
        <v>90</v>
      </c>
      <c r="G305" s="10" t="s">
        <v>90</v>
      </c>
      <c r="H305" s="16" t="n">
        <v>5</v>
      </c>
      <c r="I305" s="17" t="s">
        <v>967</v>
      </c>
      <c r="J305" s="12" t="s">
        <v>1268</v>
      </c>
      <c r="K305" s="12" t="s">
        <v>1269</v>
      </c>
      <c r="L305" s="12" t="s">
        <v>222</v>
      </c>
      <c r="M305" s="12" t="s">
        <v>816</v>
      </c>
      <c r="N305" s="12" t="s">
        <v>452</v>
      </c>
    </row>
    <row r="306" customFormat="false" ht="27.5" hidden="false" customHeight="false" outlineLevel="0" collapsed="false">
      <c r="A306" s="7" t="s">
        <v>1270</v>
      </c>
      <c r="B306" s="8" t="s">
        <v>1271</v>
      </c>
      <c r="C306" s="7" t="s">
        <v>1270</v>
      </c>
      <c r="D306" s="9" t="n">
        <v>11</v>
      </c>
      <c r="E306" s="10" t="s">
        <v>69</v>
      </c>
      <c r="F306" s="10" t="s">
        <v>747</v>
      </c>
      <c r="G306" s="10" t="s">
        <v>1272</v>
      </c>
      <c r="H306" s="16" t="n">
        <v>5</v>
      </c>
      <c r="I306" s="17" t="s">
        <v>967</v>
      </c>
      <c r="J306" s="12" t="s">
        <v>1273</v>
      </c>
      <c r="K306" s="12" t="s">
        <v>1172</v>
      </c>
      <c r="L306" s="12" t="s">
        <v>222</v>
      </c>
      <c r="M306" s="12" t="s">
        <v>816</v>
      </c>
      <c r="N306" s="12" t="s">
        <v>817</v>
      </c>
    </row>
    <row r="307" customFormat="false" ht="27.5" hidden="false" customHeight="false" outlineLevel="0" collapsed="false">
      <c r="A307" s="7" t="s">
        <v>1274</v>
      </c>
      <c r="B307" s="8" t="s">
        <v>1275</v>
      </c>
      <c r="C307" s="7" t="s">
        <v>1274</v>
      </c>
      <c r="D307" s="9" t="n">
        <v>11</v>
      </c>
      <c r="E307" s="10" t="s">
        <v>69</v>
      </c>
      <c r="F307" s="10" t="s">
        <v>747</v>
      </c>
      <c r="G307" s="10" t="s">
        <v>1272</v>
      </c>
      <c r="H307" s="16" t="n">
        <v>5</v>
      </c>
      <c r="I307" s="17" t="s">
        <v>967</v>
      </c>
      <c r="J307" s="12" t="s">
        <v>1276</v>
      </c>
      <c r="K307" s="12" t="s">
        <v>1277</v>
      </c>
      <c r="L307" s="12" t="s">
        <v>222</v>
      </c>
      <c r="M307" s="12" t="s">
        <v>816</v>
      </c>
      <c r="N307" s="12" t="s">
        <v>817</v>
      </c>
    </row>
    <row r="308" customFormat="false" ht="36" hidden="false" customHeight="false" outlineLevel="0" collapsed="false">
      <c r="A308" s="20" t="s">
        <v>1278</v>
      </c>
      <c r="B308" s="15" t="s">
        <v>1279</v>
      </c>
      <c r="C308" s="20" t="s">
        <v>1278</v>
      </c>
      <c r="D308" s="9" t="n">
        <v>11</v>
      </c>
      <c r="E308" s="10" t="s">
        <v>69</v>
      </c>
      <c r="F308" s="10" t="s">
        <v>747</v>
      </c>
      <c r="G308" s="10" t="s">
        <v>1272</v>
      </c>
      <c r="H308" s="16" t="n">
        <v>5</v>
      </c>
      <c r="I308" s="17" t="s">
        <v>967</v>
      </c>
      <c r="J308" s="13" t="s">
        <v>1280</v>
      </c>
      <c r="K308" s="13" t="s">
        <v>1281</v>
      </c>
      <c r="L308" s="12" t="s">
        <v>222</v>
      </c>
      <c r="M308" s="12" t="s">
        <v>816</v>
      </c>
      <c r="N308" s="12" t="s">
        <v>817</v>
      </c>
    </row>
    <row r="309" customFormat="false" ht="27.5" hidden="false" customHeight="false" outlineLevel="0" collapsed="false">
      <c r="A309" s="7" t="s">
        <v>1282</v>
      </c>
      <c r="B309" s="8" t="s">
        <v>1283</v>
      </c>
      <c r="C309" s="7" t="s">
        <v>1282</v>
      </c>
      <c r="D309" s="9" t="n">
        <v>7</v>
      </c>
      <c r="E309" s="10" t="s">
        <v>273</v>
      </c>
      <c r="F309" s="10" t="s">
        <v>98</v>
      </c>
      <c r="G309" s="10" t="s">
        <v>118</v>
      </c>
      <c r="H309" s="16" t="n">
        <v>5</v>
      </c>
      <c r="I309" s="17" t="s">
        <v>967</v>
      </c>
      <c r="J309" s="12" t="s">
        <v>1284</v>
      </c>
      <c r="K309" s="12" t="s">
        <v>286</v>
      </c>
      <c r="L309" s="12" t="s">
        <v>222</v>
      </c>
      <c r="M309" s="12" t="s">
        <v>816</v>
      </c>
      <c r="N309" s="12" t="s">
        <v>306</v>
      </c>
    </row>
    <row r="310" customFormat="false" ht="27.5" hidden="false" customHeight="false" outlineLevel="0" collapsed="false">
      <c r="A310" s="7" t="s">
        <v>1285</v>
      </c>
      <c r="B310" s="8" t="s">
        <v>1286</v>
      </c>
      <c r="C310" s="7" t="s">
        <v>1285</v>
      </c>
      <c r="D310" s="9" t="n">
        <v>12</v>
      </c>
      <c r="E310" s="10" t="s">
        <v>185</v>
      </c>
      <c r="F310" s="10" t="s">
        <v>1287</v>
      </c>
      <c r="G310" s="10" t="s">
        <v>1287</v>
      </c>
      <c r="H310" s="16" t="n">
        <v>5</v>
      </c>
      <c r="I310" s="17" t="s">
        <v>967</v>
      </c>
      <c r="J310" s="12" t="s">
        <v>1288</v>
      </c>
      <c r="K310" s="13" t="s">
        <v>471</v>
      </c>
      <c r="L310" s="12" t="s">
        <v>222</v>
      </c>
      <c r="M310" s="12" t="s">
        <v>816</v>
      </c>
      <c r="N310" s="12" t="s">
        <v>306</v>
      </c>
    </row>
    <row r="311" customFormat="false" ht="36" hidden="false" customHeight="false" outlineLevel="0" collapsed="false">
      <c r="A311" s="20" t="s">
        <v>1289</v>
      </c>
      <c r="B311" s="15" t="s">
        <v>1290</v>
      </c>
      <c r="C311" s="20" t="s">
        <v>1289</v>
      </c>
      <c r="D311" s="9" t="n">
        <v>12</v>
      </c>
      <c r="E311" s="9" t="s">
        <v>185</v>
      </c>
      <c r="F311" s="10" t="s">
        <v>1287</v>
      </c>
      <c r="G311" s="10" t="s">
        <v>1287</v>
      </c>
      <c r="H311" s="16" t="n">
        <v>5</v>
      </c>
      <c r="I311" s="17" t="s">
        <v>967</v>
      </c>
      <c r="J311" s="13" t="s">
        <v>1291</v>
      </c>
      <c r="K311" s="13" t="s">
        <v>1292</v>
      </c>
      <c r="L311" s="12" t="s">
        <v>222</v>
      </c>
      <c r="M311" s="12" t="s">
        <v>816</v>
      </c>
      <c r="N311" s="12" t="s">
        <v>306</v>
      </c>
    </row>
    <row r="312" customFormat="false" ht="36" hidden="false" customHeight="false" outlineLevel="0" collapsed="false">
      <c r="A312" s="7" t="s">
        <v>1293</v>
      </c>
      <c r="B312" s="8" t="s">
        <v>1294</v>
      </c>
      <c r="C312" s="7" t="s">
        <v>1293</v>
      </c>
      <c r="D312" s="9" t="n">
        <v>12</v>
      </c>
      <c r="E312" s="10" t="s">
        <v>185</v>
      </c>
      <c r="F312" s="10" t="s">
        <v>1287</v>
      </c>
      <c r="G312" s="10" t="s">
        <v>1287</v>
      </c>
      <c r="H312" s="16" t="n">
        <v>5</v>
      </c>
      <c r="I312" s="17" t="s">
        <v>967</v>
      </c>
      <c r="J312" s="12" t="s">
        <v>1295</v>
      </c>
      <c r="K312" s="12" t="s">
        <v>471</v>
      </c>
      <c r="L312" s="12" t="s">
        <v>222</v>
      </c>
      <c r="M312" s="12" t="s">
        <v>816</v>
      </c>
      <c r="N312" s="12" t="s">
        <v>306</v>
      </c>
    </row>
    <row r="313" customFormat="false" ht="27.5" hidden="false" customHeight="false" outlineLevel="0" collapsed="false">
      <c r="A313" s="20" t="s">
        <v>1296</v>
      </c>
      <c r="B313" s="15" t="s">
        <v>1297</v>
      </c>
      <c r="C313" s="20" t="s">
        <v>1296</v>
      </c>
      <c r="D313" s="9" t="n">
        <v>5</v>
      </c>
      <c r="E313" s="9" t="s">
        <v>63</v>
      </c>
      <c r="F313" s="10" t="s">
        <v>94</v>
      </c>
      <c r="G313" s="10" t="s">
        <v>94</v>
      </c>
      <c r="H313" s="16" t="n">
        <v>5</v>
      </c>
      <c r="I313" s="17" t="s">
        <v>967</v>
      </c>
      <c r="J313" s="13" t="s">
        <v>1298</v>
      </c>
      <c r="K313" s="13" t="s">
        <v>1299</v>
      </c>
      <c r="L313" s="12" t="s">
        <v>222</v>
      </c>
      <c r="M313" s="12" t="s">
        <v>816</v>
      </c>
      <c r="N313" s="12" t="s">
        <v>306</v>
      </c>
    </row>
    <row r="314" customFormat="false" ht="27.5" hidden="false" customHeight="false" outlineLevel="0" collapsed="false">
      <c r="A314" s="20" t="s">
        <v>1300</v>
      </c>
      <c r="B314" s="15" t="s">
        <v>1301</v>
      </c>
      <c r="C314" s="20" t="s">
        <v>1300</v>
      </c>
      <c r="D314" s="9" t="n">
        <v>5</v>
      </c>
      <c r="E314" s="9" t="s">
        <v>63</v>
      </c>
      <c r="F314" s="10" t="s">
        <v>94</v>
      </c>
      <c r="G314" s="10" t="s">
        <v>94</v>
      </c>
      <c r="H314" s="16" t="n">
        <v>5</v>
      </c>
      <c r="I314" s="17" t="s">
        <v>967</v>
      </c>
      <c r="J314" s="13" t="s">
        <v>1302</v>
      </c>
      <c r="K314" s="13" t="s">
        <v>1299</v>
      </c>
      <c r="L314" s="12" t="s">
        <v>222</v>
      </c>
      <c r="M314" s="12" t="s">
        <v>816</v>
      </c>
      <c r="N314" s="12" t="s">
        <v>306</v>
      </c>
    </row>
    <row r="315" customFormat="false" ht="19" hidden="false" customHeight="false" outlineLevel="0" collapsed="false">
      <c r="A315" s="7" t="s">
        <v>1303</v>
      </c>
      <c r="B315" s="8" t="s">
        <v>1304</v>
      </c>
      <c r="C315" s="7" t="s">
        <v>1303</v>
      </c>
      <c r="D315" s="9" t="n">
        <v>10</v>
      </c>
      <c r="E315" s="10" t="s">
        <v>142</v>
      </c>
      <c r="F315" s="10" t="s">
        <v>669</v>
      </c>
      <c r="G315" s="10" t="s">
        <v>689</v>
      </c>
      <c r="H315" s="16" t="n">
        <v>5</v>
      </c>
      <c r="I315" s="17" t="s">
        <v>967</v>
      </c>
      <c r="J315" s="12" t="s">
        <v>1305</v>
      </c>
      <c r="K315" s="12" t="s">
        <v>1306</v>
      </c>
      <c r="L315" s="12" t="s">
        <v>222</v>
      </c>
      <c r="M315" s="12" t="s">
        <v>816</v>
      </c>
      <c r="N315" s="12" t="s">
        <v>306</v>
      </c>
    </row>
    <row r="316" customFormat="false" ht="36" hidden="false" customHeight="false" outlineLevel="0" collapsed="false">
      <c r="A316" s="14" t="s">
        <v>1307</v>
      </c>
      <c r="B316" s="15" t="s">
        <v>1308</v>
      </c>
      <c r="C316" s="14" t="s">
        <v>1307</v>
      </c>
      <c r="D316" s="9" t="n">
        <v>18</v>
      </c>
      <c r="E316" s="10" t="s">
        <v>449</v>
      </c>
      <c r="F316" s="10" t="s">
        <v>600</v>
      </c>
      <c r="G316" s="10" t="s">
        <v>1309</v>
      </c>
      <c r="H316" s="16" t="n">
        <v>5</v>
      </c>
      <c r="I316" s="17" t="s">
        <v>967</v>
      </c>
      <c r="J316" s="18" t="s">
        <v>1310</v>
      </c>
      <c r="K316" s="13" t="s">
        <v>1229</v>
      </c>
      <c r="L316" s="12" t="s">
        <v>222</v>
      </c>
      <c r="M316" s="12" t="s">
        <v>969</v>
      </c>
      <c r="N316" s="12" t="s">
        <v>817</v>
      </c>
    </row>
    <row r="317" customFormat="false" ht="70" hidden="false" customHeight="false" outlineLevel="0" collapsed="false">
      <c r="A317" s="20" t="s">
        <v>1311</v>
      </c>
      <c r="B317" s="15" t="s">
        <v>1312</v>
      </c>
      <c r="C317" s="20" t="s">
        <v>1311</v>
      </c>
      <c r="D317" s="9" t="n">
        <v>22</v>
      </c>
      <c r="E317" s="9" t="s">
        <v>47</v>
      </c>
      <c r="F317" s="10" t="s">
        <v>693</v>
      </c>
      <c r="G317" s="10" t="s">
        <v>693</v>
      </c>
      <c r="H317" s="16" t="n">
        <v>5</v>
      </c>
      <c r="I317" s="17" t="s">
        <v>967</v>
      </c>
      <c r="J317" s="13" t="s">
        <v>1313</v>
      </c>
      <c r="K317" s="12" t="s">
        <v>1314</v>
      </c>
      <c r="L317" s="12" t="s">
        <v>222</v>
      </c>
      <c r="M317" s="12" t="s">
        <v>816</v>
      </c>
      <c r="N317" s="12" t="s">
        <v>817</v>
      </c>
    </row>
    <row r="318" customFormat="false" ht="36" hidden="false" customHeight="false" outlineLevel="0" collapsed="false">
      <c r="A318" s="7" t="s">
        <v>1315</v>
      </c>
      <c r="B318" s="8" t="s">
        <v>1316</v>
      </c>
      <c r="C318" s="7" t="s">
        <v>1315</v>
      </c>
      <c r="D318" s="9" t="n">
        <v>22</v>
      </c>
      <c r="E318" s="9" t="s">
        <v>47</v>
      </c>
      <c r="F318" s="10" t="s">
        <v>203</v>
      </c>
      <c r="G318" s="10" t="s">
        <v>1317</v>
      </c>
      <c r="H318" s="16" t="n">
        <v>5</v>
      </c>
      <c r="I318" s="17" t="s">
        <v>967</v>
      </c>
      <c r="J318" s="12" t="s">
        <v>1318</v>
      </c>
      <c r="K318" s="13" t="s">
        <v>356</v>
      </c>
      <c r="L318" s="12" t="s">
        <v>222</v>
      </c>
      <c r="M318" s="12" t="s">
        <v>969</v>
      </c>
      <c r="N318" s="12" t="s">
        <v>306</v>
      </c>
    </row>
    <row r="319" customFormat="false" ht="27.5" hidden="false" customHeight="false" outlineLevel="0" collapsed="false">
      <c r="A319" s="14" t="s">
        <v>1319</v>
      </c>
      <c r="B319" s="8" t="s">
        <v>1320</v>
      </c>
      <c r="C319" s="14" t="s">
        <v>1319</v>
      </c>
      <c r="D319" s="9" t="n">
        <v>18</v>
      </c>
      <c r="E319" s="10" t="s">
        <v>449</v>
      </c>
      <c r="F319" s="10" t="s">
        <v>203</v>
      </c>
      <c r="G319" s="10" t="s">
        <v>1321</v>
      </c>
      <c r="H319" s="8" t="n">
        <v>5</v>
      </c>
      <c r="I319" s="17" t="s">
        <v>967</v>
      </c>
      <c r="J319" s="12" t="s">
        <v>1322</v>
      </c>
      <c r="K319" s="13" t="s">
        <v>1323</v>
      </c>
      <c r="L319" s="12" t="s">
        <v>222</v>
      </c>
      <c r="M319" s="12" t="s">
        <v>969</v>
      </c>
      <c r="N319" s="12" t="s">
        <v>817</v>
      </c>
    </row>
    <row r="320" customFormat="false" ht="44.5" hidden="false" customHeight="false" outlineLevel="0" collapsed="false">
      <c r="A320" s="14" t="s">
        <v>1324</v>
      </c>
      <c r="B320" s="15" t="s">
        <v>1325</v>
      </c>
      <c r="C320" s="14" t="s">
        <v>1324</v>
      </c>
      <c r="D320" s="9" t="n">
        <v>11</v>
      </c>
      <c r="E320" s="10" t="s">
        <v>69</v>
      </c>
      <c r="F320" s="10" t="s">
        <v>194</v>
      </c>
      <c r="G320" s="10" t="s">
        <v>194</v>
      </c>
      <c r="H320" s="16" t="n">
        <v>5</v>
      </c>
      <c r="I320" s="17" t="s">
        <v>967</v>
      </c>
      <c r="J320" s="18" t="s">
        <v>1326</v>
      </c>
      <c r="K320" s="18" t="s">
        <v>1261</v>
      </c>
      <c r="L320" s="12" t="s">
        <v>222</v>
      </c>
      <c r="M320" s="12" t="s">
        <v>816</v>
      </c>
      <c r="N320" s="12" t="s">
        <v>817</v>
      </c>
    </row>
    <row r="321" customFormat="false" ht="27.5" hidden="false" customHeight="false" outlineLevel="0" collapsed="false">
      <c r="A321" s="7" t="s">
        <v>1327</v>
      </c>
      <c r="B321" s="8" t="s">
        <v>1328</v>
      </c>
      <c r="C321" s="7" t="s">
        <v>1327</v>
      </c>
      <c r="D321" s="9" t="n">
        <v>11</v>
      </c>
      <c r="E321" s="10" t="s">
        <v>69</v>
      </c>
      <c r="F321" s="10" t="s">
        <v>194</v>
      </c>
      <c r="G321" s="10" t="s">
        <v>194</v>
      </c>
      <c r="H321" s="16" t="n">
        <v>5</v>
      </c>
      <c r="I321" s="17" t="s">
        <v>967</v>
      </c>
      <c r="J321" s="12" t="s">
        <v>1329</v>
      </c>
      <c r="K321" s="12" t="s">
        <v>1330</v>
      </c>
      <c r="L321" s="12" t="s">
        <v>222</v>
      </c>
      <c r="M321" s="12" t="s">
        <v>816</v>
      </c>
      <c r="N321" s="12" t="s">
        <v>817</v>
      </c>
    </row>
    <row r="322" customFormat="false" ht="27.5" hidden="false" customHeight="false" outlineLevel="0" collapsed="false">
      <c r="A322" s="7" t="s">
        <v>1331</v>
      </c>
      <c r="B322" s="8" t="s">
        <v>1332</v>
      </c>
      <c r="C322" s="7" t="s">
        <v>1331</v>
      </c>
      <c r="D322" s="9" t="n">
        <v>1</v>
      </c>
      <c r="E322" s="10" t="s">
        <v>203</v>
      </c>
      <c r="F322" s="10" t="s">
        <v>699</v>
      </c>
      <c r="G322" s="10" t="s">
        <v>699</v>
      </c>
      <c r="H322" s="16" t="n">
        <v>5</v>
      </c>
      <c r="I322" s="17" t="s">
        <v>967</v>
      </c>
      <c r="J322" s="12" t="s">
        <v>1333</v>
      </c>
      <c r="K322" s="12" t="s">
        <v>1334</v>
      </c>
      <c r="L322" s="12" t="s">
        <v>222</v>
      </c>
      <c r="M322" s="12" t="s">
        <v>816</v>
      </c>
      <c r="N322" s="12" t="s">
        <v>817</v>
      </c>
    </row>
    <row r="323" customFormat="false" ht="53" hidden="false" customHeight="false" outlineLevel="0" collapsed="false">
      <c r="A323" s="14" t="s">
        <v>1335</v>
      </c>
      <c r="B323" s="15" t="s">
        <v>1336</v>
      </c>
      <c r="C323" s="14" t="s">
        <v>1335</v>
      </c>
      <c r="D323" s="9" t="n">
        <v>11</v>
      </c>
      <c r="E323" s="10" t="s">
        <v>69</v>
      </c>
      <c r="F323" s="10" t="s">
        <v>98</v>
      </c>
      <c r="G323" s="10" t="s">
        <v>99</v>
      </c>
      <c r="H323" s="16" t="n">
        <v>5</v>
      </c>
      <c r="I323" s="17" t="s">
        <v>967</v>
      </c>
      <c r="J323" s="18" t="s">
        <v>1337</v>
      </c>
      <c r="K323" s="18" t="s">
        <v>1261</v>
      </c>
      <c r="L323" s="12" t="s">
        <v>222</v>
      </c>
      <c r="M323" s="12" t="s">
        <v>816</v>
      </c>
      <c r="N323" s="12" t="s">
        <v>817</v>
      </c>
    </row>
    <row r="324" customFormat="false" ht="36" hidden="false" customHeight="false" outlineLevel="0" collapsed="false">
      <c r="A324" s="7" t="s">
        <v>1338</v>
      </c>
      <c r="B324" s="8" t="s">
        <v>1339</v>
      </c>
      <c r="C324" s="7" t="s">
        <v>1338</v>
      </c>
      <c r="D324" s="9" t="n">
        <v>5</v>
      </c>
      <c r="E324" s="10" t="s">
        <v>63</v>
      </c>
      <c r="F324" s="10" t="s">
        <v>706</v>
      </c>
      <c r="G324" s="10" t="s">
        <v>706</v>
      </c>
      <c r="H324" s="16" t="n">
        <v>5</v>
      </c>
      <c r="I324" s="17" t="s">
        <v>967</v>
      </c>
      <c r="J324" s="12" t="s">
        <v>1184</v>
      </c>
      <c r="K324" s="12" t="s">
        <v>815</v>
      </c>
      <c r="L324" s="12" t="s">
        <v>222</v>
      </c>
      <c r="M324" s="12" t="s">
        <v>816</v>
      </c>
      <c r="N324" s="12" t="s">
        <v>817</v>
      </c>
    </row>
    <row r="325" customFormat="false" ht="36" hidden="false" customHeight="false" outlineLevel="0" collapsed="false">
      <c r="A325" s="14" t="s">
        <v>1340</v>
      </c>
      <c r="B325" s="15" t="s">
        <v>1341</v>
      </c>
      <c r="C325" s="14" t="s">
        <v>1340</v>
      </c>
      <c r="D325" s="9" t="n">
        <v>24</v>
      </c>
      <c r="E325" s="9" t="s">
        <v>1342</v>
      </c>
      <c r="F325" s="10" t="s">
        <v>1343</v>
      </c>
      <c r="G325" s="10" t="s">
        <v>1344</v>
      </c>
      <c r="H325" s="16" t="n">
        <v>5</v>
      </c>
      <c r="I325" s="17" t="s">
        <v>967</v>
      </c>
      <c r="J325" s="18" t="s">
        <v>1345</v>
      </c>
      <c r="K325" s="18" t="s">
        <v>1346</v>
      </c>
      <c r="L325" s="12" t="s">
        <v>222</v>
      </c>
      <c r="M325" s="12" t="s">
        <v>816</v>
      </c>
      <c r="N325" s="12" t="s">
        <v>306</v>
      </c>
    </row>
    <row r="326" customFormat="false" ht="36" hidden="false" customHeight="false" outlineLevel="0" collapsed="false">
      <c r="A326" s="20" t="s">
        <v>1347</v>
      </c>
      <c r="B326" s="15" t="s">
        <v>1348</v>
      </c>
      <c r="C326" s="20" t="s">
        <v>1347</v>
      </c>
      <c r="D326" s="9" t="n">
        <v>4</v>
      </c>
      <c r="E326" s="9" t="s">
        <v>15</v>
      </c>
      <c r="F326" s="10" t="s">
        <v>335</v>
      </c>
      <c r="G326" s="10" t="s">
        <v>335</v>
      </c>
      <c r="H326" s="16" t="n">
        <v>5</v>
      </c>
      <c r="I326" s="17" t="s">
        <v>967</v>
      </c>
      <c r="J326" s="18" t="s">
        <v>1349</v>
      </c>
      <c r="K326" s="13" t="s">
        <v>1350</v>
      </c>
      <c r="L326" s="12" t="s">
        <v>222</v>
      </c>
      <c r="M326" s="12" t="s">
        <v>816</v>
      </c>
      <c r="N326" s="12" t="s">
        <v>23</v>
      </c>
    </row>
    <row r="327" customFormat="false" ht="27.5" hidden="false" customHeight="false" outlineLevel="0" collapsed="false">
      <c r="A327" s="7" t="s">
        <v>1351</v>
      </c>
      <c r="B327" s="8" t="s">
        <v>1352</v>
      </c>
      <c r="C327" s="7" t="s">
        <v>1351</v>
      </c>
      <c r="D327" s="9" t="n">
        <v>1</v>
      </c>
      <c r="E327" s="10" t="s">
        <v>203</v>
      </c>
      <c r="F327" s="10" t="s">
        <v>98</v>
      </c>
      <c r="G327" s="10" t="s">
        <v>98</v>
      </c>
      <c r="H327" s="16" t="n">
        <v>5</v>
      </c>
      <c r="I327" s="17" t="s">
        <v>967</v>
      </c>
      <c r="J327" s="12" t="s">
        <v>1353</v>
      </c>
      <c r="K327" s="13" t="s">
        <v>1354</v>
      </c>
      <c r="L327" s="12" t="s">
        <v>222</v>
      </c>
      <c r="M327" s="12" t="s">
        <v>816</v>
      </c>
      <c r="N327" s="12" t="s">
        <v>817</v>
      </c>
    </row>
    <row r="328" customFormat="false" ht="36" hidden="false" customHeight="false" outlineLevel="0" collapsed="false">
      <c r="A328" s="20" t="s">
        <v>1355</v>
      </c>
      <c r="B328" s="15" t="s">
        <v>1356</v>
      </c>
      <c r="C328" s="20" t="s">
        <v>1355</v>
      </c>
      <c r="D328" s="9" t="n">
        <v>1</v>
      </c>
      <c r="E328" s="9" t="s">
        <v>203</v>
      </c>
      <c r="F328" s="10" t="s">
        <v>98</v>
      </c>
      <c r="G328" s="10" t="s">
        <v>98</v>
      </c>
      <c r="H328" s="16" t="n">
        <v>5</v>
      </c>
      <c r="I328" s="17" t="s">
        <v>967</v>
      </c>
      <c r="J328" s="13" t="s">
        <v>1357</v>
      </c>
      <c r="K328" s="13" t="s">
        <v>1116</v>
      </c>
      <c r="L328" s="12" t="s">
        <v>222</v>
      </c>
      <c r="M328" s="12" t="s">
        <v>816</v>
      </c>
      <c r="N328" s="12" t="s">
        <v>817</v>
      </c>
    </row>
    <row r="329" customFormat="false" ht="36" hidden="false" customHeight="false" outlineLevel="0" collapsed="false">
      <c r="A329" s="14" t="s">
        <v>1358</v>
      </c>
      <c r="B329" s="15" t="s">
        <v>1359</v>
      </c>
      <c r="C329" s="14" t="s">
        <v>1358</v>
      </c>
      <c r="D329" s="9" t="n">
        <v>22</v>
      </c>
      <c r="E329" s="9" t="s">
        <v>47</v>
      </c>
      <c r="F329" s="10" t="s">
        <v>79</v>
      </c>
      <c r="G329" s="10" t="s">
        <v>98</v>
      </c>
      <c r="H329" s="16" t="n">
        <v>5</v>
      </c>
      <c r="I329" s="17" t="s">
        <v>967</v>
      </c>
      <c r="J329" s="18" t="s">
        <v>1360</v>
      </c>
      <c r="K329" s="13" t="s">
        <v>1218</v>
      </c>
      <c r="L329" s="12" t="s">
        <v>222</v>
      </c>
      <c r="M329" s="12" t="s">
        <v>816</v>
      </c>
      <c r="N329" s="12" t="s">
        <v>306</v>
      </c>
    </row>
    <row r="330" customFormat="false" ht="19" hidden="false" customHeight="false" outlineLevel="0" collapsed="false">
      <c r="A330" s="7" t="s">
        <v>1361</v>
      </c>
      <c r="B330" s="8" t="s">
        <v>1362</v>
      </c>
      <c r="C330" s="7" t="s">
        <v>1361</v>
      </c>
      <c r="D330" s="9" t="n">
        <v>5</v>
      </c>
      <c r="E330" s="10" t="s">
        <v>63</v>
      </c>
      <c r="F330" s="10" t="s">
        <v>98</v>
      </c>
      <c r="G330" s="10" t="s">
        <v>98</v>
      </c>
      <c r="H330" s="16" t="n">
        <v>5</v>
      </c>
      <c r="I330" s="17" t="s">
        <v>967</v>
      </c>
      <c r="J330" s="12" t="s">
        <v>1363</v>
      </c>
      <c r="K330" s="12" t="s">
        <v>1364</v>
      </c>
      <c r="L330" s="12" t="s">
        <v>222</v>
      </c>
      <c r="M330" s="12" t="s">
        <v>816</v>
      </c>
      <c r="N330" s="12" t="s">
        <v>817</v>
      </c>
    </row>
    <row r="331" customFormat="false" ht="27.5" hidden="false" customHeight="false" outlineLevel="0" collapsed="false">
      <c r="A331" s="7" t="s">
        <v>1365</v>
      </c>
      <c r="B331" s="8" t="s">
        <v>1366</v>
      </c>
      <c r="C331" s="7" t="s">
        <v>1365</v>
      </c>
      <c r="D331" s="9" t="n">
        <v>9</v>
      </c>
      <c r="E331" s="10" t="s">
        <v>113</v>
      </c>
      <c r="F331" s="10" t="s">
        <v>98</v>
      </c>
      <c r="G331" s="10" t="s">
        <v>98</v>
      </c>
      <c r="H331" s="16" t="n">
        <v>5</v>
      </c>
      <c r="I331" s="17" t="s">
        <v>967</v>
      </c>
      <c r="J331" s="12" t="s">
        <v>1367</v>
      </c>
      <c r="K331" s="12" t="s">
        <v>1000</v>
      </c>
      <c r="L331" s="12" t="s">
        <v>222</v>
      </c>
      <c r="M331" s="12" t="s">
        <v>816</v>
      </c>
      <c r="N331" s="12" t="s">
        <v>306</v>
      </c>
    </row>
    <row r="332" customFormat="false" ht="61.5" hidden="false" customHeight="false" outlineLevel="0" collapsed="false">
      <c r="A332" s="14" t="s">
        <v>1368</v>
      </c>
      <c r="B332" s="15" t="s">
        <v>1369</v>
      </c>
      <c r="C332" s="14" t="s">
        <v>1368</v>
      </c>
      <c r="D332" s="9" t="n">
        <v>10</v>
      </c>
      <c r="E332" s="9" t="s">
        <v>142</v>
      </c>
      <c r="F332" s="10" t="s">
        <v>98</v>
      </c>
      <c r="G332" s="10" t="s">
        <v>98</v>
      </c>
      <c r="H332" s="16" t="n">
        <v>5</v>
      </c>
      <c r="I332" s="17" t="s">
        <v>967</v>
      </c>
      <c r="J332" s="18" t="s">
        <v>1370</v>
      </c>
      <c r="K332" s="18" t="s">
        <v>1371</v>
      </c>
      <c r="L332" s="12" t="s">
        <v>222</v>
      </c>
      <c r="M332" s="12" t="s">
        <v>816</v>
      </c>
      <c r="N332" s="12" t="s">
        <v>306</v>
      </c>
    </row>
    <row r="333" customFormat="false" ht="27.5" hidden="false" customHeight="false" outlineLevel="0" collapsed="false">
      <c r="A333" s="14" t="s">
        <v>1372</v>
      </c>
      <c r="B333" s="15" t="s">
        <v>1373</v>
      </c>
      <c r="C333" s="14" t="s">
        <v>1372</v>
      </c>
      <c r="D333" s="9" t="n">
        <v>22</v>
      </c>
      <c r="E333" s="9" t="s">
        <v>47</v>
      </c>
      <c r="F333" s="10" t="s">
        <v>79</v>
      </c>
      <c r="G333" s="10" t="s">
        <v>98</v>
      </c>
      <c r="H333" s="16" t="n">
        <v>5</v>
      </c>
      <c r="I333" s="17" t="s">
        <v>967</v>
      </c>
      <c r="J333" s="21" t="s">
        <v>1374</v>
      </c>
      <c r="K333" s="13" t="s">
        <v>1218</v>
      </c>
      <c r="L333" s="12" t="s">
        <v>222</v>
      </c>
      <c r="M333" s="12" t="s">
        <v>816</v>
      </c>
      <c r="N333" s="12" t="s">
        <v>306</v>
      </c>
    </row>
    <row r="334" customFormat="false" ht="27.5" hidden="false" customHeight="false" outlineLevel="0" collapsed="false">
      <c r="A334" s="7" t="s">
        <v>1375</v>
      </c>
      <c r="B334" s="8" t="s">
        <v>1376</v>
      </c>
      <c r="C334" s="7" t="s">
        <v>1375</v>
      </c>
      <c r="D334" s="9" t="n">
        <v>9</v>
      </c>
      <c r="E334" s="10" t="s">
        <v>113</v>
      </c>
      <c r="F334" s="10" t="s">
        <v>98</v>
      </c>
      <c r="G334" s="10" t="s">
        <v>98</v>
      </c>
      <c r="H334" s="16" t="n">
        <v>5</v>
      </c>
      <c r="I334" s="17" t="s">
        <v>967</v>
      </c>
      <c r="J334" s="12" t="s">
        <v>1377</v>
      </c>
      <c r="K334" s="13" t="s">
        <v>1378</v>
      </c>
      <c r="L334" s="12" t="s">
        <v>222</v>
      </c>
      <c r="M334" s="12" t="s">
        <v>816</v>
      </c>
      <c r="N334" s="12" t="s">
        <v>306</v>
      </c>
    </row>
    <row r="335" customFormat="false" ht="27.5" hidden="false" customHeight="false" outlineLevel="0" collapsed="false">
      <c r="A335" s="7" t="s">
        <v>1379</v>
      </c>
      <c r="B335" s="8" t="s">
        <v>1380</v>
      </c>
      <c r="C335" s="7" t="s">
        <v>1379</v>
      </c>
      <c r="D335" s="9" t="n">
        <v>22</v>
      </c>
      <c r="E335" s="9" t="s">
        <v>47</v>
      </c>
      <c r="F335" s="10" t="s">
        <v>354</v>
      </c>
      <c r="G335" s="10" t="s">
        <v>354</v>
      </c>
      <c r="H335" s="16" t="n">
        <v>5</v>
      </c>
      <c r="I335" s="17" t="s">
        <v>967</v>
      </c>
      <c r="J335" s="12" t="s">
        <v>1381</v>
      </c>
      <c r="K335" s="12" t="s">
        <v>1382</v>
      </c>
      <c r="L335" s="12" t="s">
        <v>222</v>
      </c>
      <c r="M335" s="12" t="s">
        <v>816</v>
      </c>
      <c r="N335" s="12" t="s">
        <v>817</v>
      </c>
    </row>
    <row r="336" customFormat="false" ht="27.5" hidden="false" customHeight="false" outlineLevel="0" collapsed="false">
      <c r="A336" s="20" t="s">
        <v>1383</v>
      </c>
      <c r="B336" s="15" t="s">
        <v>1384</v>
      </c>
      <c r="C336" s="20" t="s">
        <v>1383</v>
      </c>
      <c r="D336" s="9" t="n">
        <v>21</v>
      </c>
      <c r="E336" s="10" t="s">
        <v>117</v>
      </c>
      <c r="F336" s="10" t="s">
        <v>848</v>
      </c>
      <c r="G336" s="10" t="s">
        <v>119</v>
      </c>
      <c r="H336" s="16" t="n">
        <v>5</v>
      </c>
      <c r="I336" s="17" t="s">
        <v>967</v>
      </c>
      <c r="J336" s="13" t="s">
        <v>1385</v>
      </c>
      <c r="K336" s="13" t="s">
        <v>1386</v>
      </c>
      <c r="L336" s="12" t="s">
        <v>21</v>
      </c>
      <c r="M336" s="12" t="s">
        <v>969</v>
      </c>
      <c r="N336" s="12" t="s">
        <v>452</v>
      </c>
    </row>
    <row r="337" customFormat="false" ht="27.5" hidden="false" customHeight="false" outlineLevel="0" collapsed="false">
      <c r="A337" s="14" t="s">
        <v>1387</v>
      </c>
      <c r="B337" s="15" t="s">
        <v>1388</v>
      </c>
      <c r="C337" s="14" t="s">
        <v>1387</v>
      </c>
      <c r="D337" s="9" t="n">
        <v>21</v>
      </c>
      <c r="E337" s="10" t="s">
        <v>117</v>
      </c>
      <c r="F337" s="10" t="s">
        <v>752</v>
      </c>
      <c r="G337" s="10" t="s">
        <v>748</v>
      </c>
      <c r="H337" s="16" t="n">
        <v>5</v>
      </c>
      <c r="I337" s="17" t="s">
        <v>967</v>
      </c>
      <c r="J337" s="18" t="s">
        <v>1389</v>
      </c>
      <c r="K337" s="13" t="s">
        <v>1390</v>
      </c>
      <c r="L337" s="12" t="s">
        <v>222</v>
      </c>
      <c r="M337" s="12" t="s">
        <v>1391</v>
      </c>
      <c r="N337" s="12" t="s">
        <v>1392</v>
      </c>
    </row>
    <row r="338" customFormat="false" ht="70" hidden="false" customHeight="false" outlineLevel="0" collapsed="false">
      <c r="A338" s="14" t="s">
        <v>1393</v>
      </c>
      <c r="B338" s="15" t="s">
        <v>1394</v>
      </c>
      <c r="C338" s="14" t="s">
        <v>1393</v>
      </c>
      <c r="D338" s="9" t="n">
        <v>21</v>
      </c>
      <c r="E338" s="10" t="s">
        <v>117</v>
      </c>
      <c r="F338" s="10" t="s">
        <v>70</v>
      </c>
      <c r="G338" s="10" t="s">
        <v>748</v>
      </c>
      <c r="H338" s="16" t="n">
        <v>5</v>
      </c>
      <c r="I338" s="17" t="s">
        <v>967</v>
      </c>
      <c r="J338" s="13" t="s">
        <v>1395</v>
      </c>
      <c r="K338" s="13" t="s">
        <v>286</v>
      </c>
      <c r="L338" s="12" t="s">
        <v>222</v>
      </c>
      <c r="M338" s="12" t="s">
        <v>816</v>
      </c>
      <c r="N338" s="12" t="s">
        <v>306</v>
      </c>
    </row>
    <row r="339" customFormat="false" ht="61.5" hidden="false" customHeight="false" outlineLevel="0" collapsed="false">
      <c r="A339" s="14" t="s">
        <v>1396</v>
      </c>
      <c r="B339" s="15" t="s">
        <v>1397</v>
      </c>
      <c r="C339" s="14" t="s">
        <v>1396</v>
      </c>
      <c r="D339" s="9" t="n">
        <v>21</v>
      </c>
      <c r="E339" s="10" t="s">
        <v>117</v>
      </c>
      <c r="F339" s="10" t="s">
        <v>210</v>
      </c>
      <c r="G339" s="10" t="s">
        <v>748</v>
      </c>
      <c r="H339" s="16" t="n">
        <v>5</v>
      </c>
      <c r="I339" s="17" t="s">
        <v>967</v>
      </c>
      <c r="J339" s="21" t="s">
        <v>1398</v>
      </c>
      <c r="K339" s="13" t="s">
        <v>1399</v>
      </c>
      <c r="L339" s="12" t="s">
        <v>222</v>
      </c>
      <c r="M339" s="12" t="s">
        <v>816</v>
      </c>
      <c r="N339" s="12" t="s">
        <v>817</v>
      </c>
    </row>
    <row r="340" customFormat="false" ht="44.5" hidden="false" customHeight="false" outlineLevel="0" collapsed="false">
      <c r="A340" s="14" t="s">
        <v>1400</v>
      </c>
      <c r="B340" s="15" t="s">
        <v>1178</v>
      </c>
      <c r="C340" s="14" t="s">
        <v>1400</v>
      </c>
      <c r="D340" s="9" t="n">
        <v>21</v>
      </c>
      <c r="E340" s="10" t="s">
        <v>117</v>
      </c>
      <c r="F340" s="10" t="s">
        <v>70</v>
      </c>
      <c r="G340" s="10" t="s">
        <v>748</v>
      </c>
      <c r="H340" s="16" t="n">
        <v>5</v>
      </c>
      <c r="I340" s="17" t="s">
        <v>967</v>
      </c>
      <c r="J340" s="21" t="s">
        <v>1401</v>
      </c>
      <c r="K340" s="13" t="s">
        <v>286</v>
      </c>
      <c r="L340" s="12" t="s">
        <v>222</v>
      </c>
      <c r="M340" s="12" t="s">
        <v>816</v>
      </c>
      <c r="N340" s="12" t="s">
        <v>23</v>
      </c>
    </row>
    <row r="341" customFormat="false" ht="44.5" hidden="false" customHeight="false" outlineLevel="0" collapsed="false">
      <c r="A341" s="7" t="s">
        <v>1402</v>
      </c>
      <c r="B341" s="8" t="s">
        <v>1403</v>
      </c>
      <c r="C341" s="7" t="s">
        <v>1402</v>
      </c>
      <c r="D341" s="9" t="n">
        <v>6</v>
      </c>
      <c r="E341" s="10" t="s">
        <v>180</v>
      </c>
      <c r="F341" s="10" t="s">
        <v>764</v>
      </c>
      <c r="G341" s="10" t="s">
        <v>764</v>
      </c>
      <c r="H341" s="16" t="n">
        <v>5</v>
      </c>
      <c r="I341" s="17" t="s">
        <v>967</v>
      </c>
      <c r="J341" s="12" t="s">
        <v>1404</v>
      </c>
      <c r="K341" s="13" t="s">
        <v>1405</v>
      </c>
      <c r="L341" s="12" t="s">
        <v>222</v>
      </c>
      <c r="M341" s="12" t="s">
        <v>816</v>
      </c>
      <c r="N341" s="12" t="s">
        <v>306</v>
      </c>
    </row>
    <row r="342" customFormat="false" ht="27.5" hidden="false" customHeight="false" outlineLevel="0" collapsed="false">
      <c r="A342" s="7" t="s">
        <v>1406</v>
      </c>
      <c r="B342" s="8" t="s">
        <v>1407</v>
      </c>
      <c r="C342" s="7" t="s">
        <v>1406</v>
      </c>
      <c r="D342" s="9" t="n">
        <v>1</v>
      </c>
      <c r="E342" s="10" t="s">
        <v>203</v>
      </c>
      <c r="F342" s="10" t="s">
        <v>1408</v>
      </c>
      <c r="G342" s="10" t="s">
        <v>1409</v>
      </c>
      <c r="H342" s="16" t="n">
        <v>5</v>
      </c>
      <c r="I342" s="17" t="s">
        <v>967</v>
      </c>
      <c r="J342" s="12" t="s">
        <v>1410</v>
      </c>
      <c r="K342" s="12" t="s">
        <v>1411</v>
      </c>
      <c r="L342" s="12" t="s">
        <v>222</v>
      </c>
      <c r="M342" s="12" t="s">
        <v>816</v>
      </c>
      <c r="N342" s="12" t="s">
        <v>817</v>
      </c>
    </row>
    <row r="343" customFormat="false" ht="27.5" hidden="false" customHeight="false" outlineLevel="0" collapsed="false">
      <c r="A343" s="22" t="s">
        <v>1412</v>
      </c>
      <c r="B343" s="8" t="s">
        <v>1413</v>
      </c>
      <c r="C343" s="22" t="s">
        <v>1412</v>
      </c>
      <c r="D343" s="9" t="n">
        <v>10</v>
      </c>
      <c r="E343" s="10" t="s">
        <v>142</v>
      </c>
      <c r="F343" s="10" t="s">
        <v>768</v>
      </c>
      <c r="G343" s="10" t="s">
        <v>769</v>
      </c>
      <c r="H343" s="16" t="n">
        <v>5</v>
      </c>
      <c r="I343" s="17" t="s">
        <v>967</v>
      </c>
      <c r="J343" s="23" t="s">
        <v>1414</v>
      </c>
      <c r="K343" s="13" t="s">
        <v>608</v>
      </c>
      <c r="L343" s="12" t="s">
        <v>222</v>
      </c>
      <c r="M343" s="12" t="s">
        <v>816</v>
      </c>
      <c r="N343" s="12" t="s">
        <v>817</v>
      </c>
    </row>
    <row r="344" customFormat="false" ht="27.5" hidden="false" customHeight="false" outlineLevel="0" collapsed="false">
      <c r="A344" s="7" t="s">
        <v>1415</v>
      </c>
      <c r="B344" s="8" t="s">
        <v>1416</v>
      </c>
      <c r="C344" s="7" t="s">
        <v>1415</v>
      </c>
      <c r="D344" s="9" t="n">
        <v>10</v>
      </c>
      <c r="E344" s="10" t="s">
        <v>142</v>
      </c>
      <c r="F344" s="10" t="s">
        <v>768</v>
      </c>
      <c r="G344" s="10" t="s">
        <v>769</v>
      </c>
      <c r="H344" s="16" t="n">
        <v>5</v>
      </c>
      <c r="I344" s="17" t="s">
        <v>967</v>
      </c>
      <c r="J344" s="13" t="s">
        <v>1417</v>
      </c>
      <c r="K344" s="13" t="s">
        <v>1418</v>
      </c>
      <c r="L344" s="12" t="s">
        <v>222</v>
      </c>
      <c r="M344" s="12" t="s">
        <v>816</v>
      </c>
      <c r="N344" s="12" t="s">
        <v>306</v>
      </c>
    </row>
    <row r="345" customFormat="false" ht="36" hidden="false" customHeight="false" outlineLevel="0" collapsed="false">
      <c r="A345" s="7" t="s">
        <v>1419</v>
      </c>
      <c r="B345" s="8" t="s">
        <v>1420</v>
      </c>
      <c r="C345" s="7" t="s">
        <v>1419</v>
      </c>
      <c r="D345" s="9" t="n">
        <v>10</v>
      </c>
      <c r="E345" s="10" t="s">
        <v>142</v>
      </c>
      <c r="F345" s="10" t="s">
        <v>768</v>
      </c>
      <c r="G345" s="10" t="s">
        <v>769</v>
      </c>
      <c r="H345" s="16" t="n">
        <v>5</v>
      </c>
      <c r="I345" s="17" t="s">
        <v>967</v>
      </c>
      <c r="J345" s="12" t="s">
        <v>1421</v>
      </c>
      <c r="K345" s="12" t="s">
        <v>1172</v>
      </c>
      <c r="L345" s="12" t="s">
        <v>222</v>
      </c>
      <c r="M345" s="12" t="s">
        <v>816</v>
      </c>
      <c r="N345" s="12" t="s">
        <v>306</v>
      </c>
    </row>
    <row r="346" customFormat="false" ht="27.5" hidden="false" customHeight="false" outlineLevel="0" collapsed="false">
      <c r="A346" s="7" t="s">
        <v>1422</v>
      </c>
      <c r="B346" s="8" t="s">
        <v>1423</v>
      </c>
      <c r="C346" s="7" t="s">
        <v>1422</v>
      </c>
      <c r="D346" s="9" t="n">
        <v>10</v>
      </c>
      <c r="E346" s="10" t="s">
        <v>142</v>
      </c>
      <c r="F346" s="10" t="s">
        <v>768</v>
      </c>
      <c r="G346" s="10" t="s">
        <v>769</v>
      </c>
      <c r="H346" s="16" t="n">
        <v>5</v>
      </c>
      <c r="I346" s="17" t="s">
        <v>967</v>
      </c>
      <c r="J346" s="12" t="s">
        <v>1424</v>
      </c>
      <c r="K346" s="12" t="s">
        <v>608</v>
      </c>
      <c r="L346" s="12" t="s">
        <v>222</v>
      </c>
      <c r="M346" s="12" t="s">
        <v>816</v>
      </c>
      <c r="N346" s="12" t="s">
        <v>306</v>
      </c>
    </row>
    <row r="347" customFormat="false" ht="87" hidden="false" customHeight="false" outlineLevel="0" collapsed="false">
      <c r="A347" s="14" t="s">
        <v>1425</v>
      </c>
      <c r="B347" s="15" t="s">
        <v>1426</v>
      </c>
      <c r="C347" s="14" t="s">
        <v>1425</v>
      </c>
      <c r="D347" s="9" t="n">
        <v>2</v>
      </c>
      <c r="E347" s="9" t="s">
        <v>226</v>
      </c>
      <c r="F347" s="10" t="s">
        <v>1427</v>
      </c>
      <c r="G347" s="10" t="s">
        <v>1428</v>
      </c>
      <c r="H347" s="16" t="n">
        <v>5</v>
      </c>
      <c r="I347" s="17" t="s">
        <v>967</v>
      </c>
      <c r="J347" s="18" t="s">
        <v>1429</v>
      </c>
      <c r="K347" s="13" t="s">
        <v>1430</v>
      </c>
      <c r="L347" s="12" t="s">
        <v>222</v>
      </c>
      <c r="M347" s="12" t="s">
        <v>816</v>
      </c>
      <c r="N347" s="12" t="s">
        <v>817</v>
      </c>
    </row>
    <row r="348" customFormat="false" ht="27.5" hidden="false" customHeight="false" outlineLevel="0" collapsed="false">
      <c r="A348" s="7" t="s">
        <v>1431</v>
      </c>
      <c r="B348" s="8" t="s">
        <v>1432</v>
      </c>
      <c r="C348" s="7" t="s">
        <v>1431</v>
      </c>
      <c r="D348" s="9" t="n">
        <v>5</v>
      </c>
      <c r="E348" s="10" t="s">
        <v>63</v>
      </c>
      <c r="F348" s="10" t="s">
        <v>134</v>
      </c>
      <c r="G348" s="10" t="s">
        <v>134</v>
      </c>
      <c r="H348" s="16" t="n">
        <v>5</v>
      </c>
      <c r="I348" s="17" t="s">
        <v>967</v>
      </c>
      <c r="J348" s="12" t="s">
        <v>1433</v>
      </c>
      <c r="K348" s="12" t="s">
        <v>1434</v>
      </c>
      <c r="L348" s="12" t="s">
        <v>222</v>
      </c>
      <c r="M348" s="12" t="s">
        <v>816</v>
      </c>
      <c r="N348" s="12" t="s">
        <v>817</v>
      </c>
    </row>
    <row r="349" customFormat="false" ht="19" hidden="false" customHeight="false" outlineLevel="0" collapsed="false">
      <c r="A349" s="7" t="s">
        <v>1435</v>
      </c>
      <c r="B349" s="8" t="s">
        <v>1436</v>
      </c>
      <c r="C349" s="7" t="s">
        <v>1435</v>
      </c>
      <c r="D349" s="9" t="n">
        <v>20</v>
      </c>
      <c r="E349" s="9" t="s">
        <v>53</v>
      </c>
      <c r="F349" s="10" t="s">
        <v>349</v>
      </c>
      <c r="G349" s="10" t="s">
        <v>134</v>
      </c>
      <c r="H349" s="16" t="n">
        <v>5</v>
      </c>
      <c r="I349" s="17" t="s">
        <v>967</v>
      </c>
      <c r="J349" s="12" t="s">
        <v>1437</v>
      </c>
      <c r="K349" s="12" t="s">
        <v>1438</v>
      </c>
      <c r="L349" s="12" t="s">
        <v>222</v>
      </c>
      <c r="M349" s="12" t="s">
        <v>816</v>
      </c>
      <c r="N349" s="12" t="s">
        <v>817</v>
      </c>
    </row>
    <row r="350" customFormat="false" ht="27.5" hidden="false" customHeight="false" outlineLevel="0" collapsed="false">
      <c r="A350" s="14" t="s">
        <v>1439</v>
      </c>
      <c r="B350" s="15" t="s">
        <v>1440</v>
      </c>
      <c r="C350" s="14" t="s">
        <v>1439</v>
      </c>
      <c r="D350" s="9" t="n">
        <v>22</v>
      </c>
      <c r="E350" s="9" t="s">
        <v>47</v>
      </c>
      <c r="F350" s="10" t="s">
        <v>781</v>
      </c>
      <c r="G350" s="10" t="s">
        <v>782</v>
      </c>
      <c r="H350" s="16" t="n">
        <v>5</v>
      </c>
      <c r="I350" s="17" t="s">
        <v>967</v>
      </c>
      <c r="J350" s="21" t="s">
        <v>1441</v>
      </c>
      <c r="K350" s="13" t="s">
        <v>1442</v>
      </c>
      <c r="L350" s="12" t="s">
        <v>222</v>
      </c>
      <c r="M350" s="12" t="s">
        <v>969</v>
      </c>
      <c r="N350" s="12" t="s">
        <v>817</v>
      </c>
    </row>
    <row r="351" customFormat="false" ht="27.5" hidden="false" customHeight="false" outlineLevel="0" collapsed="false">
      <c r="A351" s="14" t="s">
        <v>1443</v>
      </c>
      <c r="B351" s="15" t="s">
        <v>1444</v>
      </c>
      <c r="C351" s="14" t="s">
        <v>1443</v>
      </c>
      <c r="D351" s="9" t="n">
        <v>22</v>
      </c>
      <c r="E351" s="9" t="s">
        <v>47</v>
      </c>
      <c r="F351" s="10" t="s">
        <v>781</v>
      </c>
      <c r="G351" s="10" t="s">
        <v>786</v>
      </c>
      <c r="H351" s="16" t="n">
        <v>5</v>
      </c>
      <c r="I351" s="17" t="s">
        <v>967</v>
      </c>
      <c r="J351" s="21" t="s">
        <v>1445</v>
      </c>
      <c r="K351" s="13" t="s">
        <v>1446</v>
      </c>
      <c r="L351" s="12" t="s">
        <v>222</v>
      </c>
      <c r="M351" s="12" t="s">
        <v>969</v>
      </c>
      <c r="N351" s="12" t="s">
        <v>817</v>
      </c>
    </row>
    <row r="352" customFormat="false" ht="36" hidden="false" customHeight="false" outlineLevel="0" collapsed="false">
      <c r="A352" s="7" t="s">
        <v>1447</v>
      </c>
      <c r="B352" s="8" t="s">
        <v>1448</v>
      </c>
      <c r="C352" s="7" t="s">
        <v>1447</v>
      </c>
      <c r="D352" s="9" t="n">
        <v>5</v>
      </c>
      <c r="E352" s="10" t="s">
        <v>63</v>
      </c>
      <c r="F352" s="10" t="s">
        <v>791</v>
      </c>
      <c r="G352" s="10" t="s">
        <v>791</v>
      </c>
      <c r="H352" s="16" t="n">
        <v>5</v>
      </c>
      <c r="I352" s="17" t="s">
        <v>967</v>
      </c>
      <c r="J352" s="12" t="s">
        <v>1449</v>
      </c>
      <c r="K352" s="12" t="s">
        <v>815</v>
      </c>
      <c r="L352" s="12" t="s">
        <v>222</v>
      </c>
      <c r="M352" s="12" t="s">
        <v>816</v>
      </c>
      <c r="N352" s="12" t="s">
        <v>817</v>
      </c>
    </row>
    <row r="353" customFormat="false" ht="19" hidden="false" customHeight="false" outlineLevel="0" collapsed="false">
      <c r="A353" s="7" t="s">
        <v>1450</v>
      </c>
      <c r="B353" s="8" t="s">
        <v>1451</v>
      </c>
      <c r="C353" s="7" t="s">
        <v>1450</v>
      </c>
      <c r="D353" s="9" t="n">
        <v>20</v>
      </c>
      <c r="E353" s="9" t="s">
        <v>53</v>
      </c>
      <c r="F353" s="10" t="s">
        <v>1452</v>
      </c>
      <c r="G353" s="10" t="s">
        <v>1453</v>
      </c>
      <c r="H353" s="16" t="n">
        <v>5</v>
      </c>
      <c r="I353" s="17" t="s">
        <v>967</v>
      </c>
      <c r="J353" s="18" t="s">
        <v>1454</v>
      </c>
      <c r="K353" s="13" t="s">
        <v>174</v>
      </c>
      <c r="L353" s="12" t="s">
        <v>222</v>
      </c>
      <c r="M353" s="12" t="s">
        <v>969</v>
      </c>
      <c r="N353" s="12" t="s">
        <v>306</v>
      </c>
    </row>
    <row r="354" customFormat="false" ht="61.5" hidden="false" customHeight="false" outlineLevel="0" collapsed="false">
      <c r="A354" s="20" t="s">
        <v>1455</v>
      </c>
      <c r="B354" s="15" t="s">
        <v>1456</v>
      </c>
      <c r="C354" s="20" t="s">
        <v>1455</v>
      </c>
      <c r="D354" s="9" t="n">
        <v>22</v>
      </c>
      <c r="E354" s="9" t="s">
        <v>47</v>
      </c>
      <c r="F354" s="10" t="s">
        <v>855</v>
      </c>
      <c r="G354" s="10" t="s">
        <v>855</v>
      </c>
      <c r="H354" s="16" t="n">
        <v>5</v>
      </c>
      <c r="I354" s="17" t="s">
        <v>967</v>
      </c>
      <c r="J354" s="13" t="s">
        <v>1457</v>
      </c>
      <c r="K354" s="13" t="s">
        <v>1458</v>
      </c>
      <c r="L354" s="12" t="s">
        <v>222</v>
      </c>
      <c r="M354" s="12" t="s">
        <v>816</v>
      </c>
      <c r="N354" s="12" t="s">
        <v>817</v>
      </c>
    </row>
    <row r="355" customFormat="false" ht="78.5" hidden="false" customHeight="false" outlineLevel="0" collapsed="false">
      <c r="A355" s="20" t="s">
        <v>1459</v>
      </c>
      <c r="B355" s="15" t="s">
        <v>1460</v>
      </c>
      <c r="C355" s="20" t="s">
        <v>1459</v>
      </c>
      <c r="D355" s="9" t="n">
        <v>22</v>
      </c>
      <c r="E355" s="9" t="s">
        <v>47</v>
      </c>
      <c r="F355" s="10" t="s">
        <v>801</v>
      </c>
      <c r="G355" s="10" t="s">
        <v>801</v>
      </c>
      <c r="H355" s="16" t="n">
        <v>5</v>
      </c>
      <c r="I355" s="17" t="s">
        <v>967</v>
      </c>
      <c r="J355" s="13" t="s">
        <v>802</v>
      </c>
      <c r="K355" s="13" t="s">
        <v>1461</v>
      </c>
      <c r="L355" s="12" t="s">
        <v>222</v>
      </c>
      <c r="M355" s="12" t="s">
        <v>816</v>
      </c>
      <c r="N355" s="12" t="s">
        <v>817</v>
      </c>
    </row>
    <row r="356" customFormat="false" ht="27.5" hidden="false" customHeight="false" outlineLevel="0" collapsed="false">
      <c r="A356" s="7" t="s">
        <v>1462</v>
      </c>
      <c r="B356" s="8" t="s">
        <v>1463</v>
      </c>
      <c r="C356" s="7" t="s">
        <v>1462</v>
      </c>
      <c r="D356" s="9" t="n">
        <v>5</v>
      </c>
      <c r="E356" s="10" t="s">
        <v>63</v>
      </c>
      <c r="F356" s="10" t="s">
        <v>805</v>
      </c>
      <c r="G356" s="10" t="s">
        <v>805</v>
      </c>
      <c r="H356" s="16" t="n">
        <v>5</v>
      </c>
      <c r="I356" s="17" t="s">
        <v>967</v>
      </c>
      <c r="J356" s="12" t="s">
        <v>1464</v>
      </c>
      <c r="K356" s="12" t="s">
        <v>815</v>
      </c>
      <c r="L356" s="12" t="s">
        <v>222</v>
      </c>
      <c r="M356" s="12" t="s">
        <v>816</v>
      </c>
      <c r="N356" s="12" t="s">
        <v>817</v>
      </c>
    </row>
    <row r="357" customFormat="false" ht="27.5" hidden="false" customHeight="false" outlineLevel="0" collapsed="false">
      <c r="A357" s="7" t="s">
        <v>1465</v>
      </c>
      <c r="B357" s="8" t="s">
        <v>1466</v>
      </c>
      <c r="C357" s="7" t="s">
        <v>1465</v>
      </c>
      <c r="D357" s="9" t="n">
        <v>20</v>
      </c>
      <c r="E357" s="9" t="s">
        <v>53</v>
      </c>
      <c r="F357" s="10" t="s">
        <v>1467</v>
      </c>
      <c r="G357" s="10" t="s">
        <v>1468</v>
      </c>
      <c r="H357" s="16" t="n">
        <v>5</v>
      </c>
      <c r="I357" s="17" t="s">
        <v>967</v>
      </c>
      <c r="J357" s="12" t="s">
        <v>1469</v>
      </c>
      <c r="K357" s="13" t="s">
        <v>502</v>
      </c>
      <c r="L357" s="12" t="s">
        <v>222</v>
      </c>
      <c r="M357" s="12" t="s">
        <v>969</v>
      </c>
      <c r="N357" s="12" t="s">
        <v>817</v>
      </c>
    </row>
    <row r="358" customFormat="false" ht="27.5" hidden="false" customHeight="false" outlineLevel="0" collapsed="false">
      <c r="A358" s="7" t="s">
        <v>1470</v>
      </c>
      <c r="B358" s="8" t="s">
        <v>1471</v>
      </c>
      <c r="C358" s="7" t="s">
        <v>1470</v>
      </c>
      <c r="D358" s="9" t="n">
        <v>4</v>
      </c>
      <c r="E358" s="10" t="s">
        <v>15</v>
      </c>
      <c r="F358" s="10" t="s">
        <v>1472</v>
      </c>
      <c r="G358" s="10" t="s">
        <v>1468</v>
      </c>
      <c r="H358" s="16" t="n">
        <v>5</v>
      </c>
      <c r="I358" s="17" t="s">
        <v>967</v>
      </c>
      <c r="J358" s="12" t="s">
        <v>1473</v>
      </c>
      <c r="K358" s="13" t="s">
        <v>321</v>
      </c>
      <c r="L358" s="12" t="s">
        <v>222</v>
      </c>
      <c r="M358" s="12" t="s">
        <v>816</v>
      </c>
      <c r="N358" s="12" t="s">
        <v>23</v>
      </c>
    </row>
    <row r="359" customFormat="false" ht="27.5" hidden="false" customHeight="false" outlineLevel="0" collapsed="false">
      <c r="A359" s="7" t="s">
        <v>1474</v>
      </c>
      <c r="B359" s="8" t="s">
        <v>1475</v>
      </c>
      <c r="C359" s="7" t="s">
        <v>1474</v>
      </c>
      <c r="D359" s="9" t="n">
        <v>3</v>
      </c>
      <c r="E359" s="10" t="s">
        <v>39</v>
      </c>
      <c r="F359" s="10" t="s">
        <v>40</v>
      </c>
      <c r="G359" s="10" t="s">
        <v>1468</v>
      </c>
      <c r="H359" s="16" t="n">
        <v>5</v>
      </c>
      <c r="I359" s="17" t="s">
        <v>967</v>
      </c>
      <c r="J359" s="12" t="s">
        <v>1476</v>
      </c>
      <c r="K359" s="12" t="s">
        <v>1477</v>
      </c>
      <c r="L359" s="12" t="s">
        <v>222</v>
      </c>
      <c r="M359" s="12" t="s">
        <v>816</v>
      </c>
      <c r="N359" s="12" t="s">
        <v>817</v>
      </c>
    </row>
    <row r="360" customFormat="false" ht="36" hidden="false" customHeight="false" outlineLevel="0" collapsed="false">
      <c r="A360" s="14" t="s">
        <v>1478</v>
      </c>
      <c r="B360" s="15" t="s">
        <v>1479</v>
      </c>
      <c r="C360" s="14" t="s">
        <v>1478</v>
      </c>
      <c r="D360" s="9" t="n">
        <v>6</v>
      </c>
      <c r="E360" s="9" t="s">
        <v>180</v>
      </c>
      <c r="F360" s="10" t="s">
        <v>820</v>
      </c>
      <c r="G360" s="10" t="s">
        <v>821</v>
      </c>
      <c r="H360" s="16" t="n">
        <v>5</v>
      </c>
      <c r="I360" s="17" t="s">
        <v>967</v>
      </c>
      <c r="J360" s="21" t="s">
        <v>1480</v>
      </c>
      <c r="K360" s="12" t="s">
        <v>1481</v>
      </c>
      <c r="L360" s="12" t="s">
        <v>222</v>
      </c>
      <c r="M360" s="12" t="s">
        <v>816</v>
      </c>
      <c r="N360" s="12" t="s">
        <v>306</v>
      </c>
    </row>
    <row r="361" customFormat="false" ht="27.5" hidden="false" customHeight="false" outlineLevel="0" collapsed="false">
      <c r="A361" s="7" t="s">
        <v>1482</v>
      </c>
      <c r="B361" s="8" t="s">
        <v>1483</v>
      </c>
      <c r="C361" s="7" t="s">
        <v>1482</v>
      </c>
      <c r="D361" s="9" t="n">
        <v>10</v>
      </c>
      <c r="E361" s="10" t="s">
        <v>142</v>
      </c>
      <c r="F361" s="10" t="s">
        <v>826</v>
      </c>
      <c r="G361" s="10" t="s">
        <v>826</v>
      </c>
      <c r="H361" s="16" t="n">
        <v>5</v>
      </c>
      <c r="I361" s="17" t="s">
        <v>967</v>
      </c>
      <c r="J361" s="12" t="s">
        <v>1484</v>
      </c>
      <c r="K361" s="12" t="s">
        <v>1485</v>
      </c>
      <c r="L361" s="12" t="s">
        <v>222</v>
      </c>
      <c r="M361" s="12" t="s">
        <v>816</v>
      </c>
      <c r="N361" s="12" t="s">
        <v>306</v>
      </c>
    </row>
    <row r="362" customFormat="false" ht="27.5" hidden="false" customHeight="false" outlineLevel="0" collapsed="false">
      <c r="A362" s="7" t="s">
        <v>1486</v>
      </c>
      <c r="B362" s="8" t="s">
        <v>1487</v>
      </c>
      <c r="C362" s="7" t="s">
        <v>1486</v>
      </c>
      <c r="D362" s="9" t="n">
        <v>6</v>
      </c>
      <c r="E362" s="10" t="s">
        <v>180</v>
      </c>
      <c r="F362" s="10" t="s">
        <v>830</v>
      </c>
      <c r="G362" s="10" t="s">
        <v>830</v>
      </c>
      <c r="H362" s="16" t="n">
        <v>5</v>
      </c>
      <c r="I362" s="17" t="s">
        <v>967</v>
      </c>
      <c r="J362" s="18" t="s">
        <v>1488</v>
      </c>
      <c r="K362" s="13" t="s">
        <v>1489</v>
      </c>
      <c r="L362" s="12" t="s">
        <v>222</v>
      </c>
      <c r="M362" s="12" t="s">
        <v>969</v>
      </c>
      <c r="N362" s="12" t="s">
        <v>306</v>
      </c>
    </row>
    <row r="363" customFormat="false" ht="27.5" hidden="false" customHeight="false" outlineLevel="0" collapsed="false">
      <c r="A363" s="7" t="s">
        <v>1490</v>
      </c>
      <c r="B363" s="8" t="s">
        <v>1491</v>
      </c>
      <c r="C363" s="7" t="s">
        <v>1490</v>
      </c>
      <c r="D363" s="9" t="n">
        <v>10</v>
      </c>
      <c r="E363" s="10" t="s">
        <v>142</v>
      </c>
      <c r="F363" s="10" t="s">
        <v>143</v>
      </c>
      <c r="G363" s="10" t="s">
        <v>143</v>
      </c>
      <c r="H363" s="16" t="n">
        <v>5</v>
      </c>
      <c r="I363" s="17" t="s">
        <v>967</v>
      </c>
      <c r="J363" s="12" t="s">
        <v>1492</v>
      </c>
      <c r="K363" s="13" t="s">
        <v>1493</v>
      </c>
      <c r="L363" s="12" t="s">
        <v>222</v>
      </c>
      <c r="M363" s="12" t="s">
        <v>969</v>
      </c>
      <c r="N363" s="12" t="s">
        <v>306</v>
      </c>
    </row>
    <row r="364" customFormat="false" ht="27.5" hidden="false" customHeight="false" outlineLevel="0" collapsed="false">
      <c r="A364" s="7" t="s">
        <v>1494</v>
      </c>
      <c r="B364" s="8" t="s">
        <v>1495</v>
      </c>
      <c r="C364" s="7" t="s">
        <v>1494</v>
      </c>
      <c r="D364" s="9" t="n">
        <v>10</v>
      </c>
      <c r="E364" s="10" t="s">
        <v>142</v>
      </c>
      <c r="F364" s="10" t="s">
        <v>143</v>
      </c>
      <c r="G364" s="10" t="s">
        <v>143</v>
      </c>
      <c r="H364" s="16" t="n">
        <v>5</v>
      </c>
      <c r="I364" s="17" t="s">
        <v>967</v>
      </c>
      <c r="J364" s="12" t="s">
        <v>1496</v>
      </c>
      <c r="K364" s="13" t="s">
        <v>1497</v>
      </c>
      <c r="L364" s="12" t="s">
        <v>222</v>
      </c>
      <c r="M364" s="12" t="s">
        <v>816</v>
      </c>
      <c r="N364" s="12" t="s">
        <v>306</v>
      </c>
    </row>
    <row r="365" customFormat="false" ht="19" hidden="false" customHeight="false" outlineLevel="0" collapsed="false">
      <c r="A365" s="7" t="s">
        <v>1498</v>
      </c>
      <c r="B365" s="8" t="s">
        <v>1499</v>
      </c>
      <c r="C365" s="7" t="s">
        <v>1498</v>
      </c>
      <c r="D365" s="9" t="n">
        <v>10</v>
      </c>
      <c r="E365" s="10" t="s">
        <v>142</v>
      </c>
      <c r="F365" s="10" t="s">
        <v>143</v>
      </c>
      <c r="G365" s="10" t="s">
        <v>143</v>
      </c>
      <c r="H365" s="16" t="n">
        <v>5</v>
      </c>
      <c r="I365" s="17" t="s">
        <v>967</v>
      </c>
      <c r="J365" s="12" t="s">
        <v>1500</v>
      </c>
      <c r="K365" s="12" t="s">
        <v>1501</v>
      </c>
      <c r="L365" s="12" t="s">
        <v>222</v>
      </c>
      <c r="M365" s="12" t="s">
        <v>816</v>
      </c>
      <c r="N365" s="12" t="s">
        <v>23</v>
      </c>
    </row>
    <row r="366" customFormat="false" ht="27.5" hidden="false" customHeight="false" outlineLevel="0" collapsed="false">
      <c r="A366" s="7" t="s">
        <v>1502</v>
      </c>
      <c r="B366" s="8" t="s">
        <v>1503</v>
      </c>
      <c r="C366" s="7" t="s">
        <v>1502</v>
      </c>
      <c r="D366" s="9" t="n">
        <v>10</v>
      </c>
      <c r="E366" s="10" t="s">
        <v>142</v>
      </c>
      <c r="F366" s="10" t="s">
        <v>143</v>
      </c>
      <c r="G366" s="10" t="s">
        <v>143</v>
      </c>
      <c r="H366" s="16" t="n">
        <v>5</v>
      </c>
      <c r="I366" s="17" t="s">
        <v>967</v>
      </c>
      <c r="J366" s="12" t="s">
        <v>1504</v>
      </c>
      <c r="K366" s="12" t="s">
        <v>1501</v>
      </c>
      <c r="L366" s="12" t="s">
        <v>222</v>
      </c>
      <c r="M366" s="12" t="s">
        <v>816</v>
      </c>
      <c r="N366" s="12" t="s">
        <v>23</v>
      </c>
    </row>
    <row r="367" customFormat="false" ht="36" hidden="false" customHeight="false" outlineLevel="0" collapsed="false">
      <c r="A367" s="7" t="s">
        <v>1505</v>
      </c>
      <c r="B367" s="8" t="s">
        <v>1506</v>
      </c>
      <c r="C367" s="7" t="s">
        <v>1505</v>
      </c>
      <c r="D367" s="9" t="n">
        <v>10</v>
      </c>
      <c r="E367" s="10" t="s">
        <v>142</v>
      </c>
      <c r="F367" s="10" t="s">
        <v>143</v>
      </c>
      <c r="G367" s="10" t="s">
        <v>143</v>
      </c>
      <c r="H367" s="16" t="n">
        <v>5</v>
      </c>
      <c r="I367" s="17" t="s">
        <v>967</v>
      </c>
      <c r="J367" s="12" t="s">
        <v>1507</v>
      </c>
      <c r="K367" s="12" t="s">
        <v>1508</v>
      </c>
      <c r="L367" s="12" t="s">
        <v>222</v>
      </c>
      <c r="M367" s="12" t="s">
        <v>816</v>
      </c>
      <c r="N367" s="12" t="s">
        <v>23</v>
      </c>
    </row>
    <row r="368" customFormat="false" ht="36" hidden="false" customHeight="false" outlineLevel="0" collapsed="false">
      <c r="A368" s="7" t="s">
        <v>1509</v>
      </c>
      <c r="B368" s="8" t="s">
        <v>1510</v>
      </c>
      <c r="C368" s="7" t="s">
        <v>1509</v>
      </c>
      <c r="D368" s="9" t="n">
        <v>10</v>
      </c>
      <c r="E368" s="10" t="s">
        <v>142</v>
      </c>
      <c r="F368" s="10" t="s">
        <v>143</v>
      </c>
      <c r="G368" s="10" t="s">
        <v>143</v>
      </c>
      <c r="H368" s="16" t="n">
        <v>5</v>
      </c>
      <c r="I368" s="17" t="s">
        <v>967</v>
      </c>
      <c r="J368" s="12" t="s">
        <v>1511</v>
      </c>
      <c r="K368" s="12" t="s">
        <v>1497</v>
      </c>
      <c r="L368" s="12" t="s">
        <v>222</v>
      </c>
      <c r="M368" s="12" t="s">
        <v>816</v>
      </c>
      <c r="N368" s="12" t="s">
        <v>23</v>
      </c>
    </row>
    <row r="369" customFormat="false" ht="27.5" hidden="false" customHeight="false" outlineLevel="0" collapsed="false">
      <c r="A369" s="7" t="s">
        <v>1512</v>
      </c>
      <c r="B369" s="8" t="s">
        <v>1513</v>
      </c>
      <c r="C369" s="7" t="s">
        <v>1512</v>
      </c>
      <c r="D369" s="9" t="n">
        <v>5</v>
      </c>
      <c r="E369" s="10" t="s">
        <v>63</v>
      </c>
      <c r="F369" s="10" t="s">
        <v>1514</v>
      </c>
      <c r="G369" s="10" t="s">
        <v>1514</v>
      </c>
      <c r="H369" s="16" t="n">
        <v>5</v>
      </c>
      <c r="I369" s="17" t="s">
        <v>967</v>
      </c>
      <c r="J369" s="12" t="s">
        <v>1515</v>
      </c>
      <c r="K369" s="13" t="s">
        <v>1516</v>
      </c>
      <c r="L369" s="12" t="s">
        <v>222</v>
      </c>
      <c r="M369" s="12" t="s">
        <v>816</v>
      </c>
      <c r="N369" s="12" t="s">
        <v>817</v>
      </c>
    </row>
    <row r="370" customFormat="false" ht="27.5" hidden="false" customHeight="false" outlineLevel="0" collapsed="false">
      <c r="A370" s="20" t="s">
        <v>1517</v>
      </c>
      <c r="B370" s="15" t="s">
        <v>1518</v>
      </c>
      <c r="C370" s="20" t="s">
        <v>1517</v>
      </c>
      <c r="D370" s="9" t="n">
        <v>3</v>
      </c>
      <c r="E370" s="9" t="s">
        <v>39</v>
      </c>
      <c r="F370" s="10" t="s">
        <v>867</v>
      </c>
      <c r="G370" s="10" t="s">
        <v>867</v>
      </c>
      <c r="H370" s="16" t="n">
        <v>5</v>
      </c>
      <c r="I370" s="17" t="s">
        <v>967</v>
      </c>
      <c r="J370" s="13" t="s">
        <v>1519</v>
      </c>
      <c r="K370" s="13" t="s">
        <v>1520</v>
      </c>
      <c r="L370" s="12" t="s">
        <v>222</v>
      </c>
      <c r="M370" s="12" t="s">
        <v>816</v>
      </c>
      <c r="N370" s="12" t="s">
        <v>817</v>
      </c>
    </row>
    <row r="371" customFormat="false" ht="36" hidden="false" customHeight="false" outlineLevel="0" collapsed="false">
      <c r="A371" s="14" t="s">
        <v>1521</v>
      </c>
      <c r="B371" s="15" t="s">
        <v>1522</v>
      </c>
      <c r="C371" s="14" t="s">
        <v>1521</v>
      </c>
      <c r="D371" s="9" t="n">
        <v>23</v>
      </c>
      <c r="E371" s="10" t="s">
        <v>441</v>
      </c>
      <c r="F371" s="10" t="s">
        <v>70</v>
      </c>
      <c r="G371" s="10" t="s">
        <v>1523</v>
      </c>
      <c r="H371" s="16" t="n">
        <v>5</v>
      </c>
      <c r="I371" s="17" t="s">
        <v>967</v>
      </c>
      <c r="J371" s="18" t="s">
        <v>1524</v>
      </c>
      <c r="K371" s="13" t="s">
        <v>1525</v>
      </c>
      <c r="L371" s="12" t="s">
        <v>222</v>
      </c>
      <c r="M371" s="12" t="s">
        <v>1526</v>
      </c>
      <c r="N371" s="12" t="s">
        <v>23</v>
      </c>
    </row>
    <row r="372" customFormat="false" ht="36" hidden="false" customHeight="false" outlineLevel="0" collapsed="false">
      <c r="A372" s="14" t="s">
        <v>1527</v>
      </c>
      <c r="B372" s="15" t="s">
        <v>1528</v>
      </c>
      <c r="C372" s="14" t="s">
        <v>1527</v>
      </c>
      <c r="D372" s="9" t="n">
        <v>23</v>
      </c>
      <c r="E372" s="10" t="s">
        <v>441</v>
      </c>
      <c r="F372" s="10" t="s">
        <v>70</v>
      </c>
      <c r="G372" s="10" t="s">
        <v>1523</v>
      </c>
      <c r="H372" s="16" t="n">
        <v>5</v>
      </c>
      <c r="I372" s="17" t="s">
        <v>967</v>
      </c>
      <c r="J372" s="18" t="s">
        <v>1529</v>
      </c>
      <c r="K372" s="13" t="s">
        <v>1525</v>
      </c>
      <c r="L372" s="12" t="s">
        <v>222</v>
      </c>
      <c r="M372" s="12" t="s">
        <v>1526</v>
      </c>
      <c r="N372" s="12" t="s">
        <v>23</v>
      </c>
    </row>
    <row r="373" customFormat="false" ht="36" hidden="false" customHeight="false" outlineLevel="0" collapsed="false">
      <c r="A373" s="20" t="s">
        <v>1530</v>
      </c>
      <c r="B373" s="15" t="s">
        <v>1531</v>
      </c>
      <c r="C373" s="20" t="s">
        <v>1530</v>
      </c>
      <c r="D373" s="9" t="n">
        <v>10</v>
      </c>
      <c r="E373" s="9" t="s">
        <v>142</v>
      </c>
      <c r="F373" s="10" t="s">
        <v>669</v>
      </c>
      <c r="G373" s="10" t="s">
        <v>1532</v>
      </c>
      <c r="H373" s="16" t="n">
        <v>5</v>
      </c>
      <c r="I373" s="17" t="s">
        <v>967</v>
      </c>
      <c r="J373" s="13" t="s">
        <v>1533</v>
      </c>
      <c r="K373" s="13" t="s">
        <v>608</v>
      </c>
      <c r="L373" s="12" t="s">
        <v>222</v>
      </c>
      <c r="M373" s="12" t="s">
        <v>816</v>
      </c>
      <c r="N373" s="12" t="s">
        <v>817</v>
      </c>
    </row>
    <row r="374" customFormat="false" ht="19" hidden="false" customHeight="false" outlineLevel="0" collapsed="false">
      <c r="A374" s="14" t="s">
        <v>1534</v>
      </c>
      <c r="B374" s="15" t="s">
        <v>1535</v>
      </c>
      <c r="C374" s="14" t="s">
        <v>1534</v>
      </c>
      <c r="D374" s="9" t="n">
        <v>20</v>
      </c>
      <c r="E374" s="9" t="s">
        <v>55</v>
      </c>
      <c r="F374" s="10" t="s">
        <v>1536</v>
      </c>
      <c r="G374" s="10" t="s">
        <v>1536</v>
      </c>
      <c r="H374" s="16" t="n">
        <v>5</v>
      </c>
      <c r="I374" s="17" t="s">
        <v>967</v>
      </c>
      <c r="J374" s="18" t="s">
        <v>1537</v>
      </c>
      <c r="K374" s="13" t="s">
        <v>502</v>
      </c>
      <c r="L374" s="12" t="s">
        <v>222</v>
      </c>
      <c r="M374" s="12" t="s">
        <v>969</v>
      </c>
      <c r="N374" s="12" t="s">
        <v>306</v>
      </c>
    </row>
    <row r="375" customFormat="false" ht="27.5" hidden="false" customHeight="false" outlineLevel="0" collapsed="false">
      <c r="A375" s="7" t="s">
        <v>1538</v>
      </c>
      <c r="B375" s="8" t="s">
        <v>1539</v>
      </c>
      <c r="C375" s="7" t="s">
        <v>1538</v>
      </c>
      <c r="D375" s="9" t="n">
        <v>20</v>
      </c>
      <c r="E375" s="9" t="s">
        <v>53</v>
      </c>
      <c r="F375" s="10" t="s">
        <v>1536</v>
      </c>
      <c r="G375" s="10" t="s">
        <v>1536</v>
      </c>
      <c r="H375" s="16" t="n">
        <v>5</v>
      </c>
      <c r="I375" s="17" t="s">
        <v>967</v>
      </c>
      <c r="J375" s="18" t="s">
        <v>1540</v>
      </c>
      <c r="K375" s="13" t="s">
        <v>1051</v>
      </c>
      <c r="L375" s="12" t="s">
        <v>222</v>
      </c>
      <c r="M375" s="12" t="s">
        <v>969</v>
      </c>
      <c r="N375" s="12" t="s">
        <v>306</v>
      </c>
    </row>
    <row r="376" customFormat="false" ht="27.5" hidden="false" customHeight="false" outlineLevel="0" collapsed="false">
      <c r="A376" s="7" t="s">
        <v>1541</v>
      </c>
      <c r="B376" s="8" t="s">
        <v>1542</v>
      </c>
      <c r="C376" s="7" t="s">
        <v>1541</v>
      </c>
      <c r="D376" s="9" t="n">
        <v>6</v>
      </c>
      <c r="E376" s="10" t="s">
        <v>180</v>
      </c>
      <c r="F376" s="10" t="s">
        <v>1069</v>
      </c>
      <c r="G376" s="10" t="s">
        <v>1536</v>
      </c>
      <c r="H376" s="16" t="n">
        <v>5</v>
      </c>
      <c r="I376" s="17" t="s">
        <v>967</v>
      </c>
      <c r="J376" s="12" t="s">
        <v>1543</v>
      </c>
      <c r="K376" s="13" t="s">
        <v>1405</v>
      </c>
      <c r="L376" s="12" t="s">
        <v>222</v>
      </c>
      <c r="M376" s="12" t="s">
        <v>816</v>
      </c>
      <c r="N376" s="12" t="s">
        <v>817</v>
      </c>
    </row>
    <row r="377" customFormat="false" ht="70" hidden="false" customHeight="false" outlineLevel="0" collapsed="false">
      <c r="A377" s="20" t="s">
        <v>1544</v>
      </c>
      <c r="B377" s="15" t="s">
        <v>1545</v>
      </c>
      <c r="C377" s="20" t="s">
        <v>1544</v>
      </c>
      <c r="D377" s="9" t="n">
        <v>22</v>
      </c>
      <c r="E377" s="9" t="s">
        <v>47</v>
      </c>
      <c r="F377" s="10" t="s">
        <v>872</v>
      </c>
      <c r="G377" s="10" t="s">
        <v>873</v>
      </c>
      <c r="H377" s="16" t="n">
        <v>5</v>
      </c>
      <c r="I377" s="17" t="s">
        <v>967</v>
      </c>
      <c r="J377" s="13" t="s">
        <v>1546</v>
      </c>
      <c r="K377" s="13" t="s">
        <v>1547</v>
      </c>
      <c r="L377" s="12" t="s">
        <v>222</v>
      </c>
      <c r="M377" s="12" t="s">
        <v>816</v>
      </c>
      <c r="N377" s="12" t="s">
        <v>817</v>
      </c>
    </row>
    <row r="378" customFormat="false" ht="36" hidden="false" customHeight="false" outlineLevel="0" collapsed="false">
      <c r="A378" s="20" t="s">
        <v>1548</v>
      </c>
      <c r="B378" s="15" t="s">
        <v>1549</v>
      </c>
      <c r="C378" s="20" t="s">
        <v>1548</v>
      </c>
      <c r="D378" s="9" t="n">
        <v>22</v>
      </c>
      <c r="E378" s="9" t="s">
        <v>47</v>
      </c>
      <c r="F378" s="10" t="s">
        <v>1550</v>
      </c>
      <c r="G378" s="10" t="s">
        <v>1550</v>
      </c>
      <c r="H378" s="16" t="n">
        <v>5</v>
      </c>
      <c r="I378" s="17" t="s">
        <v>967</v>
      </c>
      <c r="J378" s="13" t="s">
        <v>1551</v>
      </c>
      <c r="K378" s="13" t="s">
        <v>1552</v>
      </c>
      <c r="L378" s="12" t="s">
        <v>222</v>
      </c>
      <c r="M378" s="12" t="s">
        <v>816</v>
      </c>
      <c r="N378" s="12" t="s">
        <v>817</v>
      </c>
    </row>
    <row r="379" customFormat="false" ht="27.5" hidden="false" customHeight="false" outlineLevel="0" collapsed="false">
      <c r="A379" s="20" t="s">
        <v>1553</v>
      </c>
      <c r="B379" s="15" t="s">
        <v>1554</v>
      </c>
      <c r="C379" s="20" t="s">
        <v>1553</v>
      </c>
      <c r="D379" s="9" t="n">
        <v>17</v>
      </c>
      <c r="E379" s="9" t="s">
        <v>415</v>
      </c>
      <c r="F379" s="10" t="s">
        <v>416</v>
      </c>
      <c r="G379" s="10" t="s">
        <v>417</v>
      </c>
      <c r="H379" s="16" t="n">
        <v>5</v>
      </c>
      <c r="I379" s="17" t="s">
        <v>967</v>
      </c>
      <c r="J379" s="13" t="s">
        <v>1555</v>
      </c>
      <c r="K379" s="13" t="s">
        <v>1556</v>
      </c>
      <c r="L379" s="12" t="s">
        <v>222</v>
      </c>
      <c r="M379" s="12" t="s">
        <v>816</v>
      </c>
      <c r="N379" s="12" t="s">
        <v>817</v>
      </c>
    </row>
    <row r="380" customFormat="false" ht="27.5" hidden="false" customHeight="false" outlineLevel="0" collapsed="false">
      <c r="A380" s="7" t="s">
        <v>1557</v>
      </c>
      <c r="B380" s="8" t="s">
        <v>1558</v>
      </c>
      <c r="C380" s="7" t="s">
        <v>1557</v>
      </c>
      <c r="D380" s="9" t="n">
        <v>2</v>
      </c>
      <c r="E380" s="10" t="s">
        <v>226</v>
      </c>
      <c r="F380" s="10" t="s">
        <v>226</v>
      </c>
      <c r="G380" s="10" t="s">
        <v>226</v>
      </c>
      <c r="H380" s="16" t="n">
        <v>5</v>
      </c>
      <c r="I380" s="17" t="s">
        <v>967</v>
      </c>
      <c r="J380" s="12" t="s">
        <v>1559</v>
      </c>
      <c r="K380" s="13" t="s">
        <v>1560</v>
      </c>
      <c r="L380" s="12" t="s">
        <v>222</v>
      </c>
      <c r="M380" s="12" t="s">
        <v>816</v>
      </c>
      <c r="N380" s="12" t="s">
        <v>817</v>
      </c>
    </row>
    <row r="381" customFormat="false" ht="27.5" hidden="false" customHeight="false" outlineLevel="0" collapsed="false">
      <c r="A381" s="20" t="s">
        <v>1561</v>
      </c>
      <c r="B381" s="15" t="s">
        <v>1562</v>
      </c>
      <c r="C381" s="20" t="s">
        <v>1561</v>
      </c>
      <c r="D381" s="9" t="n">
        <v>4</v>
      </c>
      <c r="E381" s="9" t="s">
        <v>15</v>
      </c>
      <c r="F381" s="10" t="s">
        <v>1472</v>
      </c>
      <c r="G381" s="10" t="s">
        <v>1472</v>
      </c>
      <c r="H381" s="16" t="n">
        <v>5</v>
      </c>
      <c r="I381" s="17" t="s">
        <v>967</v>
      </c>
      <c r="J381" s="13" t="s">
        <v>1563</v>
      </c>
      <c r="K381" s="13" t="s">
        <v>1350</v>
      </c>
      <c r="L381" s="12" t="s">
        <v>222</v>
      </c>
      <c r="M381" s="12" t="s">
        <v>816</v>
      </c>
      <c r="N381" s="12" t="s">
        <v>306</v>
      </c>
    </row>
    <row r="382" customFormat="false" ht="44.5" hidden="false" customHeight="false" outlineLevel="0" collapsed="false">
      <c r="A382" s="14" t="s">
        <v>1564</v>
      </c>
      <c r="B382" s="15" t="s">
        <v>1565</v>
      </c>
      <c r="C382" s="14" t="s">
        <v>1564</v>
      </c>
      <c r="D382" s="9" t="n">
        <v>4</v>
      </c>
      <c r="E382" s="9" t="s">
        <v>15</v>
      </c>
      <c r="F382" s="10" t="s">
        <v>1472</v>
      </c>
      <c r="G382" s="10" t="s">
        <v>1472</v>
      </c>
      <c r="H382" s="16" t="n">
        <v>5</v>
      </c>
      <c r="I382" s="17" t="s">
        <v>967</v>
      </c>
      <c r="J382" s="18" t="s">
        <v>1566</v>
      </c>
      <c r="K382" s="18" t="s">
        <v>1567</v>
      </c>
      <c r="L382" s="12" t="s">
        <v>222</v>
      </c>
      <c r="M382" s="12" t="s">
        <v>816</v>
      </c>
      <c r="N382" s="12" t="s">
        <v>306</v>
      </c>
    </row>
    <row r="383" customFormat="false" ht="36" hidden="false" customHeight="false" outlineLevel="0" collapsed="false">
      <c r="A383" s="20" t="s">
        <v>1568</v>
      </c>
      <c r="B383" s="15" t="s">
        <v>1569</v>
      </c>
      <c r="C383" s="20" t="s">
        <v>1568</v>
      </c>
      <c r="D383" s="9" t="n">
        <v>6</v>
      </c>
      <c r="E383" s="9" t="s">
        <v>180</v>
      </c>
      <c r="F383" s="10" t="s">
        <v>426</v>
      </c>
      <c r="G383" s="10" t="s">
        <v>427</v>
      </c>
      <c r="H383" s="16" t="n">
        <v>5</v>
      </c>
      <c r="I383" s="17" t="s">
        <v>967</v>
      </c>
      <c r="J383" s="13" t="s">
        <v>1570</v>
      </c>
      <c r="K383" s="13" t="s">
        <v>1571</v>
      </c>
      <c r="L383" s="12" t="s">
        <v>222</v>
      </c>
      <c r="M383" s="12" t="s">
        <v>816</v>
      </c>
      <c r="N383" s="12" t="s">
        <v>306</v>
      </c>
    </row>
    <row r="384" customFormat="false" ht="36" hidden="false" customHeight="false" outlineLevel="0" collapsed="false">
      <c r="A384" s="20" t="s">
        <v>1572</v>
      </c>
      <c r="B384" s="15" t="s">
        <v>1573</v>
      </c>
      <c r="C384" s="20" t="s">
        <v>1572</v>
      </c>
      <c r="D384" s="9" t="n">
        <v>11</v>
      </c>
      <c r="E384" s="10" t="s">
        <v>69</v>
      </c>
      <c r="F384" s="10" t="s">
        <v>432</v>
      </c>
      <c r="G384" s="10" t="s">
        <v>432</v>
      </c>
      <c r="H384" s="16" t="n">
        <v>5</v>
      </c>
      <c r="I384" s="17" t="s">
        <v>967</v>
      </c>
      <c r="J384" s="13" t="s">
        <v>433</v>
      </c>
      <c r="K384" s="13" t="s">
        <v>882</v>
      </c>
      <c r="L384" s="12" t="s">
        <v>222</v>
      </c>
      <c r="M384" s="12" t="s">
        <v>816</v>
      </c>
      <c r="N384" s="12" t="s">
        <v>817</v>
      </c>
    </row>
    <row r="385" customFormat="false" ht="19" hidden="false" customHeight="false" outlineLevel="0" collapsed="false">
      <c r="A385" s="7" t="s">
        <v>1574</v>
      </c>
      <c r="B385" s="8" t="s">
        <v>1575</v>
      </c>
      <c r="C385" s="7" t="s">
        <v>1574</v>
      </c>
      <c r="D385" s="9" t="n">
        <v>11</v>
      </c>
      <c r="E385" s="10" t="s">
        <v>69</v>
      </c>
      <c r="F385" s="10" t="s">
        <v>432</v>
      </c>
      <c r="G385" s="10" t="s">
        <v>432</v>
      </c>
      <c r="H385" s="16" t="n">
        <v>5</v>
      </c>
      <c r="I385" s="17" t="s">
        <v>967</v>
      </c>
      <c r="J385" s="12" t="s">
        <v>1576</v>
      </c>
      <c r="K385" s="13" t="s">
        <v>196</v>
      </c>
      <c r="L385" s="12" t="s">
        <v>222</v>
      </c>
      <c r="M385" s="12" t="s">
        <v>816</v>
      </c>
      <c r="N385" s="12" t="s">
        <v>817</v>
      </c>
    </row>
    <row r="386" customFormat="false" ht="27.5" hidden="false" customHeight="false" outlineLevel="0" collapsed="false">
      <c r="A386" s="20" t="s">
        <v>1577</v>
      </c>
      <c r="B386" s="15" t="s">
        <v>1578</v>
      </c>
      <c r="C386" s="20" t="s">
        <v>1577</v>
      </c>
      <c r="D386" s="9" t="n">
        <v>11</v>
      </c>
      <c r="E386" s="10" t="s">
        <v>69</v>
      </c>
      <c r="F386" s="10" t="s">
        <v>747</v>
      </c>
      <c r="G386" s="10" t="s">
        <v>885</v>
      </c>
      <c r="H386" s="16" t="n">
        <v>5</v>
      </c>
      <c r="I386" s="17" t="s">
        <v>967</v>
      </c>
      <c r="J386" s="13" t="s">
        <v>1579</v>
      </c>
      <c r="K386" s="13" t="s">
        <v>1580</v>
      </c>
      <c r="L386" s="12" t="s">
        <v>222</v>
      </c>
      <c r="M386" s="12" t="s">
        <v>816</v>
      </c>
      <c r="N386" s="12" t="s">
        <v>817</v>
      </c>
    </row>
    <row r="387" customFormat="false" ht="36" hidden="false" customHeight="false" outlineLevel="0" collapsed="false">
      <c r="A387" s="7" t="s">
        <v>1581</v>
      </c>
      <c r="B387" s="8" t="s">
        <v>1582</v>
      </c>
      <c r="C387" s="7" t="s">
        <v>1581</v>
      </c>
      <c r="D387" s="9" t="n">
        <v>11</v>
      </c>
      <c r="E387" s="10" t="s">
        <v>69</v>
      </c>
      <c r="F387" s="10" t="s">
        <v>747</v>
      </c>
      <c r="G387" s="10" t="s">
        <v>885</v>
      </c>
      <c r="H387" s="16" t="n">
        <v>5</v>
      </c>
      <c r="I387" s="17" t="s">
        <v>967</v>
      </c>
      <c r="J387" s="12" t="s">
        <v>1583</v>
      </c>
      <c r="K387" s="13" t="s">
        <v>1580</v>
      </c>
      <c r="L387" s="12" t="s">
        <v>222</v>
      </c>
      <c r="M387" s="12" t="s">
        <v>816</v>
      </c>
      <c r="N387" s="12" t="s">
        <v>817</v>
      </c>
    </row>
    <row r="388" customFormat="false" ht="53" hidden="false" customHeight="false" outlineLevel="0" collapsed="false">
      <c r="A388" s="20" t="s">
        <v>1584</v>
      </c>
      <c r="B388" s="15" t="s">
        <v>1585</v>
      </c>
      <c r="C388" s="20" t="s">
        <v>1584</v>
      </c>
      <c r="D388" s="9" t="n">
        <v>22</v>
      </c>
      <c r="E388" s="9" t="s">
        <v>47</v>
      </c>
      <c r="F388" s="10" t="s">
        <v>151</v>
      </c>
      <c r="G388" s="10" t="s">
        <v>151</v>
      </c>
      <c r="H388" s="16" t="n">
        <v>5</v>
      </c>
      <c r="I388" s="17" t="s">
        <v>967</v>
      </c>
      <c r="J388" s="13" t="s">
        <v>1586</v>
      </c>
      <c r="K388" s="13" t="s">
        <v>1587</v>
      </c>
      <c r="L388" s="12" t="s">
        <v>222</v>
      </c>
      <c r="M388" s="12" t="s">
        <v>816</v>
      </c>
      <c r="N388" s="12" t="s">
        <v>817</v>
      </c>
    </row>
    <row r="389" customFormat="false" ht="44.5" hidden="false" customHeight="false" outlineLevel="0" collapsed="false">
      <c r="A389" s="7" t="s">
        <v>1588</v>
      </c>
      <c r="B389" s="8" t="s">
        <v>1589</v>
      </c>
      <c r="C389" s="7" t="s">
        <v>1588</v>
      </c>
      <c r="D389" s="9" t="n">
        <v>6</v>
      </c>
      <c r="E389" s="10" t="s">
        <v>180</v>
      </c>
      <c r="F389" s="10" t="s">
        <v>1590</v>
      </c>
      <c r="G389" s="10" t="s">
        <v>1591</v>
      </c>
      <c r="H389" s="16" t="n">
        <v>5</v>
      </c>
      <c r="I389" s="17" t="s">
        <v>967</v>
      </c>
      <c r="J389" s="12" t="s">
        <v>1592</v>
      </c>
      <c r="K389" s="13" t="s">
        <v>1076</v>
      </c>
      <c r="L389" s="12" t="s">
        <v>222</v>
      </c>
      <c r="M389" s="12" t="s">
        <v>969</v>
      </c>
      <c r="N389" s="12" t="s">
        <v>306</v>
      </c>
    </row>
    <row r="390" customFormat="false" ht="44.5" hidden="false" customHeight="false" outlineLevel="0" collapsed="false">
      <c r="A390" s="7" t="s">
        <v>1593</v>
      </c>
      <c r="B390" s="8" t="s">
        <v>1594</v>
      </c>
      <c r="C390" s="7" t="s">
        <v>1593</v>
      </c>
      <c r="D390" s="9" t="n">
        <v>6</v>
      </c>
      <c r="E390" s="10" t="s">
        <v>180</v>
      </c>
      <c r="F390" s="10" t="s">
        <v>1590</v>
      </c>
      <c r="G390" s="10" t="s">
        <v>1591</v>
      </c>
      <c r="H390" s="16" t="n">
        <v>5</v>
      </c>
      <c r="I390" s="17" t="s">
        <v>967</v>
      </c>
      <c r="J390" s="12" t="s">
        <v>1592</v>
      </c>
      <c r="K390" s="12" t="s">
        <v>1405</v>
      </c>
      <c r="L390" s="12" t="s">
        <v>222</v>
      </c>
      <c r="M390" s="12" t="s">
        <v>816</v>
      </c>
      <c r="N390" s="12" t="s">
        <v>306</v>
      </c>
    </row>
    <row r="391" customFormat="false" ht="19" hidden="false" customHeight="false" outlineLevel="0" collapsed="false">
      <c r="A391" s="7" t="s">
        <v>1595</v>
      </c>
      <c r="B391" s="8" t="s">
        <v>1596</v>
      </c>
      <c r="C391" s="7" t="s">
        <v>1595</v>
      </c>
      <c r="D391" s="9" t="n">
        <v>20</v>
      </c>
      <c r="E391" s="9" t="s">
        <v>53</v>
      </c>
      <c r="F391" s="10" t="s">
        <v>203</v>
      </c>
      <c r="G391" s="10" t="s">
        <v>203</v>
      </c>
      <c r="H391" s="16" t="n">
        <v>5</v>
      </c>
      <c r="I391" s="17" t="s">
        <v>967</v>
      </c>
      <c r="J391" s="12" t="s">
        <v>1597</v>
      </c>
      <c r="K391" s="13" t="s">
        <v>1598</v>
      </c>
      <c r="L391" s="12" t="s">
        <v>222</v>
      </c>
      <c r="M391" s="12" t="s">
        <v>1391</v>
      </c>
      <c r="N391" s="12" t="s">
        <v>1392</v>
      </c>
    </row>
    <row r="392" customFormat="false" ht="36" hidden="false" customHeight="false" outlineLevel="0" collapsed="false">
      <c r="A392" s="7" t="s">
        <v>1599</v>
      </c>
      <c r="B392" s="8" t="s">
        <v>1600</v>
      </c>
      <c r="C392" s="7" t="s">
        <v>1599</v>
      </c>
      <c r="D392" s="9" t="n">
        <v>3</v>
      </c>
      <c r="E392" s="10" t="s">
        <v>39</v>
      </c>
      <c r="F392" s="10" t="s">
        <v>436</v>
      </c>
      <c r="G392" s="10" t="s">
        <v>436</v>
      </c>
      <c r="H392" s="16" t="n">
        <v>5</v>
      </c>
      <c r="I392" s="17" t="s">
        <v>967</v>
      </c>
      <c r="J392" s="12" t="s">
        <v>1601</v>
      </c>
      <c r="K392" s="13" t="s">
        <v>1602</v>
      </c>
      <c r="L392" s="12" t="s">
        <v>222</v>
      </c>
      <c r="M392" s="12" t="s">
        <v>816</v>
      </c>
      <c r="N392" s="12" t="s">
        <v>817</v>
      </c>
    </row>
    <row r="393" customFormat="false" ht="53" hidden="false" customHeight="false" outlineLevel="0" collapsed="false">
      <c r="A393" s="20" t="s">
        <v>1603</v>
      </c>
      <c r="B393" s="15" t="s">
        <v>1604</v>
      </c>
      <c r="C393" s="20" t="s">
        <v>1603</v>
      </c>
      <c r="D393" s="9" t="n">
        <v>22</v>
      </c>
      <c r="E393" s="9" t="s">
        <v>47</v>
      </c>
      <c r="F393" s="10" t="s">
        <v>906</v>
      </c>
      <c r="G393" s="10" t="s">
        <v>907</v>
      </c>
      <c r="H393" s="16" t="n">
        <v>5</v>
      </c>
      <c r="I393" s="17" t="s">
        <v>967</v>
      </c>
      <c r="J393" s="13" t="s">
        <v>1605</v>
      </c>
      <c r="K393" s="13" t="s">
        <v>1606</v>
      </c>
      <c r="L393" s="12" t="s">
        <v>222</v>
      </c>
      <c r="M393" s="12" t="s">
        <v>816</v>
      </c>
      <c r="N393" s="12" t="s">
        <v>817</v>
      </c>
    </row>
    <row r="394" customFormat="false" ht="36" hidden="false" customHeight="false" outlineLevel="0" collapsed="false">
      <c r="A394" s="7" t="s">
        <v>1607</v>
      </c>
      <c r="B394" s="8" t="s">
        <v>1608</v>
      </c>
      <c r="C394" s="7" t="s">
        <v>1607</v>
      </c>
      <c r="D394" s="9" t="n">
        <v>24</v>
      </c>
      <c r="E394" s="10" t="s">
        <v>1342</v>
      </c>
      <c r="F394" s="10" t="s">
        <v>1609</v>
      </c>
      <c r="G394" s="10" t="n">
        <v>0</v>
      </c>
      <c r="H394" s="16" t="n">
        <v>5</v>
      </c>
      <c r="I394" s="17" t="s">
        <v>967</v>
      </c>
      <c r="J394" s="12" t="s">
        <v>1610</v>
      </c>
      <c r="K394" s="13" t="s">
        <v>196</v>
      </c>
      <c r="L394" s="12" t="s">
        <v>222</v>
      </c>
      <c r="M394" s="12" t="s">
        <v>816</v>
      </c>
      <c r="N394" s="12" t="s">
        <v>817</v>
      </c>
    </row>
    <row r="395" customFormat="false" ht="27.5" hidden="false" customHeight="false" outlineLevel="0" collapsed="false">
      <c r="A395" s="7" t="s">
        <v>1611</v>
      </c>
      <c r="B395" s="8" t="s">
        <v>1612</v>
      </c>
      <c r="C395" s="7" t="s">
        <v>1611</v>
      </c>
      <c r="D395" s="9" t="n">
        <v>22</v>
      </c>
      <c r="E395" s="9" t="s">
        <v>47</v>
      </c>
      <c r="F395" s="10" t="s">
        <v>863</v>
      </c>
      <c r="G395" s="10" t="n">
        <v>0</v>
      </c>
      <c r="H395" s="16" t="n">
        <v>5</v>
      </c>
      <c r="I395" s="17" t="s">
        <v>967</v>
      </c>
      <c r="J395" s="12" t="s">
        <v>1613</v>
      </c>
      <c r="K395" s="12" t="s">
        <v>815</v>
      </c>
      <c r="L395" s="12" t="s">
        <v>222</v>
      </c>
      <c r="M395" s="12" t="s">
        <v>816</v>
      </c>
      <c r="N395" s="12" t="s">
        <v>817</v>
      </c>
    </row>
    <row r="396" customFormat="false" ht="27.5" hidden="false" customHeight="false" outlineLevel="0" collapsed="false">
      <c r="A396" s="20" t="s">
        <v>1614</v>
      </c>
      <c r="B396" s="15" t="s">
        <v>1612</v>
      </c>
      <c r="C396" s="20" t="s">
        <v>1614</v>
      </c>
      <c r="D396" s="9" t="n">
        <v>22</v>
      </c>
      <c r="E396" s="9" t="s">
        <v>47</v>
      </c>
      <c r="F396" s="10" t="s">
        <v>863</v>
      </c>
      <c r="G396" s="10" t="n">
        <v>0</v>
      </c>
      <c r="H396" s="16" t="n">
        <v>5</v>
      </c>
      <c r="I396" s="17" t="s">
        <v>967</v>
      </c>
      <c r="J396" s="13" t="s">
        <v>1615</v>
      </c>
      <c r="K396" s="12" t="s">
        <v>1616</v>
      </c>
      <c r="L396" s="12" t="s">
        <v>222</v>
      </c>
      <c r="M396" s="12" t="s">
        <v>816</v>
      </c>
      <c r="N396" s="12" t="s">
        <v>817</v>
      </c>
    </row>
    <row r="397" customFormat="false" ht="36" hidden="false" customHeight="false" outlineLevel="0" collapsed="false">
      <c r="A397" s="7" t="s">
        <v>1617</v>
      </c>
      <c r="B397" s="8" t="s">
        <v>1618</v>
      </c>
      <c r="C397" s="7" t="s">
        <v>1617</v>
      </c>
      <c r="D397" s="9" t="n">
        <v>23</v>
      </c>
      <c r="E397" s="10" t="s">
        <v>230</v>
      </c>
      <c r="F397" s="10" t="s">
        <v>1619</v>
      </c>
      <c r="G397" s="10" t="n">
        <v>0</v>
      </c>
      <c r="H397" s="16" t="n">
        <v>5</v>
      </c>
      <c r="I397" s="17" t="s">
        <v>967</v>
      </c>
      <c r="J397" s="12" t="s">
        <v>1620</v>
      </c>
      <c r="K397" s="12" t="s">
        <v>196</v>
      </c>
      <c r="L397" s="12" t="s">
        <v>222</v>
      </c>
      <c r="M397" s="12" t="s">
        <v>816</v>
      </c>
      <c r="N397" s="12" t="s">
        <v>817</v>
      </c>
    </row>
    <row r="398" customFormat="false" ht="36" hidden="false" customHeight="false" outlineLevel="0" collapsed="false">
      <c r="A398" s="7" t="s">
        <v>1621</v>
      </c>
      <c r="B398" s="8" t="s">
        <v>1622</v>
      </c>
      <c r="C398" s="7" t="s">
        <v>1621</v>
      </c>
      <c r="D398" s="9" t="n">
        <v>16</v>
      </c>
      <c r="E398" s="10" t="s">
        <v>168</v>
      </c>
      <c r="F398" s="10" t="n">
        <v>0</v>
      </c>
      <c r="G398" s="10" t="n">
        <v>0</v>
      </c>
      <c r="H398" s="16" t="n">
        <v>5</v>
      </c>
      <c r="I398" s="17" t="s">
        <v>967</v>
      </c>
      <c r="J398" s="12" t="s">
        <v>1623</v>
      </c>
      <c r="K398" s="12" t="s">
        <v>1624</v>
      </c>
      <c r="L398" s="12" t="s">
        <v>222</v>
      </c>
      <c r="M398" s="12" t="s">
        <v>816</v>
      </c>
      <c r="N398" s="12" t="s">
        <v>306</v>
      </c>
    </row>
    <row r="399" customFormat="false" ht="27.5" hidden="false" customHeight="false" outlineLevel="0" collapsed="false">
      <c r="A399" s="7" t="s">
        <v>1625</v>
      </c>
      <c r="B399" s="8" t="s">
        <v>1626</v>
      </c>
      <c r="C399" s="7" t="s">
        <v>1625</v>
      </c>
      <c r="D399" s="9" t="n">
        <v>22</v>
      </c>
      <c r="E399" s="9" t="s">
        <v>47</v>
      </c>
      <c r="F399" s="10" t="s">
        <v>237</v>
      </c>
      <c r="G399" s="10" t="n">
        <v>0</v>
      </c>
      <c r="H399" s="16" t="n">
        <v>5</v>
      </c>
      <c r="I399" s="17" t="s">
        <v>967</v>
      </c>
      <c r="J399" s="12" t="s">
        <v>1627</v>
      </c>
      <c r="K399" s="13" t="s">
        <v>1628</v>
      </c>
      <c r="L399" s="12" t="s">
        <v>222</v>
      </c>
      <c r="M399" s="12" t="s">
        <v>816</v>
      </c>
      <c r="N399" s="12" t="s">
        <v>817</v>
      </c>
    </row>
    <row r="400" customFormat="false" ht="36" hidden="false" customHeight="false" outlineLevel="0" collapsed="false">
      <c r="A400" s="7" t="s">
        <v>1629</v>
      </c>
      <c r="B400" s="8" t="s">
        <v>1630</v>
      </c>
      <c r="C400" s="7" t="s">
        <v>1629</v>
      </c>
      <c r="D400" s="9" t="n">
        <v>16</v>
      </c>
      <c r="E400" s="10" t="s">
        <v>168</v>
      </c>
      <c r="F400" s="10" t="n">
        <v>0</v>
      </c>
      <c r="G400" s="10" t="n">
        <v>0</v>
      </c>
      <c r="H400" s="16" t="n">
        <v>5</v>
      </c>
      <c r="I400" s="17" t="s">
        <v>967</v>
      </c>
      <c r="J400" s="12" t="s">
        <v>1631</v>
      </c>
      <c r="K400" s="12" t="s">
        <v>1624</v>
      </c>
      <c r="L400" s="12" t="s">
        <v>222</v>
      </c>
      <c r="M400" s="12" t="s">
        <v>816</v>
      </c>
      <c r="N400" s="12" t="s">
        <v>306</v>
      </c>
    </row>
    <row r="401" customFormat="false" ht="27.5" hidden="false" customHeight="false" outlineLevel="0" collapsed="false">
      <c r="A401" s="7" t="s">
        <v>1632</v>
      </c>
      <c r="B401" s="8" t="s">
        <v>1633</v>
      </c>
      <c r="C401" s="7" t="s">
        <v>1632</v>
      </c>
      <c r="D401" s="9" t="n">
        <v>24</v>
      </c>
      <c r="E401" s="10" t="s">
        <v>1342</v>
      </c>
      <c r="F401" s="10" t="s">
        <v>1634</v>
      </c>
      <c r="G401" s="10" t="n">
        <v>0</v>
      </c>
      <c r="H401" s="16" t="n">
        <v>5</v>
      </c>
      <c r="I401" s="17" t="s">
        <v>967</v>
      </c>
      <c r="J401" s="12" t="s">
        <v>1635</v>
      </c>
      <c r="K401" s="12" t="s">
        <v>1636</v>
      </c>
      <c r="L401" s="12" t="s">
        <v>222</v>
      </c>
      <c r="M401" s="12" t="s">
        <v>816</v>
      </c>
      <c r="N401" s="12" t="s">
        <v>817</v>
      </c>
    </row>
    <row r="402" customFormat="false" ht="44.5" hidden="false" customHeight="false" outlineLevel="0" collapsed="false">
      <c r="A402" s="20" t="s">
        <v>1637</v>
      </c>
      <c r="B402" s="15" t="s">
        <v>1638</v>
      </c>
      <c r="C402" s="20" t="s">
        <v>1637</v>
      </c>
      <c r="D402" s="9" t="n">
        <v>22</v>
      </c>
      <c r="E402" s="9" t="s">
        <v>47</v>
      </c>
      <c r="F402" s="10" t="s">
        <v>582</v>
      </c>
      <c r="G402" s="10" t="n">
        <v>0</v>
      </c>
      <c r="H402" s="16" t="n">
        <v>5</v>
      </c>
      <c r="I402" s="17" t="s">
        <v>967</v>
      </c>
      <c r="J402" s="13" t="s">
        <v>1639</v>
      </c>
      <c r="K402" s="13" t="s">
        <v>1640</v>
      </c>
      <c r="L402" s="12" t="s">
        <v>222</v>
      </c>
      <c r="M402" s="12" t="s">
        <v>816</v>
      </c>
      <c r="N402" s="12" t="s">
        <v>817</v>
      </c>
    </row>
    <row r="403" customFormat="false" ht="36" hidden="false" customHeight="false" outlineLevel="0" collapsed="false">
      <c r="A403" s="7" t="s">
        <v>1641</v>
      </c>
      <c r="B403" s="8" t="s">
        <v>1642</v>
      </c>
      <c r="C403" s="7" t="s">
        <v>1641</v>
      </c>
      <c r="D403" s="9" t="n">
        <v>25</v>
      </c>
      <c r="E403" s="10" t="s">
        <v>915</v>
      </c>
      <c r="F403" s="10" t="s">
        <v>916</v>
      </c>
      <c r="G403" s="10" t="n">
        <v>0</v>
      </c>
      <c r="H403" s="16" t="n">
        <v>5</v>
      </c>
      <c r="I403" s="17" t="s">
        <v>967</v>
      </c>
      <c r="J403" s="12" t="s">
        <v>1643</v>
      </c>
      <c r="K403" s="12" t="s">
        <v>196</v>
      </c>
      <c r="L403" s="12" t="s">
        <v>222</v>
      </c>
      <c r="M403" s="12" t="s">
        <v>816</v>
      </c>
      <c r="N403" s="12" t="s">
        <v>306</v>
      </c>
    </row>
    <row r="404" customFormat="false" ht="36" hidden="false" customHeight="false" outlineLevel="0" collapsed="false">
      <c r="A404" s="7" t="s">
        <v>1644</v>
      </c>
      <c r="B404" s="8" t="s">
        <v>1645</v>
      </c>
      <c r="C404" s="7" t="s">
        <v>1644</v>
      </c>
      <c r="D404" s="9" t="n">
        <v>16</v>
      </c>
      <c r="E404" s="10" t="s">
        <v>168</v>
      </c>
      <c r="F404" s="10" t="n">
        <v>0</v>
      </c>
      <c r="G404" s="10" t="n">
        <v>0</v>
      </c>
      <c r="H404" s="16" t="n">
        <v>5</v>
      </c>
      <c r="I404" s="17" t="s">
        <v>967</v>
      </c>
      <c r="J404" s="12" t="s">
        <v>1646</v>
      </c>
      <c r="K404" s="12" t="s">
        <v>1647</v>
      </c>
      <c r="L404" s="12" t="s">
        <v>222</v>
      </c>
      <c r="M404" s="12" t="s">
        <v>816</v>
      </c>
      <c r="N404" s="12" t="s">
        <v>306</v>
      </c>
    </row>
    <row r="405" customFormat="false" ht="27.5" hidden="false" customHeight="false" outlineLevel="0" collapsed="false">
      <c r="A405" s="7" t="s">
        <v>1648</v>
      </c>
      <c r="B405" s="8" t="s">
        <v>1649</v>
      </c>
      <c r="C405" s="7" t="s">
        <v>1648</v>
      </c>
      <c r="D405" s="9" t="n">
        <v>22</v>
      </c>
      <c r="E405" s="9" t="s">
        <v>47</v>
      </c>
      <c r="F405" s="10" t="s">
        <v>164</v>
      </c>
      <c r="G405" s="10" t="n">
        <v>0</v>
      </c>
      <c r="H405" s="16" t="n">
        <v>5</v>
      </c>
      <c r="I405" s="17" t="s">
        <v>967</v>
      </c>
      <c r="J405" s="12" t="s">
        <v>1650</v>
      </c>
      <c r="K405" s="13" t="s">
        <v>1015</v>
      </c>
      <c r="L405" s="12" t="s">
        <v>222</v>
      </c>
      <c r="M405" s="12" t="s">
        <v>816</v>
      </c>
      <c r="N405" s="12" t="s">
        <v>306</v>
      </c>
    </row>
    <row r="406" customFormat="false" ht="36" hidden="false" customHeight="false" outlineLevel="0" collapsed="false">
      <c r="A406" s="7" t="s">
        <v>1651</v>
      </c>
      <c r="B406" s="8" t="s">
        <v>1652</v>
      </c>
      <c r="C406" s="7" t="s">
        <v>1651</v>
      </c>
      <c r="D406" s="9" t="n">
        <v>3</v>
      </c>
      <c r="E406" s="10" t="s">
        <v>39</v>
      </c>
      <c r="F406" s="10" t="s">
        <v>40</v>
      </c>
      <c r="G406" s="10" t="s">
        <v>40</v>
      </c>
      <c r="H406" s="8" t="n">
        <v>6</v>
      </c>
      <c r="I406" s="11" t="s">
        <v>1653</v>
      </c>
      <c r="J406" s="12" t="s">
        <v>1654</v>
      </c>
      <c r="K406" s="13" t="s">
        <v>467</v>
      </c>
      <c r="L406" s="12" t="s">
        <v>222</v>
      </c>
      <c r="M406" s="12" t="s">
        <v>1102</v>
      </c>
      <c r="N406" s="12" t="s">
        <v>817</v>
      </c>
    </row>
    <row r="407" customFormat="false" ht="27.5" hidden="false" customHeight="false" outlineLevel="0" collapsed="false">
      <c r="A407" s="20" t="s">
        <v>1655</v>
      </c>
      <c r="B407" s="8" t="s">
        <v>1656</v>
      </c>
      <c r="C407" s="20" t="s">
        <v>1655</v>
      </c>
      <c r="D407" s="9" t="n">
        <v>3</v>
      </c>
      <c r="E407" s="9" t="s">
        <v>39</v>
      </c>
      <c r="F407" s="10" t="s">
        <v>40</v>
      </c>
      <c r="G407" s="10" t="s">
        <v>40</v>
      </c>
      <c r="H407" s="8" t="n">
        <v>6</v>
      </c>
      <c r="I407" s="11" t="s">
        <v>1653</v>
      </c>
      <c r="J407" s="13" t="s">
        <v>1657</v>
      </c>
      <c r="K407" s="13" t="s">
        <v>1658</v>
      </c>
      <c r="L407" s="12" t="s">
        <v>222</v>
      </c>
      <c r="M407" s="12" t="s">
        <v>1102</v>
      </c>
      <c r="N407" s="12" t="s">
        <v>817</v>
      </c>
    </row>
    <row r="408" customFormat="false" ht="36" hidden="false" customHeight="false" outlineLevel="0" collapsed="false">
      <c r="A408" s="20" t="s">
        <v>1659</v>
      </c>
      <c r="B408" s="8" t="s">
        <v>1660</v>
      </c>
      <c r="C408" s="20" t="s">
        <v>1659</v>
      </c>
      <c r="D408" s="9" t="n">
        <v>19</v>
      </c>
      <c r="E408" s="9" t="s">
        <v>83</v>
      </c>
      <c r="F408" s="10" t="s">
        <v>474</v>
      </c>
      <c r="G408" s="10" t="s">
        <v>474</v>
      </c>
      <c r="H408" s="8" t="n">
        <v>6</v>
      </c>
      <c r="I408" s="11" t="s">
        <v>1653</v>
      </c>
      <c r="J408" s="13" t="s">
        <v>1661</v>
      </c>
      <c r="K408" s="13" t="s">
        <v>1662</v>
      </c>
      <c r="L408" s="12" t="s">
        <v>222</v>
      </c>
      <c r="M408" s="12" t="s">
        <v>1526</v>
      </c>
      <c r="N408" s="12" t="s">
        <v>817</v>
      </c>
    </row>
    <row r="409" customFormat="false" ht="44.5" hidden="false" customHeight="false" outlineLevel="0" collapsed="false">
      <c r="A409" s="14" t="s">
        <v>1663</v>
      </c>
      <c r="B409" s="8" t="s">
        <v>1664</v>
      </c>
      <c r="C409" s="14" t="s">
        <v>1663</v>
      </c>
      <c r="D409" s="9" t="n">
        <v>19</v>
      </c>
      <c r="E409" s="9" t="s">
        <v>83</v>
      </c>
      <c r="F409" s="10" t="s">
        <v>40</v>
      </c>
      <c r="G409" s="10" t="s">
        <v>474</v>
      </c>
      <c r="H409" s="8" t="n">
        <v>6</v>
      </c>
      <c r="I409" s="11" t="s">
        <v>1653</v>
      </c>
      <c r="J409" s="21" t="s">
        <v>1665</v>
      </c>
      <c r="K409" s="13" t="s">
        <v>1662</v>
      </c>
      <c r="L409" s="12" t="s">
        <v>222</v>
      </c>
      <c r="M409" s="12" t="s">
        <v>816</v>
      </c>
      <c r="N409" s="12" t="s">
        <v>817</v>
      </c>
    </row>
    <row r="410" customFormat="false" ht="44.5" hidden="false" customHeight="false" outlineLevel="0" collapsed="false">
      <c r="A410" s="14" t="s">
        <v>1666</v>
      </c>
      <c r="B410" s="8" t="s">
        <v>1667</v>
      </c>
      <c r="C410" s="14" t="s">
        <v>1666</v>
      </c>
      <c r="D410" s="9" t="n">
        <v>19</v>
      </c>
      <c r="E410" s="9" t="s">
        <v>83</v>
      </c>
      <c r="F410" s="10" t="s">
        <v>40</v>
      </c>
      <c r="G410" s="10" t="s">
        <v>474</v>
      </c>
      <c r="H410" s="8" t="n">
        <v>6</v>
      </c>
      <c r="I410" s="11" t="s">
        <v>1653</v>
      </c>
      <c r="J410" s="21" t="s">
        <v>1668</v>
      </c>
      <c r="K410" s="13" t="s">
        <v>1662</v>
      </c>
      <c r="L410" s="12" t="s">
        <v>222</v>
      </c>
      <c r="M410" s="12" t="s">
        <v>816</v>
      </c>
      <c r="N410" s="12" t="s">
        <v>817</v>
      </c>
    </row>
    <row r="411" customFormat="false" ht="36" hidden="false" customHeight="false" outlineLevel="0" collapsed="false">
      <c r="A411" s="14" t="s">
        <v>1669</v>
      </c>
      <c r="B411" s="8" t="s">
        <v>1670</v>
      </c>
      <c r="C411" s="14" t="s">
        <v>1669</v>
      </c>
      <c r="D411" s="9" t="n">
        <v>19</v>
      </c>
      <c r="E411" s="9" t="s">
        <v>83</v>
      </c>
      <c r="F411" s="10" t="s">
        <v>40</v>
      </c>
      <c r="G411" s="10" t="s">
        <v>474</v>
      </c>
      <c r="H411" s="8" t="n">
        <v>6</v>
      </c>
      <c r="I411" s="11" t="s">
        <v>1653</v>
      </c>
      <c r="J411" s="18" t="s">
        <v>1671</v>
      </c>
      <c r="K411" s="13" t="s">
        <v>1672</v>
      </c>
      <c r="L411" s="12" t="s">
        <v>222</v>
      </c>
      <c r="M411" s="12" t="s">
        <v>816</v>
      </c>
      <c r="N411" s="12" t="s">
        <v>817</v>
      </c>
    </row>
    <row r="412" customFormat="false" ht="27.5" hidden="false" customHeight="false" outlineLevel="0" collapsed="false">
      <c r="A412" s="14" t="s">
        <v>1673</v>
      </c>
      <c r="B412" s="8" t="s">
        <v>1674</v>
      </c>
      <c r="C412" s="14" t="s">
        <v>1673</v>
      </c>
      <c r="D412" s="9" t="n">
        <v>19</v>
      </c>
      <c r="E412" s="9" t="s">
        <v>83</v>
      </c>
      <c r="F412" s="10" t="s">
        <v>474</v>
      </c>
      <c r="G412" s="10" t="s">
        <v>474</v>
      </c>
      <c r="H412" s="8" t="n">
        <v>6</v>
      </c>
      <c r="I412" s="11" t="s">
        <v>1653</v>
      </c>
      <c r="J412" s="21" t="s">
        <v>1675</v>
      </c>
      <c r="K412" s="13" t="s">
        <v>1662</v>
      </c>
      <c r="L412" s="12" t="s">
        <v>1676</v>
      </c>
      <c r="M412" s="12" t="s">
        <v>969</v>
      </c>
      <c r="N412" s="12" t="s">
        <v>817</v>
      </c>
    </row>
    <row r="413" customFormat="false" ht="36" hidden="false" customHeight="true" outlineLevel="0" collapsed="false">
      <c r="A413" s="20" t="s">
        <v>1677</v>
      </c>
      <c r="B413" s="8" t="s">
        <v>1678</v>
      </c>
      <c r="C413" s="20" t="s">
        <v>1677</v>
      </c>
      <c r="D413" s="9" t="n">
        <v>3</v>
      </c>
      <c r="E413" s="9" t="s">
        <v>39</v>
      </c>
      <c r="F413" s="10" t="s">
        <v>59</v>
      </c>
      <c r="G413" s="10" t="s">
        <v>246</v>
      </c>
      <c r="H413" s="8" t="n">
        <v>6</v>
      </c>
      <c r="I413" s="11" t="s">
        <v>1653</v>
      </c>
      <c r="J413" s="13" t="s">
        <v>1679</v>
      </c>
      <c r="K413" s="13" t="s">
        <v>1680</v>
      </c>
      <c r="L413" s="12" t="s">
        <v>222</v>
      </c>
      <c r="M413" s="12" t="s">
        <v>1102</v>
      </c>
      <c r="N413" s="12" t="s">
        <v>817</v>
      </c>
    </row>
    <row r="414" customFormat="false" ht="36" hidden="false" customHeight="false" outlineLevel="0" collapsed="false">
      <c r="A414" s="20" t="s">
        <v>1681</v>
      </c>
      <c r="B414" s="8" t="s">
        <v>1682</v>
      </c>
      <c r="C414" s="20" t="s">
        <v>1681</v>
      </c>
      <c r="D414" s="9" t="n">
        <v>3</v>
      </c>
      <c r="E414" s="9" t="s">
        <v>39</v>
      </c>
      <c r="F414" s="10" t="s">
        <v>59</v>
      </c>
      <c r="G414" s="10" t="s">
        <v>246</v>
      </c>
      <c r="H414" s="8" t="n">
        <v>6</v>
      </c>
      <c r="I414" s="11" t="s">
        <v>1653</v>
      </c>
      <c r="J414" s="13" t="s">
        <v>1683</v>
      </c>
      <c r="K414" s="13" t="s">
        <v>1680</v>
      </c>
      <c r="L414" s="12" t="s">
        <v>222</v>
      </c>
      <c r="M414" s="12" t="s">
        <v>1102</v>
      </c>
      <c r="N414" s="12" t="s">
        <v>817</v>
      </c>
    </row>
    <row r="415" customFormat="false" ht="27.5" hidden="false" customHeight="false" outlineLevel="0" collapsed="false">
      <c r="A415" s="7" t="s">
        <v>1684</v>
      </c>
      <c r="B415" s="8" t="s">
        <v>1685</v>
      </c>
      <c r="C415" s="7" t="s">
        <v>1684</v>
      </c>
      <c r="D415" s="9" t="n">
        <v>9</v>
      </c>
      <c r="E415" s="10" t="s">
        <v>113</v>
      </c>
      <c r="F415" s="10" t="s">
        <v>998</v>
      </c>
      <c r="G415" s="10" t="s">
        <v>998</v>
      </c>
      <c r="H415" s="8" t="n">
        <v>6</v>
      </c>
      <c r="I415" s="11" t="s">
        <v>1653</v>
      </c>
      <c r="J415" s="12" t="s">
        <v>1686</v>
      </c>
      <c r="K415" s="13" t="s">
        <v>1687</v>
      </c>
      <c r="L415" s="12" t="s">
        <v>222</v>
      </c>
      <c r="M415" s="12" t="s">
        <v>1102</v>
      </c>
      <c r="N415" s="12" t="s">
        <v>306</v>
      </c>
    </row>
    <row r="416" customFormat="false" ht="27.5" hidden="false" customHeight="false" outlineLevel="0" collapsed="false">
      <c r="A416" s="7" t="s">
        <v>1688</v>
      </c>
      <c r="B416" s="8" t="s">
        <v>1689</v>
      </c>
      <c r="C416" s="7" t="s">
        <v>1688</v>
      </c>
      <c r="D416" s="10" t="n">
        <v>20</v>
      </c>
      <c r="E416" s="9" t="s">
        <v>53</v>
      </c>
      <c r="F416" s="10" t="s">
        <v>1690</v>
      </c>
      <c r="G416" s="10" t="s">
        <v>1690</v>
      </c>
      <c r="H416" s="8" t="n">
        <v>6</v>
      </c>
      <c r="I416" s="11" t="s">
        <v>1653</v>
      </c>
      <c r="J416" s="12" t="s">
        <v>1691</v>
      </c>
      <c r="K416" s="12" t="s">
        <v>1692</v>
      </c>
      <c r="L416" s="12" t="s">
        <v>222</v>
      </c>
      <c r="M416" s="12" t="s">
        <v>1102</v>
      </c>
      <c r="N416" s="12" t="s">
        <v>817</v>
      </c>
    </row>
    <row r="417" customFormat="false" ht="36" hidden="false" customHeight="false" outlineLevel="0" collapsed="false">
      <c r="A417" s="7" t="s">
        <v>1693</v>
      </c>
      <c r="B417" s="8" t="s">
        <v>1694</v>
      </c>
      <c r="C417" s="7" t="s">
        <v>1693</v>
      </c>
      <c r="D417" s="9" t="n">
        <v>9</v>
      </c>
      <c r="E417" s="10" t="s">
        <v>113</v>
      </c>
      <c r="F417" s="10" t="s">
        <v>1695</v>
      </c>
      <c r="G417" s="10" t="s">
        <v>1690</v>
      </c>
      <c r="H417" s="8" t="n">
        <v>6</v>
      </c>
      <c r="I417" s="11" t="s">
        <v>1653</v>
      </c>
      <c r="J417" s="12" t="s">
        <v>1696</v>
      </c>
      <c r="K417" s="13" t="s">
        <v>1697</v>
      </c>
      <c r="L417" s="12" t="s">
        <v>222</v>
      </c>
      <c r="M417" s="12" t="s">
        <v>1102</v>
      </c>
      <c r="N417" s="12" t="s">
        <v>306</v>
      </c>
    </row>
    <row r="418" customFormat="false" ht="36" hidden="false" customHeight="false" outlineLevel="0" collapsed="false">
      <c r="A418" s="7" t="s">
        <v>1698</v>
      </c>
      <c r="B418" s="8" t="s">
        <v>1699</v>
      </c>
      <c r="C418" s="7" t="s">
        <v>1698</v>
      </c>
      <c r="D418" s="10" t="n">
        <v>9</v>
      </c>
      <c r="E418" s="10" t="s">
        <v>113</v>
      </c>
      <c r="F418" s="10" t="s">
        <v>1695</v>
      </c>
      <c r="G418" s="10" t="s">
        <v>1690</v>
      </c>
      <c r="H418" s="8" t="n">
        <v>6</v>
      </c>
      <c r="I418" s="11" t="s">
        <v>1653</v>
      </c>
      <c r="J418" s="12" t="s">
        <v>1700</v>
      </c>
      <c r="K418" s="13" t="s">
        <v>1701</v>
      </c>
      <c r="L418" s="12" t="s">
        <v>222</v>
      </c>
      <c r="M418" s="12" t="s">
        <v>1102</v>
      </c>
      <c r="N418" s="12" t="s">
        <v>817</v>
      </c>
    </row>
    <row r="419" customFormat="false" ht="44.5" hidden="false" customHeight="false" outlineLevel="0" collapsed="false">
      <c r="A419" s="20" t="s">
        <v>1702</v>
      </c>
      <c r="B419" s="8" t="s">
        <v>1703</v>
      </c>
      <c r="C419" s="20" t="s">
        <v>1702</v>
      </c>
      <c r="D419" s="9" t="n">
        <v>22</v>
      </c>
      <c r="E419" s="9" t="s">
        <v>47</v>
      </c>
      <c r="F419" s="10" t="s">
        <v>164</v>
      </c>
      <c r="G419" s="10" t="s">
        <v>164</v>
      </c>
      <c r="H419" s="8" t="n">
        <v>6</v>
      </c>
      <c r="I419" s="11" t="s">
        <v>1653</v>
      </c>
      <c r="J419" s="18" t="s">
        <v>1704</v>
      </c>
      <c r="K419" s="13" t="s">
        <v>1705</v>
      </c>
      <c r="L419" s="12" t="s">
        <v>222</v>
      </c>
      <c r="M419" s="12" t="s">
        <v>1526</v>
      </c>
      <c r="N419" s="12" t="s">
        <v>306</v>
      </c>
    </row>
    <row r="420" customFormat="false" ht="53" hidden="false" customHeight="false" outlineLevel="0" collapsed="false">
      <c r="A420" s="7" t="s">
        <v>1706</v>
      </c>
      <c r="B420" s="8" t="s">
        <v>1707</v>
      </c>
      <c r="C420" s="7" t="s">
        <v>1706</v>
      </c>
      <c r="D420" s="9" t="n">
        <v>9</v>
      </c>
      <c r="E420" s="10" t="s">
        <v>113</v>
      </c>
      <c r="F420" s="10" t="s">
        <v>490</v>
      </c>
      <c r="G420" s="10" t="s">
        <v>490</v>
      </c>
      <c r="H420" s="8" t="n">
        <v>6</v>
      </c>
      <c r="I420" s="11" t="s">
        <v>1653</v>
      </c>
      <c r="J420" s="12" t="s">
        <v>1708</v>
      </c>
      <c r="K420" s="13" t="s">
        <v>1709</v>
      </c>
      <c r="L420" s="12" t="s">
        <v>222</v>
      </c>
      <c r="M420" s="12" t="s">
        <v>1102</v>
      </c>
      <c r="N420" s="12" t="s">
        <v>306</v>
      </c>
    </row>
    <row r="421" customFormat="false" ht="36" hidden="false" customHeight="false" outlineLevel="0" collapsed="false">
      <c r="A421" s="14" t="s">
        <v>1710</v>
      </c>
      <c r="B421" s="8" t="s">
        <v>1711</v>
      </c>
      <c r="C421" s="14" t="s">
        <v>1710</v>
      </c>
      <c r="D421" s="9" t="n">
        <v>9</v>
      </c>
      <c r="E421" s="10" t="s">
        <v>113</v>
      </c>
      <c r="F421" s="10" t="s">
        <v>490</v>
      </c>
      <c r="G421" s="10" t="s">
        <v>490</v>
      </c>
      <c r="H421" s="8" t="n">
        <v>6</v>
      </c>
      <c r="I421" s="11" t="s">
        <v>1653</v>
      </c>
      <c r="J421" s="18" t="s">
        <v>1712</v>
      </c>
      <c r="K421" s="18" t="s">
        <v>1713</v>
      </c>
      <c r="L421" s="12" t="s">
        <v>1676</v>
      </c>
      <c r="M421" s="12" t="s">
        <v>969</v>
      </c>
      <c r="N421" s="12" t="s">
        <v>817</v>
      </c>
    </row>
    <row r="422" customFormat="false" ht="44.5" hidden="false" customHeight="false" outlineLevel="0" collapsed="false">
      <c r="A422" s="7" t="s">
        <v>1714</v>
      </c>
      <c r="B422" s="8" t="s">
        <v>1715</v>
      </c>
      <c r="C422" s="7" t="s">
        <v>1714</v>
      </c>
      <c r="D422" s="9" t="n">
        <v>1</v>
      </c>
      <c r="E422" s="10" t="s">
        <v>203</v>
      </c>
      <c r="F422" s="10" t="s">
        <v>495</v>
      </c>
      <c r="G422" s="10" t="s">
        <v>495</v>
      </c>
      <c r="H422" s="8" t="n">
        <v>6</v>
      </c>
      <c r="I422" s="11" t="s">
        <v>1653</v>
      </c>
      <c r="J422" s="12" t="s">
        <v>496</v>
      </c>
      <c r="K422" s="12" t="s">
        <v>1716</v>
      </c>
      <c r="L422" s="12" t="s">
        <v>222</v>
      </c>
      <c r="M422" s="12" t="s">
        <v>816</v>
      </c>
      <c r="N422" s="12" t="s">
        <v>817</v>
      </c>
    </row>
    <row r="423" customFormat="false" ht="19" hidden="false" customHeight="false" outlineLevel="0" collapsed="false">
      <c r="A423" s="7" t="s">
        <v>1717</v>
      </c>
      <c r="B423" s="8" t="s">
        <v>1718</v>
      </c>
      <c r="C423" s="7" t="s">
        <v>1717</v>
      </c>
      <c r="D423" s="9" t="n">
        <v>20</v>
      </c>
      <c r="E423" s="9" t="s">
        <v>53</v>
      </c>
      <c r="F423" s="10" t="s">
        <v>1038</v>
      </c>
      <c r="G423" s="10" t="s">
        <v>55</v>
      </c>
      <c r="H423" s="8" t="n">
        <v>6</v>
      </c>
      <c r="I423" s="11" t="s">
        <v>1653</v>
      </c>
      <c r="J423" s="12" t="s">
        <v>1719</v>
      </c>
      <c r="K423" s="13" t="s">
        <v>1720</v>
      </c>
      <c r="L423" s="12" t="s">
        <v>222</v>
      </c>
      <c r="M423" s="12" t="s">
        <v>1102</v>
      </c>
      <c r="N423" s="12" t="s">
        <v>306</v>
      </c>
    </row>
    <row r="424" customFormat="false" ht="36" hidden="false" customHeight="false" outlineLevel="0" collapsed="false">
      <c r="A424" s="7" t="s">
        <v>1721</v>
      </c>
      <c r="B424" s="8" t="s">
        <v>1722</v>
      </c>
      <c r="C424" s="7" t="s">
        <v>1721</v>
      </c>
      <c r="D424" s="9" t="n">
        <v>20</v>
      </c>
      <c r="E424" s="9" t="s">
        <v>53</v>
      </c>
      <c r="F424" s="10" t="s">
        <v>1042</v>
      </c>
      <c r="G424" s="10" t="s">
        <v>55</v>
      </c>
      <c r="H424" s="8" t="n">
        <v>6</v>
      </c>
      <c r="I424" s="11" t="s">
        <v>1653</v>
      </c>
      <c r="J424" s="12" t="s">
        <v>1723</v>
      </c>
      <c r="K424" s="13" t="s">
        <v>1724</v>
      </c>
      <c r="L424" s="12" t="s">
        <v>222</v>
      </c>
      <c r="M424" s="12" t="s">
        <v>1526</v>
      </c>
      <c r="N424" s="12" t="s">
        <v>306</v>
      </c>
    </row>
    <row r="425" customFormat="false" ht="19" hidden="false" customHeight="false" outlineLevel="0" collapsed="false">
      <c r="A425" s="7" t="s">
        <v>1725</v>
      </c>
      <c r="B425" s="8" t="s">
        <v>1726</v>
      </c>
      <c r="C425" s="7" t="s">
        <v>1725</v>
      </c>
      <c r="D425" s="9" t="n">
        <v>20</v>
      </c>
      <c r="E425" s="9" t="s">
        <v>53</v>
      </c>
      <c r="F425" s="10" t="s">
        <v>1042</v>
      </c>
      <c r="G425" s="10" t="s">
        <v>55</v>
      </c>
      <c r="H425" s="8" t="n">
        <v>6</v>
      </c>
      <c r="I425" s="11" t="s">
        <v>1653</v>
      </c>
      <c r="J425" s="12" t="s">
        <v>1727</v>
      </c>
      <c r="K425" s="13" t="s">
        <v>1724</v>
      </c>
      <c r="L425" s="12" t="s">
        <v>222</v>
      </c>
      <c r="M425" s="12" t="s">
        <v>1526</v>
      </c>
      <c r="N425" s="12" t="s">
        <v>306</v>
      </c>
    </row>
    <row r="426" customFormat="false" ht="27.5" hidden="false" customHeight="false" outlineLevel="0" collapsed="false">
      <c r="A426" s="7" t="s">
        <v>1728</v>
      </c>
      <c r="B426" s="8" t="s">
        <v>1729</v>
      </c>
      <c r="C426" s="7" t="s">
        <v>1728</v>
      </c>
      <c r="D426" s="9" t="n">
        <v>20</v>
      </c>
      <c r="E426" s="9" t="s">
        <v>53</v>
      </c>
      <c r="F426" s="10" t="s">
        <v>500</v>
      </c>
      <c r="G426" s="10" t="s">
        <v>55</v>
      </c>
      <c r="H426" s="8" t="n">
        <v>6</v>
      </c>
      <c r="I426" s="11" t="s">
        <v>1653</v>
      </c>
      <c r="J426" s="12" t="s">
        <v>1730</v>
      </c>
      <c r="K426" s="13" t="s">
        <v>507</v>
      </c>
      <c r="L426" s="12" t="s">
        <v>222</v>
      </c>
      <c r="M426" s="12" t="s">
        <v>1526</v>
      </c>
      <c r="N426" s="12" t="s">
        <v>306</v>
      </c>
    </row>
    <row r="427" customFormat="false" ht="36" hidden="false" customHeight="false" outlineLevel="0" collapsed="false">
      <c r="A427" s="7" t="s">
        <v>1731</v>
      </c>
      <c r="B427" s="8" t="s">
        <v>1732</v>
      </c>
      <c r="C427" s="7" t="s">
        <v>1731</v>
      </c>
      <c r="D427" s="9" t="n">
        <v>20</v>
      </c>
      <c r="E427" s="9" t="s">
        <v>53</v>
      </c>
      <c r="F427" s="10" t="s">
        <v>505</v>
      </c>
      <c r="G427" s="10" t="s">
        <v>55</v>
      </c>
      <c r="H427" s="8" t="n">
        <v>6</v>
      </c>
      <c r="I427" s="11" t="s">
        <v>1653</v>
      </c>
      <c r="J427" s="12" t="s">
        <v>1733</v>
      </c>
      <c r="K427" s="13" t="s">
        <v>1734</v>
      </c>
      <c r="L427" s="12" t="s">
        <v>222</v>
      </c>
      <c r="M427" s="12" t="s">
        <v>1526</v>
      </c>
      <c r="N427" s="12" t="s">
        <v>306</v>
      </c>
    </row>
    <row r="428" customFormat="false" ht="27.5" hidden="false" customHeight="false" outlineLevel="0" collapsed="false">
      <c r="A428" s="7" t="s">
        <v>1735</v>
      </c>
      <c r="B428" s="8" t="s">
        <v>1736</v>
      </c>
      <c r="C428" s="7" t="s">
        <v>1735</v>
      </c>
      <c r="D428" s="9" t="n">
        <v>20</v>
      </c>
      <c r="E428" s="9" t="s">
        <v>53</v>
      </c>
      <c r="F428" s="10" t="s">
        <v>1025</v>
      </c>
      <c r="G428" s="10" t="s">
        <v>55</v>
      </c>
      <c r="H428" s="8" t="n">
        <v>6</v>
      </c>
      <c r="I428" s="11" t="s">
        <v>1653</v>
      </c>
      <c r="J428" s="18" t="s">
        <v>1737</v>
      </c>
      <c r="K428" s="13" t="s">
        <v>1027</v>
      </c>
      <c r="L428" s="12" t="s">
        <v>222</v>
      </c>
      <c r="M428" s="12" t="s">
        <v>1526</v>
      </c>
      <c r="N428" s="12" t="s">
        <v>817</v>
      </c>
    </row>
    <row r="429" customFormat="false" ht="19" hidden="false" customHeight="false" outlineLevel="0" collapsed="false">
      <c r="A429" s="7" t="s">
        <v>1738</v>
      </c>
      <c r="B429" s="8" t="s">
        <v>1739</v>
      </c>
      <c r="C429" s="7" t="s">
        <v>1738</v>
      </c>
      <c r="D429" s="9" t="n">
        <v>20</v>
      </c>
      <c r="E429" s="9" t="s">
        <v>53</v>
      </c>
      <c r="F429" s="10" t="s">
        <v>500</v>
      </c>
      <c r="G429" s="10" t="s">
        <v>55</v>
      </c>
      <c r="H429" s="8" t="n">
        <v>6</v>
      </c>
      <c r="I429" s="11" t="s">
        <v>1653</v>
      </c>
      <c r="J429" s="12" t="s">
        <v>1740</v>
      </c>
      <c r="K429" s="13" t="s">
        <v>1741</v>
      </c>
      <c r="L429" s="12" t="s">
        <v>222</v>
      </c>
      <c r="M429" s="12" t="s">
        <v>1102</v>
      </c>
      <c r="N429" s="12" t="s">
        <v>306</v>
      </c>
    </row>
    <row r="430" customFormat="false" ht="19" hidden="false" customHeight="false" outlineLevel="0" collapsed="false">
      <c r="A430" s="7" t="s">
        <v>1742</v>
      </c>
      <c r="B430" s="8" t="s">
        <v>1743</v>
      </c>
      <c r="C430" s="7" t="s">
        <v>1742</v>
      </c>
      <c r="D430" s="9" t="n">
        <v>20</v>
      </c>
      <c r="E430" s="9" t="s">
        <v>53</v>
      </c>
      <c r="F430" s="10" t="s">
        <v>1038</v>
      </c>
      <c r="G430" s="10" t="s">
        <v>55</v>
      </c>
      <c r="H430" s="8" t="n">
        <v>6</v>
      </c>
      <c r="I430" s="11" t="s">
        <v>1653</v>
      </c>
      <c r="J430" s="12" t="s">
        <v>1744</v>
      </c>
      <c r="K430" s="13" t="s">
        <v>1745</v>
      </c>
      <c r="L430" s="12" t="s">
        <v>222</v>
      </c>
      <c r="M430" s="12" t="s">
        <v>1102</v>
      </c>
      <c r="N430" s="12" t="s">
        <v>306</v>
      </c>
    </row>
    <row r="431" customFormat="false" ht="19" hidden="false" customHeight="false" outlineLevel="0" collapsed="false">
      <c r="A431" s="7" t="s">
        <v>1746</v>
      </c>
      <c r="B431" s="8" t="s">
        <v>1747</v>
      </c>
      <c r="C431" s="7" t="s">
        <v>1746</v>
      </c>
      <c r="D431" s="9" t="n">
        <v>20</v>
      </c>
      <c r="E431" s="9" t="s">
        <v>53</v>
      </c>
      <c r="F431" s="10" t="s">
        <v>1038</v>
      </c>
      <c r="G431" s="10" t="s">
        <v>55</v>
      </c>
      <c r="H431" s="8" t="n">
        <v>6</v>
      </c>
      <c r="I431" s="11" t="s">
        <v>1653</v>
      </c>
      <c r="J431" s="12" t="s">
        <v>1748</v>
      </c>
      <c r="K431" s="12" t="s">
        <v>1749</v>
      </c>
      <c r="L431" s="12" t="s">
        <v>222</v>
      </c>
      <c r="M431" s="12" t="s">
        <v>816</v>
      </c>
      <c r="N431" s="12" t="s">
        <v>817</v>
      </c>
    </row>
    <row r="432" customFormat="false" ht="36" hidden="false" customHeight="false" outlineLevel="0" collapsed="false">
      <c r="A432" s="7" t="s">
        <v>1750</v>
      </c>
      <c r="B432" s="8" t="s">
        <v>1751</v>
      </c>
      <c r="C432" s="7" t="s">
        <v>1750</v>
      </c>
      <c r="D432" s="9" t="n">
        <v>20</v>
      </c>
      <c r="E432" s="9" t="s">
        <v>53</v>
      </c>
      <c r="F432" s="10" t="s">
        <v>1038</v>
      </c>
      <c r="G432" s="10" t="s">
        <v>55</v>
      </c>
      <c r="H432" s="8" t="n">
        <v>6</v>
      </c>
      <c r="I432" s="11" t="s">
        <v>1653</v>
      </c>
      <c r="J432" s="12" t="s">
        <v>1752</v>
      </c>
      <c r="K432" s="12" t="s">
        <v>1749</v>
      </c>
      <c r="L432" s="12" t="s">
        <v>222</v>
      </c>
      <c r="M432" s="12" t="s">
        <v>816</v>
      </c>
      <c r="N432" s="12" t="s">
        <v>817</v>
      </c>
    </row>
    <row r="433" customFormat="false" ht="27.5" hidden="false" customHeight="false" outlineLevel="0" collapsed="false">
      <c r="A433" s="7" t="s">
        <v>1753</v>
      </c>
      <c r="B433" s="8" t="s">
        <v>1754</v>
      </c>
      <c r="C433" s="7" t="s">
        <v>1753</v>
      </c>
      <c r="D433" s="9" t="n">
        <v>20</v>
      </c>
      <c r="E433" s="9" t="s">
        <v>53</v>
      </c>
      <c r="F433" s="10" t="s">
        <v>1755</v>
      </c>
      <c r="G433" s="10" t="s">
        <v>55</v>
      </c>
      <c r="H433" s="8" t="n">
        <v>6</v>
      </c>
      <c r="I433" s="11" t="s">
        <v>1653</v>
      </c>
      <c r="J433" s="12" t="s">
        <v>1756</v>
      </c>
      <c r="K433" s="12" t="s">
        <v>1757</v>
      </c>
      <c r="L433" s="12" t="s">
        <v>222</v>
      </c>
      <c r="M433" s="12" t="s">
        <v>1758</v>
      </c>
      <c r="N433" s="12" t="s">
        <v>817</v>
      </c>
    </row>
    <row r="434" customFormat="false" ht="27.5" hidden="false" customHeight="false" outlineLevel="0" collapsed="false">
      <c r="A434" s="7" t="s">
        <v>1759</v>
      </c>
      <c r="B434" s="8" t="s">
        <v>1760</v>
      </c>
      <c r="C434" s="7" t="s">
        <v>1759</v>
      </c>
      <c r="D434" s="9" t="n">
        <v>20</v>
      </c>
      <c r="E434" s="9" t="s">
        <v>53</v>
      </c>
      <c r="F434" s="10" t="s">
        <v>1755</v>
      </c>
      <c r="G434" s="10" t="s">
        <v>55</v>
      </c>
      <c r="H434" s="8" t="n">
        <v>6</v>
      </c>
      <c r="I434" s="11" t="s">
        <v>1653</v>
      </c>
      <c r="J434" s="12" t="s">
        <v>1756</v>
      </c>
      <c r="K434" s="12" t="s">
        <v>1757</v>
      </c>
      <c r="L434" s="12" t="s">
        <v>222</v>
      </c>
      <c r="M434" s="12" t="s">
        <v>1758</v>
      </c>
      <c r="N434" s="12" t="s">
        <v>817</v>
      </c>
    </row>
    <row r="435" customFormat="false" ht="27.5" hidden="false" customHeight="false" outlineLevel="0" collapsed="false">
      <c r="A435" s="7" t="s">
        <v>1761</v>
      </c>
      <c r="B435" s="8" t="s">
        <v>1762</v>
      </c>
      <c r="C435" s="7" t="s">
        <v>1761</v>
      </c>
      <c r="D435" s="9" t="n">
        <v>20</v>
      </c>
      <c r="E435" s="9" t="s">
        <v>53</v>
      </c>
      <c r="F435" s="10" t="s">
        <v>1755</v>
      </c>
      <c r="G435" s="10" t="s">
        <v>55</v>
      </c>
      <c r="H435" s="8" t="n">
        <v>6</v>
      </c>
      <c r="I435" s="11" t="s">
        <v>1653</v>
      </c>
      <c r="J435" s="12" t="s">
        <v>1763</v>
      </c>
      <c r="K435" s="12" t="s">
        <v>1757</v>
      </c>
      <c r="L435" s="12" t="s">
        <v>222</v>
      </c>
      <c r="M435" s="12" t="s">
        <v>1758</v>
      </c>
      <c r="N435" s="12" t="s">
        <v>306</v>
      </c>
    </row>
    <row r="436" customFormat="false" ht="27.5" hidden="false" customHeight="false" outlineLevel="0" collapsed="false">
      <c r="A436" s="7" t="s">
        <v>1764</v>
      </c>
      <c r="B436" s="8" t="s">
        <v>1765</v>
      </c>
      <c r="C436" s="7" t="s">
        <v>1764</v>
      </c>
      <c r="D436" s="9" t="n">
        <v>20</v>
      </c>
      <c r="E436" s="9" t="s">
        <v>53</v>
      </c>
      <c r="F436" s="10" t="s">
        <v>1755</v>
      </c>
      <c r="G436" s="10" t="s">
        <v>55</v>
      </c>
      <c r="H436" s="8" t="n">
        <v>6</v>
      </c>
      <c r="I436" s="11" t="s">
        <v>1653</v>
      </c>
      <c r="J436" s="12" t="s">
        <v>1763</v>
      </c>
      <c r="K436" s="12" t="s">
        <v>1757</v>
      </c>
      <c r="L436" s="12" t="s">
        <v>222</v>
      </c>
      <c r="M436" s="12" t="s">
        <v>1758</v>
      </c>
      <c r="N436" s="12" t="s">
        <v>306</v>
      </c>
    </row>
    <row r="437" customFormat="false" ht="27.5" hidden="false" customHeight="false" outlineLevel="0" collapsed="false">
      <c r="A437" s="7" t="s">
        <v>1766</v>
      </c>
      <c r="B437" s="8" t="s">
        <v>1767</v>
      </c>
      <c r="C437" s="7" t="s">
        <v>1766</v>
      </c>
      <c r="D437" s="9" t="n">
        <v>20</v>
      </c>
      <c r="E437" s="9" t="s">
        <v>53</v>
      </c>
      <c r="F437" s="10" t="s">
        <v>1755</v>
      </c>
      <c r="G437" s="10" t="s">
        <v>55</v>
      </c>
      <c r="H437" s="8" t="n">
        <v>6</v>
      </c>
      <c r="I437" s="11" t="s">
        <v>1653</v>
      </c>
      <c r="J437" s="12" t="s">
        <v>1763</v>
      </c>
      <c r="K437" s="12" t="s">
        <v>1757</v>
      </c>
      <c r="L437" s="12" t="s">
        <v>222</v>
      </c>
      <c r="M437" s="12" t="s">
        <v>1758</v>
      </c>
      <c r="N437" s="12" t="s">
        <v>817</v>
      </c>
    </row>
    <row r="438" customFormat="false" ht="27.5" hidden="false" customHeight="false" outlineLevel="0" collapsed="false">
      <c r="A438" s="7" t="s">
        <v>1768</v>
      </c>
      <c r="B438" s="8" t="s">
        <v>1769</v>
      </c>
      <c r="C438" s="7" t="s">
        <v>1768</v>
      </c>
      <c r="D438" s="9" t="n">
        <v>20</v>
      </c>
      <c r="E438" s="9" t="s">
        <v>53</v>
      </c>
      <c r="F438" s="10" t="s">
        <v>1755</v>
      </c>
      <c r="G438" s="10" t="s">
        <v>55</v>
      </c>
      <c r="H438" s="8" t="n">
        <v>6</v>
      </c>
      <c r="I438" s="11" t="s">
        <v>1653</v>
      </c>
      <c r="J438" s="12" t="s">
        <v>1756</v>
      </c>
      <c r="K438" s="12" t="s">
        <v>1757</v>
      </c>
      <c r="L438" s="12" t="s">
        <v>222</v>
      </c>
      <c r="M438" s="12" t="s">
        <v>1758</v>
      </c>
      <c r="N438" s="12" t="s">
        <v>817</v>
      </c>
    </row>
    <row r="439" customFormat="false" ht="19" hidden="false" customHeight="false" outlineLevel="0" collapsed="false">
      <c r="A439" s="14" t="s">
        <v>1770</v>
      </c>
      <c r="B439" s="8" t="s">
        <v>1771</v>
      </c>
      <c r="C439" s="14" t="s">
        <v>1770</v>
      </c>
      <c r="D439" s="9" t="n">
        <v>20</v>
      </c>
      <c r="E439" s="9" t="s">
        <v>55</v>
      </c>
      <c r="F439" s="10" t="s">
        <v>1042</v>
      </c>
      <c r="G439" s="10" t="s">
        <v>55</v>
      </c>
      <c r="H439" s="8" t="n">
        <v>6</v>
      </c>
      <c r="I439" s="11" t="s">
        <v>1653</v>
      </c>
      <c r="J439" s="18" t="s">
        <v>1772</v>
      </c>
      <c r="K439" s="18" t="s">
        <v>507</v>
      </c>
      <c r="L439" s="12" t="s">
        <v>222</v>
      </c>
      <c r="M439" s="12" t="s">
        <v>969</v>
      </c>
      <c r="N439" s="12" t="s">
        <v>306</v>
      </c>
    </row>
    <row r="440" customFormat="false" ht="27.5" hidden="false" customHeight="false" outlineLevel="0" collapsed="false">
      <c r="A440" s="7" t="s">
        <v>1773</v>
      </c>
      <c r="B440" s="8" t="s">
        <v>1774</v>
      </c>
      <c r="C440" s="7" t="s">
        <v>1773</v>
      </c>
      <c r="D440" s="9" t="n">
        <v>20</v>
      </c>
      <c r="E440" s="9" t="s">
        <v>53</v>
      </c>
      <c r="F440" s="10" t="s">
        <v>1025</v>
      </c>
      <c r="G440" s="10" t="s">
        <v>55</v>
      </c>
      <c r="H440" s="8" t="n">
        <v>6</v>
      </c>
      <c r="I440" s="11" t="s">
        <v>1653</v>
      </c>
      <c r="J440" s="12" t="s">
        <v>1775</v>
      </c>
      <c r="K440" s="12" t="s">
        <v>507</v>
      </c>
      <c r="L440" s="12" t="s">
        <v>222</v>
      </c>
      <c r="M440" s="12" t="s">
        <v>1526</v>
      </c>
      <c r="N440" s="12" t="s">
        <v>23</v>
      </c>
    </row>
    <row r="441" customFormat="false" ht="27.5" hidden="false" customHeight="false" outlineLevel="0" collapsed="false">
      <c r="A441" s="20" t="s">
        <v>1776</v>
      </c>
      <c r="B441" s="8" t="s">
        <v>1777</v>
      </c>
      <c r="C441" s="20" t="s">
        <v>1776</v>
      </c>
      <c r="D441" s="9" t="n">
        <v>3</v>
      </c>
      <c r="E441" s="9" t="s">
        <v>39</v>
      </c>
      <c r="F441" s="10" t="s">
        <v>59</v>
      </c>
      <c r="G441" s="10" t="s">
        <v>59</v>
      </c>
      <c r="H441" s="8" t="n">
        <v>6</v>
      </c>
      <c r="I441" s="11" t="s">
        <v>1653</v>
      </c>
      <c r="J441" s="13" t="s">
        <v>1778</v>
      </c>
      <c r="K441" s="13" t="s">
        <v>1779</v>
      </c>
      <c r="L441" s="12" t="s">
        <v>222</v>
      </c>
      <c r="M441" s="12" t="s">
        <v>1526</v>
      </c>
      <c r="N441" s="12" t="s">
        <v>817</v>
      </c>
    </row>
    <row r="442" customFormat="false" ht="36" hidden="false" customHeight="false" outlineLevel="0" collapsed="false">
      <c r="A442" s="20" t="s">
        <v>1780</v>
      </c>
      <c r="B442" s="8" t="s">
        <v>1781</v>
      </c>
      <c r="C442" s="20" t="s">
        <v>1780</v>
      </c>
      <c r="D442" s="9" t="n">
        <v>6</v>
      </c>
      <c r="E442" s="9" t="s">
        <v>180</v>
      </c>
      <c r="F442" s="10" t="s">
        <v>251</v>
      </c>
      <c r="G442" s="10" t="s">
        <v>251</v>
      </c>
      <c r="H442" s="8" t="n">
        <v>6</v>
      </c>
      <c r="I442" s="11" t="s">
        <v>1653</v>
      </c>
      <c r="J442" s="18" t="s">
        <v>1782</v>
      </c>
      <c r="K442" s="13" t="s">
        <v>1783</v>
      </c>
      <c r="L442" s="12" t="s">
        <v>222</v>
      </c>
      <c r="M442" s="12" t="s">
        <v>1526</v>
      </c>
      <c r="N442" s="12" t="s">
        <v>306</v>
      </c>
    </row>
    <row r="443" customFormat="false" ht="36" hidden="false" customHeight="false" outlineLevel="0" collapsed="false">
      <c r="A443" s="7" t="s">
        <v>1784</v>
      </c>
      <c r="B443" s="8" t="s">
        <v>1785</v>
      </c>
      <c r="C443" s="7" t="s">
        <v>1784</v>
      </c>
      <c r="D443" s="9" t="n">
        <v>6</v>
      </c>
      <c r="E443" s="10" t="s">
        <v>180</v>
      </c>
      <c r="F443" s="10" t="s">
        <v>251</v>
      </c>
      <c r="G443" s="10" t="s">
        <v>251</v>
      </c>
      <c r="H443" s="8" t="n">
        <v>6</v>
      </c>
      <c r="I443" s="11" t="s">
        <v>1653</v>
      </c>
      <c r="J443" s="12" t="s">
        <v>1786</v>
      </c>
      <c r="K443" s="12" t="s">
        <v>1787</v>
      </c>
      <c r="L443" s="12" t="s">
        <v>222</v>
      </c>
      <c r="M443" s="12" t="s">
        <v>1102</v>
      </c>
      <c r="N443" s="12" t="s">
        <v>306</v>
      </c>
    </row>
    <row r="444" customFormat="false" ht="36" hidden="false" customHeight="false" outlineLevel="0" collapsed="false">
      <c r="A444" s="14" t="s">
        <v>1788</v>
      </c>
      <c r="B444" s="8" t="s">
        <v>1789</v>
      </c>
      <c r="C444" s="14" t="s">
        <v>1788</v>
      </c>
      <c r="D444" s="9" t="n">
        <v>11</v>
      </c>
      <c r="E444" s="10" t="s">
        <v>69</v>
      </c>
      <c r="F444" s="10" t="s">
        <v>526</v>
      </c>
      <c r="G444" s="10" t="s">
        <v>527</v>
      </c>
      <c r="H444" s="8" t="n">
        <v>6</v>
      </c>
      <c r="I444" s="11" t="s">
        <v>1653</v>
      </c>
      <c r="J444" s="21" t="s">
        <v>1790</v>
      </c>
      <c r="K444" s="13" t="s">
        <v>1791</v>
      </c>
      <c r="L444" s="12" t="s">
        <v>222</v>
      </c>
      <c r="M444" s="12" t="s">
        <v>1102</v>
      </c>
      <c r="N444" s="12" t="s">
        <v>817</v>
      </c>
    </row>
    <row r="445" customFormat="false" ht="36" hidden="false" customHeight="false" outlineLevel="0" collapsed="false">
      <c r="A445" s="20" t="s">
        <v>1792</v>
      </c>
      <c r="B445" s="8" t="s">
        <v>1793</v>
      </c>
      <c r="C445" s="20" t="s">
        <v>1792</v>
      </c>
      <c r="D445" s="9" t="n">
        <v>1</v>
      </c>
      <c r="E445" s="9" t="s">
        <v>203</v>
      </c>
      <c r="F445" s="10" t="s">
        <v>531</v>
      </c>
      <c r="G445" s="10" t="s">
        <v>532</v>
      </c>
      <c r="H445" s="8" t="n">
        <v>6</v>
      </c>
      <c r="I445" s="11" t="s">
        <v>1653</v>
      </c>
      <c r="J445" s="18" t="s">
        <v>1794</v>
      </c>
      <c r="K445" s="13" t="s">
        <v>1795</v>
      </c>
      <c r="L445" s="12" t="s">
        <v>222</v>
      </c>
      <c r="M445" s="12" t="s">
        <v>1526</v>
      </c>
      <c r="N445" s="12" t="s">
        <v>817</v>
      </c>
    </row>
    <row r="446" customFormat="false" ht="44.5" hidden="false" customHeight="false" outlineLevel="0" collapsed="false">
      <c r="A446" s="7" t="s">
        <v>1796</v>
      </c>
      <c r="B446" s="8" t="s">
        <v>1797</v>
      </c>
      <c r="C446" s="7" t="s">
        <v>1796</v>
      </c>
      <c r="D446" s="9" t="n">
        <v>1</v>
      </c>
      <c r="E446" s="10" t="s">
        <v>203</v>
      </c>
      <c r="F446" s="10" t="s">
        <v>531</v>
      </c>
      <c r="G446" s="10" t="s">
        <v>532</v>
      </c>
      <c r="H446" s="8" t="n">
        <v>6</v>
      </c>
      <c r="I446" s="11" t="s">
        <v>1653</v>
      </c>
      <c r="J446" s="12" t="s">
        <v>1798</v>
      </c>
      <c r="K446" s="12" t="s">
        <v>1799</v>
      </c>
      <c r="L446" s="12" t="s">
        <v>222</v>
      </c>
      <c r="M446" s="12" t="s">
        <v>816</v>
      </c>
      <c r="N446" s="12" t="s">
        <v>817</v>
      </c>
    </row>
    <row r="447" customFormat="false" ht="61.5" hidden="false" customHeight="false" outlineLevel="0" collapsed="false">
      <c r="A447" s="14" t="s">
        <v>1800</v>
      </c>
      <c r="B447" s="8" t="s">
        <v>1801</v>
      </c>
      <c r="C447" s="14" t="s">
        <v>1800</v>
      </c>
      <c r="D447" s="9" t="n">
        <v>1</v>
      </c>
      <c r="E447" s="9" t="s">
        <v>203</v>
      </c>
      <c r="F447" s="10" t="s">
        <v>531</v>
      </c>
      <c r="G447" s="10" t="s">
        <v>532</v>
      </c>
      <c r="H447" s="8" t="n">
        <v>6</v>
      </c>
      <c r="I447" s="11" t="s">
        <v>1653</v>
      </c>
      <c r="J447" s="18" t="s">
        <v>1802</v>
      </c>
      <c r="K447" s="18" t="s">
        <v>1803</v>
      </c>
      <c r="L447" s="12" t="s">
        <v>1676</v>
      </c>
      <c r="M447" s="12" t="s">
        <v>969</v>
      </c>
      <c r="N447" s="12" t="s">
        <v>817</v>
      </c>
    </row>
    <row r="448" customFormat="false" ht="36" hidden="false" customHeight="false" outlineLevel="0" collapsed="false">
      <c r="A448" s="22" t="s">
        <v>1804</v>
      </c>
      <c r="B448" s="8" t="s">
        <v>1805</v>
      </c>
      <c r="C448" s="22" t="s">
        <v>1804</v>
      </c>
      <c r="D448" s="9" t="n">
        <v>27</v>
      </c>
      <c r="E448" s="10" t="s">
        <v>1083</v>
      </c>
      <c r="F448" s="10" t="s">
        <v>796</v>
      </c>
      <c r="G448" s="10" t="s">
        <v>1084</v>
      </c>
      <c r="H448" s="8" t="n">
        <v>6</v>
      </c>
      <c r="I448" s="11" t="s">
        <v>1653</v>
      </c>
      <c r="J448" s="23" t="s">
        <v>1806</v>
      </c>
      <c r="K448" s="13" t="s">
        <v>1807</v>
      </c>
      <c r="L448" s="12" t="s">
        <v>222</v>
      </c>
      <c r="M448" s="12" t="s">
        <v>1102</v>
      </c>
      <c r="N448" s="12" t="s">
        <v>452</v>
      </c>
    </row>
    <row r="449" customFormat="false" ht="44.5" hidden="false" customHeight="false" outlineLevel="0" collapsed="false">
      <c r="A449" s="14" t="s">
        <v>1808</v>
      </c>
      <c r="B449" s="8" t="s">
        <v>1809</v>
      </c>
      <c r="C449" s="14" t="s">
        <v>1808</v>
      </c>
      <c r="D449" s="9" t="n">
        <v>15</v>
      </c>
      <c r="E449" s="9" t="s">
        <v>536</v>
      </c>
      <c r="F449" s="10" t="s">
        <v>537</v>
      </c>
      <c r="G449" s="10" t="s">
        <v>537</v>
      </c>
      <c r="H449" s="8" t="n">
        <v>6</v>
      </c>
      <c r="I449" s="11" t="s">
        <v>1653</v>
      </c>
      <c r="J449" s="21" t="s">
        <v>1810</v>
      </c>
      <c r="K449" s="12" t="s">
        <v>1811</v>
      </c>
      <c r="L449" s="12" t="s">
        <v>222</v>
      </c>
      <c r="M449" s="12" t="s">
        <v>1102</v>
      </c>
      <c r="N449" s="12" t="s">
        <v>817</v>
      </c>
    </row>
    <row r="450" customFormat="false" ht="36" hidden="false" customHeight="false" outlineLevel="0" collapsed="false">
      <c r="A450" s="14" t="s">
        <v>1812</v>
      </c>
      <c r="B450" s="8" t="s">
        <v>1813</v>
      </c>
      <c r="C450" s="14" t="s">
        <v>1812</v>
      </c>
      <c r="D450" s="9" t="n">
        <v>15</v>
      </c>
      <c r="E450" s="9" t="s">
        <v>536</v>
      </c>
      <c r="F450" s="10" t="s">
        <v>537</v>
      </c>
      <c r="G450" s="10" t="s">
        <v>537</v>
      </c>
      <c r="H450" s="8" t="n">
        <v>6</v>
      </c>
      <c r="I450" s="11" t="s">
        <v>1653</v>
      </c>
      <c r="J450" s="21" t="s">
        <v>1814</v>
      </c>
      <c r="K450" s="12" t="s">
        <v>1811</v>
      </c>
      <c r="L450" s="12" t="s">
        <v>1676</v>
      </c>
      <c r="M450" s="12" t="s">
        <v>1102</v>
      </c>
      <c r="N450" s="12" t="s">
        <v>817</v>
      </c>
    </row>
    <row r="451" customFormat="false" ht="36" hidden="false" customHeight="false" outlineLevel="0" collapsed="false">
      <c r="A451" s="7" t="s">
        <v>1815</v>
      </c>
      <c r="B451" s="8" t="s">
        <v>1816</v>
      </c>
      <c r="C451" s="7" t="s">
        <v>1815</v>
      </c>
      <c r="D451" s="9" t="n">
        <v>26</v>
      </c>
      <c r="E451" s="10" t="s">
        <v>541</v>
      </c>
      <c r="F451" s="10" t="s">
        <v>210</v>
      </c>
      <c r="G451" s="10" t="s">
        <v>542</v>
      </c>
      <c r="H451" s="8" t="n">
        <v>6</v>
      </c>
      <c r="I451" s="11" t="s">
        <v>1653</v>
      </c>
      <c r="J451" s="12" t="s">
        <v>1817</v>
      </c>
      <c r="K451" s="13" t="s">
        <v>551</v>
      </c>
      <c r="L451" s="12" t="s">
        <v>21</v>
      </c>
      <c r="M451" s="12" t="s">
        <v>969</v>
      </c>
      <c r="N451" s="12" t="s">
        <v>306</v>
      </c>
    </row>
    <row r="452" customFormat="false" ht="19" hidden="false" customHeight="false" outlineLevel="0" collapsed="false">
      <c r="A452" s="7" t="s">
        <v>1818</v>
      </c>
      <c r="B452" s="8" t="s">
        <v>1819</v>
      </c>
      <c r="C452" s="7" t="s">
        <v>1818</v>
      </c>
      <c r="D452" s="9" t="n">
        <v>26</v>
      </c>
      <c r="E452" s="10" t="s">
        <v>541</v>
      </c>
      <c r="F452" s="10" t="s">
        <v>1272</v>
      </c>
      <c r="G452" s="10" t="s">
        <v>542</v>
      </c>
      <c r="H452" s="8" t="n">
        <v>6</v>
      </c>
      <c r="I452" s="11" t="s">
        <v>1653</v>
      </c>
      <c r="J452" s="12" t="s">
        <v>1820</v>
      </c>
      <c r="K452" s="13" t="s">
        <v>1281</v>
      </c>
      <c r="L452" s="12" t="s">
        <v>222</v>
      </c>
      <c r="M452" s="12" t="s">
        <v>1102</v>
      </c>
      <c r="N452" s="12" t="s">
        <v>452</v>
      </c>
    </row>
    <row r="453" customFormat="false" ht="53" hidden="false" customHeight="false" outlineLevel="0" collapsed="false">
      <c r="A453" s="14" t="s">
        <v>1821</v>
      </c>
      <c r="B453" s="8" t="s">
        <v>1822</v>
      </c>
      <c r="C453" s="14" t="s">
        <v>1821</v>
      </c>
      <c r="D453" s="9" t="n">
        <v>26</v>
      </c>
      <c r="E453" s="10" t="s">
        <v>541</v>
      </c>
      <c r="F453" s="10" t="s">
        <v>761</v>
      </c>
      <c r="G453" s="10" t="s">
        <v>542</v>
      </c>
      <c r="H453" s="8" t="n">
        <v>6</v>
      </c>
      <c r="I453" s="11" t="s">
        <v>1653</v>
      </c>
      <c r="J453" s="18" t="s">
        <v>1823</v>
      </c>
      <c r="K453" s="13" t="s">
        <v>551</v>
      </c>
      <c r="L453" s="12" t="s">
        <v>222</v>
      </c>
      <c r="M453" s="12" t="s">
        <v>1824</v>
      </c>
      <c r="N453" s="12" t="s">
        <v>817</v>
      </c>
    </row>
    <row r="454" customFormat="false" ht="19" hidden="false" customHeight="false" outlineLevel="0" collapsed="false">
      <c r="A454" s="7" t="s">
        <v>1825</v>
      </c>
      <c r="B454" s="8" t="s">
        <v>1826</v>
      </c>
      <c r="C454" s="7" t="s">
        <v>1825</v>
      </c>
      <c r="D454" s="9" t="n">
        <v>26</v>
      </c>
      <c r="E454" s="10" t="s">
        <v>541</v>
      </c>
      <c r="F454" s="10" t="s">
        <v>1827</v>
      </c>
      <c r="G454" s="10" t="s">
        <v>542</v>
      </c>
      <c r="H454" s="8" t="n">
        <v>6</v>
      </c>
      <c r="I454" s="11" t="s">
        <v>1653</v>
      </c>
      <c r="J454" s="12" t="s">
        <v>1828</v>
      </c>
      <c r="K454" s="13" t="s">
        <v>551</v>
      </c>
      <c r="L454" s="12" t="s">
        <v>222</v>
      </c>
      <c r="M454" s="12" t="s">
        <v>1102</v>
      </c>
      <c r="N454" s="12" t="s">
        <v>452</v>
      </c>
    </row>
    <row r="455" customFormat="false" ht="61.5" hidden="false" customHeight="false" outlineLevel="0" collapsed="false">
      <c r="A455" s="14" t="s">
        <v>1829</v>
      </c>
      <c r="B455" s="8" t="s">
        <v>1830</v>
      </c>
      <c r="C455" s="14" t="s">
        <v>1829</v>
      </c>
      <c r="D455" s="9" t="n">
        <v>26</v>
      </c>
      <c r="E455" s="10" t="s">
        <v>541</v>
      </c>
      <c r="F455" s="10" t="s">
        <v>1099</v>
      </c>
      <c r="G455" s="10" t="s">
        <v>542</v>
      </c>
      <c r="H455" s="8" t="n">
        <v>6</v>
      </c>
      <c r="I455" s="11" t="s">
        <v>1653</v>
      </c>
      <c r="J455" s="18" t="s">
        <v>1831</v>
      </c>
      <c r="K455" s="12" t="s">
        <v>551</v>
      </c>
      <c r="L455" s="12" t="s">
        <v>222</v>
      </c>
      <c r="M455" s="12" t="s">
        <v>816</v>
      </c>
      <c r="N455" s="12" t="s">
        <v>452</v>
      </c>
    </row>
    <row r="456" customFormat="false" ht="70" hidden="false" customHeight="false" outlineLevel="0" collapsed="false">
      <c r="A456" s="14" t="s">
        <v>1832</v>
      </c>
      <c r="B456" s="8" t="s">
        <v>1833</v>
      </c>
      <c r="C456" s="14" t="s">
        <v>1832</v>
      </c>
      <c r="D456" s="9" t="n">
        <v>26</v>
      </c>
      <c r="E456" s="10" t="s">
        <v>541</v>
      </c>
      <c r="F456" s="10" t="s">
        <v>1834</v>
      </c>
      <c r="G456" s="10" t="s">
        <v>542</v>
      </c>
      <c r="H456" s="8" t="n">
        <v>6</v>
      </c>
      <c r="I456" s="11" t="s">
        <v>1653</v>
      </c>
      <c r="J456" s="18" t="s">
        <v>1835</v>
      </c>
      <c r="K456" s="12" t="s">
        <v>551</v>
      </c>
      <c r="L456" s="12" t="s">
        <v>222</v>
      </c>
      <c r="M456" s="12" t="s">
        <v>816</v>
      </c>
      <c r="N456" s="12" t="s">
        <v>452</v>
      </c>
    </row>
    <row r="457" customFormat="false" ht="19" hidden="false" customHeight="false" outlineLevel="0" collapsed="false">
      <c r="A457" s="7" t="s">
        <v>1836</v>
      </c>
      <c r="B457" s="8" t="s">
        <v>1837</v>
      </c>
      <c r="C457" s="7" t="s">
        <v>1836</v>
      </c>
      <c r="D457" s="9" t="n">
        <v>26</v>
      </c>
      <c r="E457" s="10" t="s">
        <v>541</v>
      </c>
      <c r="F457" s="10" t="s">
        <v>210</v>
      </c>
      <c r="G457" s="10" t="s">
        <v>542</v>
      </c>
      <c r="H457" s="8" t="n">
        <v>6</v>
      </c>
      <c r="I457" s="11" t="s">
        <v>1653</v>
      </c>
      <c r="J457" s="12" t="s">
        <v>1838</v>
      </c>
      <c r="K457" s="12" t="s">
        <v>1386</v>
      </c>
      <c r="L457" s="12" t="s">
        <v>21</v>
      </c>
      <c r="M457" s="12" t="s">
        <v>969</v>
      </c>
      <c r="N457" s="12" t="s">
        <v>452</v>
      </c>
    </row>
    <row r="458" customFormat="false" ht="27.5" hidden="false" customHeight="false" outlineLevel="0" collapsed="false">
      <c r="A458" s="7" t="s">
        <v>1839</v>
      </c>
      <c r="B458" s="8" t="s">
        <v>1840</v>
      </c>
      <c r="C458" s="7" t="s">
        <v>1839</v>
      </c>
      <c r="D458" s="9" t="n">
        <v>26</v>
      </c>
      <c r="E458" s="10" t="s">
        <v>541</v>
      </c>
      <c r="F458" s="10" t="s">
        <v>210</v>
      </c>
      <c r="G458" s="10" t="s">
        <v>542</v>
      </c>
      <c r="H458" s="8" t="n">
        <v>6</v>
      </c>
      <c r="I458" s="11" t="s">
        <v>1653</v>
      </c>
      <c r="J458" s="12" t="s">
        <v>1841</v>
      </c>
      <c r="K458" s="12" t="s">
        <v>1386</v>
      </c>
      <c r="L458" s="12" t="s">
        <v>222</v>
      </c>
      <c r="M458" s="12" t="s">
        <v>969</v>
      </c>
      <c r="N458" s="12" t="s">
        <v>452</v>
      </c>
    </row>
    <row r="459" customFormat="false" ht="19" hidden="false" customHeight="false" outlineLevel="0" collapsed="false">
      <c r="A459" s="7" t="s">
        <v>1842</v>
      </c>
      <c r="B459" s="8" t="s">
        <v>1843</v>
      </c>
      <c r="C459" s="7" t="s">
        <v>1842</v>
      </c>
      <c r="D459" s="9" t="n">
        <v>26</v>
      </c>
      <c r="E459" s="10" t="s">
        <v>541</v>
      </c>
      <c r="F459" s="10" t="s">
        <v>761</v>
      </c>
      <c r="G459" s="10" t="s">
        <v>542</v>
      </c>
      <c r="H459" s="8" t="n">
        <v>6</v>
      </c>
      <c r="I459" s="11" t="s">
        <v>1653</v>
      </c>
      <c r="J459" s="12" t="s">
        <v>1844</v>
      </c>
      <c r="K459" s="12" t="s">
        <v>551</v>
      </c>
      <c r="L459" s="12" t="s">
        <v>222</v>
      </c>
      <c r="M459" s="12" t="s">
        <v>969</v>
      </c>
      <c r="N459" s="12" t="s">
        <v>452</v>
      </c>
    </row>
    <row r="460" customFormat="false" ht="19" hidden="false" customHeight="false" outlineLevel="0" collapsed="false">
      <c r="A460" s="7" t="s">
        <v>1845</v>
      </c>
      <c r="B460" s="8" t="s">
        <v>1846</v>
      </c>
      <c r="C460" s="7" t="s">
        <v>1845</v>
      </c>
      <c r="D460" s="9" t="n">
        <v>26</v>
      </c>
      <c r="E460" s="10" t="s">
        <v>541</v>
      </c>
      <c r="F460" s="10" t="s">
        <v>1847</v>
      </c>
      <c r="G460" s="10" t="s">
        <v>542</v>
      </c>
      <c r="H460" s="8" t="n">
        <v>6</v>
      </c>
      <c r="I460" s="11" t="s">
        <v>1653</v>
      </c>
      <c r="J460" s="12" t="s">
        <v>1848</v>
      </c>
      <c r="K460" s="12" t="s">
        <v>1849</v>
      </c>
      <c r="L460" s="12" t="s">
        <v>21</v>
      </c>
      <c r="M460" s="12" t="s">
        <v>969</v>
      </c>
      <c r="N460" s="12" t="s">
        <v>452</v>
      </c>
    </row>
    <row r="461" customFormat="false" ht="19" hidden="false" customHeight="false" outlineLevel="0" collapsed="false">
      <c r="A461" s="7" t="s">
        <v>1850</v>
      </c>
      <c r="B461" s="8" t="s">
        <v>1851</v>
      </c>
      <c r="C461" s="7" t="s">
        <v>1850</v>
      </c>
      <c r="D461" s="9" t="n">
        <v>26</v>
      </c>
      <c r="E461" s="10" t="s">
        <v>541</v>
      </c>
      <c r="F461" s="10" t="s">
        <v>1847</v>
      </c>
      <c r="G461" s="10" t="s">
        <v>542</v>
      </c>
      <c r="H461" s="8" t="n">
        <v>6</v>
      </c>
      <c r="I461" s="11" t="s">
        <v>1653</v>
      </c>
      <c r="J461" s="12" t="s">
        <v>1852</v>
      </c>
      <c r="K461" s="12" t="s">
        <v>1853</v>
      </c>
      <c r="L461" s="12" t="s">
        <v>222</v>
      </c>
      <c r="M461" s="12" t="s">
        <v>969</v>
      </c>
      <c r="N461" s="12" t="s">
        <v>452</v>
      </c>
    </row>
    <row r="462" customFormat="false" ht="27.5" hidden="false" customHeight="false" outlineLevel="0" collapsed="false">
      <c r="A462" s="14" t="s">
        <v>1854</v>
      </c>
      <c r="B462" s="8" t="s">
        <v>1855</v>
      </c>
      <c r="C462" s="14" t="s">
        <v>1854</v>
      </c>
      <c r="D462" s="9" t="n">
        <v>26</v>
      </c>
      <c r="E462" s="10" t="s">
        <v>541</v>
      </c>
      <c r="F462" s="10" t="s">
        <v>1856</v>
      </c>
      <c r="G462" s="10" t="s">
        <v>542</v>
      </c>
      <c r="H462" s="8" t="n">
        <v>6</v>
      </c>
      <c r="I462" s="11" t="s">
        <v>1653</v>
      </c>
      <c r="J462" s="18" t="s">
        <v>1857</v>
      </c>
      <c r="K462" s="12" t="s">
        <v>551</v>
      </c>
      <c r="L462" s="12" t="s">
        <v>21</v>
      </c>
      <c r="M462" s="12" t="s">
        <v>969</v>
      </c>
      <c r="N462" s="12" t="s">
        <v>452</v>
      </c>
    </row>
    <row r="463" customFormat="false" ht="27.5" hidden="false" customHeight="false" outlineLevel="0" collapsed="false">
      <c r="A463" s="14" t="s">
        <v>1858</v>
      </c>
      <c r="B463" s="8" t="s">
        <v>1859</v>
      </c>
      <c r="C463" s="14" t="s">
        <v>1858</v>
      </c>
      <c r="D463" s="9" t="n">
        <v>26</v>
      </c>
      <c r="E463" s="10" t="s">
        <v>541</v>
      </c>
      <c r="F463" s="10" t="s">
        <v>1860</v>
      </c>
      <c r="G463" s="10" t="s">
        <v>542</v>
      </c>
      <c r="H463" s="8" t="n">
        <v>6</v>
      </c>
      <c r="I463" s="11" t="s">
        <v>1653</v>
      </c>
      <c r="J463" s="21" t="s">
        <v>1861</v>
      </c>
      <c r="K463" s="12" t="s">
        <v>551</v>
      </c>
      <c r="L463" s="12" t="s">
        <v>21</v>
      </c>
      <c r="M463" s="12" t="s">
        <v>969</v>
      </c>
      <c r="N463" s="12" t="s">
        <v>452</v>
      </c>
    </row>
    <row r="464" customFormat="false" ht="53" hidden="false" customHeight="false" outlineLevel="0" collapsed="false">
      <c r="A464" s="14" t="s">
        <v>1862</v>
      </c>
      <c r="B464" s="8" t="s">
        <v>1863</v>
      </c>
      <c r="C464" s="14" t="s">
        <v>1862</v>
      </c>
      <c r="D464" s="9" t="n">
        <v>26</v>
      </c>
      <c r="E464" s="10" t="s">
        <v>541</v>
      </c>
      <c r="F464" s="10" t="s">
        <v>1864</v>
      </c>
      <c r="G464" s="10" t="s">
        <v>542</v>
      </c>
      <c r="H464" s="8" t="n">
        <v>6</v>
      </c>
      <c r="I464" s="11" t="s">
        <v>1653</v>
      </c>
      <c r="J464" s="18" t="s">
        <v>1865</v>
      </c>
      <c r="K464" s="12" t="s">
        <v>551</v>
      </c>
      <c r="L464" s="12" t="s">
        <v>21</v>
      </c>
      <c r="M464" s="12" t="s">
        <v>969</v>
      </c>
      <c r="N464" s="12" t="s">
        <v>452</v>
      </c>
    </row>
    <row r="465" customFormat="false" ht="36" hidden="false" customHeight="false" outlineLevel="0" collapsed="false">
      <c r="A465" s="14" t="s">
        <v>1866</v>
      </c>
      <c r="B465" s="8" t="s">
        <v>1867</v>
      </c>
      <c r="C465" s="14" t="s">
        <v>1866</v>
      </c>
      <c r="D465" s="9" t="n">
        <v>26</v>
      </c>
      <c r="E465" s="10" t="s">
        <v>541</v>
      </c>
      <c r="F465" s="10" t="s">
        <v>1868</v>
      </c>
      <c r="G465" s="10" t="s">
        <v>542</v>
      </c>
      <c r="H465" s="8" t="n">
        <v>6</v>
      </c>
      <c r="I465" s="11" t="s">
        <v>1653</v>
      </c>
      <c r="J465" s="18" t="s">
        <v>1869</v>
      </c>
      <c r="K465" s="12" t="s">
        <v>551</v>
      </c>
      <c r="L465" s="12" t="s">
        <v>21</v>
      </c>
      <c r="M465" s="12" t="s">
        <v>969</v>
      </c>
      <c r="N465" s="12" t="s">
        <v>452</v>
      </c>
    </row>
    <row r="466" customFormat="false" ht="27.5" hidden="false" customHeight="false" outlineLevel="0" collapsed="false">
      <c r="A466" s="20" t="s">
        <v>1870</v>
      </c>
      <c r="B466" s="8" t="s">
        <v>1871</v>
      </c>
      <c r="C466" s="20" t="s">
        <v>1870</v>
      </c>
      <c r="D466" s="9" t="n">
        <v>10</v>
      </c>
      <c r="E466" s="9" t="s">
        <v>142</v>
      </c>
      <c r="F466" s="10" t="s">
        <v>561</v>
      </c>
      <c r="G466" s="10" t="s">
        <v>562</v>
      </c>
      <c r="H466" s="8" t="n">
        <v>6</v>
      </c>
      <c r="I466" s="11" t="s">
        <v>1653</v>
      </c>
      <c r="J466" s="13" t="s">
        <v>1872</v>
      </c>
      <c r="K466" s="13" t="s">
        <v>1873</v>
      </c>
      <c r="L466" s="12" t="s">
        <v>222</v>
      </c>
      <c r="M466" s="12" t="s">
        <v>1526</v>
      </c>
      <c r="N466" s="12" t="s">
        <v>817</v>
      </c>
    </row>
    <row r="467" customFormat="false" ht="36" hidden="false" customHeight="false" outlineLevel="0" collapsed="false">
      <c r="A467" s="7" t="s">
        <v>1874</v>
      </c>
      <c r="B467" s="8" t="s">
        <v>1875</v>
      </c>
      <c r="C467" s="7" t="s">
        <v>1874</v>
      </c>
      <c r="D467" s="10" t="n">
        <v>9</v>
      </c>
      <c r="E467" s="10" t="s">
        <v>113</v>
      </c>
      <c r="F467" s="10" t="s">
        <v>264</v>
      </c>
      <c r="G467" s="10" t="s">
        <v>265</v>
      </c>
      <c r="H467" s="8" t="n">
        <v>6</v>
      </c>
      <c r="I467" s="11" t="s">
        <v>1653</v>
      </c>
      <c r="J467" s="12" t="s">
        <v>1876</v>
      </c>
      <c r="K467" s="12" t="s">
        <v>1877</v>
      </c>
      <c r="L467" s="12" t="s">
        <v>222</v>
      </c>
      <c r="M467" s="12" t="s">
        <v>1102</v>
      </c>
      <c r="N467" s="12" t="s">
        <v>817</v>
      </c>
    </row>
    <row r="468" customFormat="false" ht="19" hidden="false" customHeight="false" outlineLevel="0" collapsed="false">
      <c r="A468" s="7" t="s">
        <v>1878</v>
      </c>
      <c r="B468" s="8" t="s">
        <v>1879</v>
      </c>
      <c r="C468" s="7" t="s">
        <v>1878</v>
      </c>
      <c r="D468" s="10" t="n">
        <v>9</v>
      </c>
      <c r="E468" s="10" t="s">
        <v>113</v>
      </c>
      <c r="F468" s="10" t="s">
        <v>264</v>
      </c>
      <c r="G468" s="10" t="s">
        <v>265</v>
      </c>
      <c r="H468" s="8" t="n">
        <v>6</v>
      </c>
      <c r="I468" s="11" t="s">
        <v>1653</v>
      </c>
      <c r="J468" s="12" t="s">
        <v>1880</v>
      </c>
      <c r="K468" s="12" t="s">
        <v>1877</v>
      </c>
      <c r="L468" s="12" t="s">
        <v>222</v>
      </c>
      <c r="M468" s="12" t="s">
        <v>1102</v>
      </c>
      <c r="N468" s="12" t="s">
        <v>817</v>
      </c>
    </row>
    <row r="469" customFormat="false" ht="78.5" hidden="false" customHeight="false" outlineLevel="0" collapsed="false">
      <c r="A469" s="14" t="s">
        <v>1881</v>
      </c>
      <c r="B469" s="8" t="s">
        <v>1882</v>
      </c>
      <c r="C469" s="14" t="s">
        <v>1881</v>
      </c>
      <c r="D469" s="9" t="n">
        <v>9</v>
      </c>
      <c r="E469" s="10" t="s">
        <v>113</v>
      </c>
      <c r="F469" s="10" t="s">
        <v>264</v>
      </c>
      <c r="G469" s="10" t="s">
        <v>265</v>
      </c>
      <c r="H469" s="8" t="n">
        <v>6</v>
      </c>
      <c r="I469" s="11" t="s">
        <v>1653</v>
      </c>
      <c r="J469" s="18" t="s">
        <v>1883</v>
      </c>
      <c r="K469" s="13" t="s">
        <v>1884</v>
      </c>
      <c r="L469" s="12" t="s">
        <v>222</v>
      </c>
      <c r="M469" s="12" t="s">
        <v>1102</v>
      </c>
      <c r="N469" s="12" t="s">
        <v>306</v>
      </c>
    </row>
    <row r="470" customFormat="false" ht="44.5" hidden="false" customHeight="false" outlineLevel="0" collapsed="false">
      <c r="A470" s="20" t="s">
        <v>1885</v>
      </c>
      <c r="B470" s="8" t="s">
        <v>1886</v>
      </c>
      <c r="C470" s="20" t="s">
        <v>1885</v>
      </c>
      <c r="D470" s="9" t="n">
        <v>22</v>
      </c>
      <c r="E470" s="9" t="s">
        <v>47</v>
      </c>
      <c r="F470" s="10" t="s">
        <v>582</v>
      </c>
      <c r="G470" s="10" t="s">
        <v>579</v>
      </c>
      <c r="H470" s="8" t="n">
        <v>6</v>
      </c>
      <c r="I470" s="11" t="s">
        <v>1653</v>
      </c>
      <c r="J470" s="18" t="s">
        <v>1003</v>
      </c>
      <c r="K470" s="13" t="s">
        <v>1887</v>
      </c>
      <c r="L470" s="12" t="s">
        <v>222</v>
      </c>
      <c r="M470" s="12" t="s">
        <v>1526</v>
      </c>
      <c r="N470" s="12" t="s">
        <v>306</v>
      </c>
    </row>
    <row r="471" customFormat="false" ht="44.5" hidden="false" customHeight="false" outlineLevel="0" collapsed="false">
      <c r="A471" s="14" t="s">
        <v>1888</v>
      </c>
      <c r="B471" s="8" t="s">
        <v>1889</v>
      </c>
      <c r="C471" s="14" t="s">
        <v>1888</v>
      </c>
      <c r="D471" s="9" t="n">
        <v>22</v>
      </c>
      <c r="E471" s="9" t="s">
        <v>47</v>
      </c>
      <c r="F471" s="10" t="s">
        <v>1890</v>
      </c>
      <c r="G471" s="10" t="s">
        <v>1890</v>
      </c>
      <c r="H471" s="8" t="n">
        <v>6</v>
      </c>
      <c r="I471" s="11" t="s">
        <v>1653</v>
      </c>
      <c r="J471" s="21" t="s">
        <v>1891</v>
      </c>
      <c r="K471" s="13" t="s">
        <v>793</v>
      </c>
      <c r="L471" s="12" t="s">
        <v>222</v>
      </c>
      <c r="M471" s="12" t="s">
        <v>816</v>
      </c>
      <c r="N471" s="12" t="s">
        <v>817</v>
      </c>
    </row>
    <row r="472" customFormat="false" ht="36" hidden="false" customHeight="false" outlineLevel="0" collapsed="false">
      <c r="A472" s="20" t="s">
        <v>1892</v>
      </c>
      <c r="B472" s="8" t="s">
        <v>1893</v>
      </c>
      <c r="C472" s="20" t="s">
        <v>1892</v>
      </c>
      <c r="D472" s="9" t="n">
        <v>10</v>
      </c>
      <c r="E472" s="9" t="s">
        <v>142</v>
      </c>
      <c r="F472" s="10" t="s">
        <v>605</v>
      </c>
      <c r="G472" s="10" t="s">
        <v>606</v>
      </c>
      <c r="H472" s="8" t="n">
        <v>6</v>
      </c>
      <c r="I472" s="11" t="s">
        <v>1653</v>
      </c>
      <c r="J472" s="13" t="s">
        <v>1894</v>
      </c>
      <c r="K472" s="13" t="s">
        <v>1895</v>
      </c>
      <c r="L472" s="12" t="s">
        <v>222</v>
      </c>
      <c r="M472" s="12" t="s">
        <v>1526</v>
      </c>
      <c r="N472" s="12" t="s">
        <v>817</v>
      </c>
    </row>
    <row r="473" customFormat="false" ht="53" hidden="false" customHeight="false" outlineLevel="0" collapsed="false">
      <c r="A473" s="20" t="s">
        <v>1896</v>
      </c>
      <c r="B473" s="8" t="s">
        <v>1897</v>
      </c>
      <c r="C473" s="20" t="s">
        <v>1896</v>
      </c>
      <c r="D473" s="9" t="n">
        <v>10</v>
      </c>
      <c r="E473" s="9" t="s">
        <v>142</v>
      </c>
      <c r="F473" s="10" t="s">
        <v>605</v>
      </c>
      <c r="G473" s="10" t="s">
        <v>606</v>
      </c>
      <c r="H473" s="8" t="n">
        <v>6</v>
      </c>
      <c r="I473" s="11" t="s">
        <v>1653</v>
      </c>
      <c r="J473" s="13" t="s">
        <v>1898</v>
      </c>
      <c r="K473" s="13" t="s">
        <v>1895</v>
      </c>
      <c r="L473" s="12" t="s">
        <v>222</v>
      </c>
      <c r="M473" s="12" t="s">
        <v>1102</v>
      </c>
      <c r="N473" s="12" t="s">
        <v>306</v>
      </c>
    </row>
    <row r="474" customFormat="false" ht="36" hidden="false" customHeight="false" outlineLevel="0" collapsed="false">
      <c r="A474" s="20" t="s">
        <v>1899</v>
      </c>
      <c r="B474" s="8" t="s">
        <v>1900</v>
      </c>
      <c r="C474" s="20" t="s">
        <v>1899</v>
      </c>
      <c r="D474" s="9" t="n">
        <v>7</v>
      </c>
      <c r="E474" s="9" t="s">
        <v>273</v>
      </c>
      <c r="F474" s="10" t="s">
        <v>274</v>
      </c>
      <c r="G474" s="10" t="s">
        <v>275</v>
      </c>
      <c r="H474" s="8" t="n">
        <v>6</v>
      </c>
      <c r="I474" s="11" t="s">
        <v>1653</v>
      </c>
      <c r="J474" s="18" t="s">
        <v>1901</v>
      </c>
      <c r="K474" s="13" t="s">
        <v>1902</v>
      </c>
      <c r="L474" s="12" t="s">
        <v>1903</v>
      </c>
      <c r="M474" s="12" t="s">
        <v>1824</v>
      </c>
      <c r="N474" s="12" t="s">
        <v>306</v>
      </c>
    </row>
    <row r="475" customFormat="false" ht="36" hidden="false" customHeight="false" outlineLevel="0" collapsed="false">
      <c r="A475" s="20" t="s">
        <v>1904</v>
      </c>
      <c r="B475" s="8" t="s">
        <v>1905</v>
      </c>
      <c r="C475" s="20" t="s">
        <v>1904</v>
      </c>
      <c r="D475" s="9" t="n">
        <v>7</v>
      </c>
      <c r="E475" s="9" t="s">
        <v>273</v>
      </c>
      <c r="F475" s="10" t="s">
        <v>274</v>
      </c>
      <c r="G475" s="10" t="s">
        <v>275</v>
      </c>
      <c r="H475" s="8" t="n">
        <v>6</v>
      </c>
      <c r="I475" s="11" t="s">
        <v>1653</v>
      </c>
      <c r="J475" s="13" t="s">
        <v>1906</v>
      </c>
      <c r="K475" s="13" t="s">
        <v>1907</v>
      </c>
      <c r="L475" s="12" t="s">
        <v>222</v>
      </c>
      <c r="M475" s="12" t="s">
        <v>1102</v>
      </c>
      <c r="N475" s="12" t="s">
        <v>306</v>
      </c>
    </row>
    <row r="476" customFormat="false" ht="36" hidden="false" customHeight="false" outlineLevel="0" collapsed="false">
      <c r="A476" s="7" t="s">
        <v>1908</v>
      </c>
      <c r="B476" s="8" t="s">
        <v>1909</v>
      </c>
      <c r="C476" s="7" t="s">
        <v>1908</v>
      </c>
      <c r="D476" s="9" t="n">
        <v>11</v>
      </c>
      <c r="E476" s="10" t="s">
        <v>69</v>
      </c>
      <c r="F476" s="10" t="s">
        <v>70</v>
      </c>
      <c r="G476" s="10" t="s">
        <v>70</v>
      </c>
      <c r="H476" s="8" t="n">
        <v>6</v>
      </c>
      <c r="I476" s="11" t="s">
        <v>1653</v>
      </c>
      <c r="J476" s="12" t="s">
        <v>1910</v>
      </c>
      <c r="K476" s="13" t="s">
        <v>1192</v>
      </c>
      <c r="L476" s="12" t="s">
        <v>222</v>
      </c>
      <c r="M476" s="12" t="s">
        <v>1102</v>
      </c>
      <c r="N476" s="12" t="s">
        <v>817</v>
      </c>
    </row>
    <row r="477" customFormat="false" ht="44.5" hidden="false" customHeight="false" outlineLevel="0" collapsed="false">
      <c r="A477" s="14" t="s">
        <v>1911</v>
      </c>
      <c r="B477" s="8" t="s">
        <v>1912</v>
      </c>
      <c r="C477" s="14" t="s">
        <v>1911</v>
      </c>
      <c r="D477" s="9" t="n">
        <v>11</v>
      </c>
      <c r="E477" s="10" t="s">
        <v>69</v>
      </c>
      <c r="F477" s="10" t="s">
        <v>284</v>
      </c>
      <c r="G477" s="10" t="s">
        <v>284</v>
      </c>
      <c r="H477" s="8" t="n">
        <v>6</v>
      </c>
      <c r="I477" s="11" t="s">
        <v>1653</v>
      </c>
      <c r="J477" s="18" t="s">
        <v>1913</v>
      </c>
      <c r="K477" s="13" t="s">
        <v>1914</v>
      </c>
      <c r="L477" s="12" t="s">
        <v>222</v>
      </c>
      <c r="M477" s="12" t="s">
        <v>1102</v>
      </c>
      <c r="N477" s="12" t="s">
        <v>817</v>
      </c>
    </row>
    <row r="478" customFormat="false" ht="61.5" hidden="false" customHeight="false" outlineLevel="0" collapsed="false">
      <c r="A478" s="14" t="s">
        <v>1915</v>
      </c>
      <c r="B478" s="8" t="s">
        <v>1916</v>
      </c>
      <c r="C478" s="14" t="s">
        <v>1915</v>
      </c>
      <c r="D478" s="9" t="n">
        <v>11</v>
      </c>
      <c r="E478" s="10" t="s">
        <v>69</v>
      </c>
      <c r="F478" s="10" t="s">
        <v>284</v>
      </c>
      <c r="G478" s="10" t="s">
        <v>284</v>
      </c>
      <c r="H478" s="8" t="n">
        <v>6</v>
      </c>
      <c r="I478" s="11" t="s">
        <v>1653</v>
      </c>
      <c r="J478" s="18" t="s">
        <v>1917</v>
      </c>
      <c r="K478" s="13" t="s">
        <v>1914</v>
      </c>
      <c r="L478" s="12" t="s">
        <v>1676</v>
      </c>
      <c r="M478" s="12" t="s">
        <v>1526</v>
      </c>
      <c r="N478" s="12" t="s">
        <v>817</v>
      </c>
    </row>
    <row r="479" customFormat="false" ht="36" hidden="false" customHeight="false" outlineLevel="0" collapsed="false">
      <c r="A479" s="20" t="s">
        <v>1918</v>
      </c>
      <c r="B479" s="8" t="s">
        <v>1919</v>
      </c>
      <c r="C479" s="20" t="s">
        <v>1918</v>
      </c>
      <c r="D479" s="9" t="n">
        <v>5</v>
      </c>
      <c r="E479" s="9" t="s">
        <v>63</v>
      </c>
      <c r="F479" s="10" t="s">
        <v>611</v>
      </c>
      <c r="G479" s="10" t="s">
        <v>611</v>
      </c>
      <c r="H479" s="8" t="n">
        <v>6</v>
      </c>
      <c r="I479" s="11" t="s">
        <v>1653</v>
      </c>
      <c r="J479" s="18" t="s">
        <v>1920</v>
      </c>
      <c r="K479" s="13" t="s">
        <v>1921</v>
      </c>
      <c r="L479" s="12" t="s">
        <v>222</v>
      </c>
      <c r="M479" s="12" t="s">
        <v>1526</v>
      </c>
      <c r="N479" s="12" t="s">
        <v>817</v>
      </c>
    </row>
    <row r="480" customFormat="false" ht="36" hidden="false" customHeight="false" outlineLevel="0" collapsed="false">
      <c r="A480" s="7" t="s">
        <v>1922</v>
      </c>
      <c r="B480" s="8" t="s">
        <v>1923</v>
      </c>
      <c r="C480" s="7" t="s">
        <v>1922</v>
      </c>
      <c r="D480" s="9" t="n">
        <v>20</v>
      </c>
      <c r="E480" s="9" t="s">
        <v>53</v>
      </c>
      <c r="F480" s="10" t="s">
        <v>349</v>
      </c>
      <c r="G480" s="10" t="s">
        <v>611</v>
      </c>
      <c r="H480" s="8" t="n">
        <v>6</v>
      </c>
      <c r="I480" s="11" t="s">
        <v>1653</v>
      </c>
      <c r="J480" s="12" t="s">
        <v>1924</v>
      </c>
      <c r="K480" s="12" t="s">
        <v>1438</v>
      </c>
      <c r="L480" s="12" t="s">
        <v>222</v>
      </c>
      <c r="M480" s="12" t="s">
        <v>816</v>
      </c>
      <c r="N480" s="12" t="s">
        <v>817</v>
      </c>
    </row>
    <row r="481" customFormat="false" ht="70.5" hidden="false" customHeight="true" outlineLevel="0" collapsed="false">
      <c r="A481" s="20" t="s">
        <v>1925</v>
      </c>
      <c r="B481" s="8" t="s">
        <v>1926</v>
      </c>
      <c r="C481" s="20" t="s">
        <v>1925</v>
      </c>
      <c r="D481" s="9" t="n">
        <v>10</v>
      </c>
      <c r="E481" s="9" t="s">
        <v>142</v>
      </c>
      <c r="F481" s="10" t="s">
        <v>621</v>
      </c>
      <c r="G481" s="10" t="s">
        <v>621</v>
      </c>
      <c r="H481" s="8" t="n">
        <v>6</v>
      </c>
      <c r="I481" s="11" t="s">
        <v>1653</v>
      </c>
      <c r="J481" s="18" t="s">
        <v>1927</v>
      </c>
      <c r="K481" s="13" t="s">
        <v>1928</v>
      </c>
      <c r="L481" s="12" t="s">
        <v>222</v>
      </c>
      <c r="M481" s="12" t="s">
        <v>1526</v>
      </c>
      <c r="N481" s="12" t="s">
        <v>306</v>
      </c>
    </row>
    <row r="482" customFormat="false" ht="88.5" hidden="false" customHeight="true" outlineLevel="0" collapsed="false">
      <c r="A482" s="20" t="s">
        <v>1929</v>
      </c>
      <c r="B482" s="8" t="s">
        <v>1930</v>
      </c>
      <c r="C482" s="20" t="s">
        <v>1929</v>
      </c>
      <c r="D482" s="9" t="n">
        <v>5</v>
      </c>
      <c r="E482" s="9" t="s">
        <v>63</v>
      </c>
      <c r="F482" s="10" t="s">
        <v>625</v>
      </c>
      <c r="G482" s="10" t="s">
        <v>626</v>
      </c>
      <c r="H482" s="8" t="n">
        <v>6</v>
      </c>
      <c r="I482" s="11" t="s">
        <v>1653</v>
      </c>
      <c r="J482" s="18" t="s">
        <v>1931</v>
      </c>
      <c r="K482" s="13" t="s">
        <v>1932</v>
      </c>
      <c r="L482" s="12" t="s">
        <v>222</v>
      </c>
      <c r="M482" s="12" t="s">
        <v>1526</v>
      </c>
      <c r="N482" s="12" t="s">
        <v>306</v>
      </c>
    </row>
    <row r="483" customFormat="false" ht="39.75" hidden="false" customHeight="true" outlineLevel="0" collapsed="false">
      <c r="A483" s="20" t="s">
        <v>1933</v>
      </c>
      <c r="B483" s="8" t="s">
        <v>1934</v>
      </c>
      <c r="C483" s="20" t="s">
        <v>1933</v>
      </c>
      <c r="D483" s="9" t="n">
        <v>22</v>
      </c>
      <c r="E483" s="9" t="s">
        <v>47</v>
      </c>
      <c r="F483" s="10" t="s">
        <v>1935</v>
      </c>
      <c r="G483" s="10" t="s">
        <v>1936</v>
      </c>
      <c r="H483" s="8" t="n">
        <v>6</v>
      </c>
      <c r="I483" s="11" t="s">
        <v>1653</v>
      </c>
      <c r="J483" s="13" t="s">
        <v>1937</v>
      </c>
      <c r="K483" s="13" t="s">
        <v>1938</v>
      </c>
      <c r="L483" s="12" t="s">
        <v>222</v>
      </c>
      <c r="M483" s="12" t="s">
        <v>1102</v>
      </c>
      <c r="N483" s="12" t="s">
        <v>23</v>
      </c>
    </row>
    <row r="484" customFormat="false" ht="27.5" hidden="false" customHeight="false" outlineLevel="0" collapsed="false">
      <c r="A484" s="20" t="s">
        <v>1939</v>
      </c>
      <c r="B484" s="8" t="s">
        <v>1940</v>
      </c>
      <c r="C484" s="20" t="s">
        <v>1939</v>
      </c>
      <c r="D484" s="9" t="n">
        <v>22</v>
      </c>
      <c r="E484" s="9" t="s">
        <v>47</v>
      </c>
      <c r="F484" s="10" t="s">
        <v>1941</v>
      </c>
      <c r="G484" s="10" t="s">
        <v>1941</v>
      </c>
      <c r="H484" s="8" t="n">
        <v>6</v>
      </c>
      <c r="I484" s="11" t="s">
        <v>1653</v>
      </c>
      <c r="J484" s="13" t="s">
        <v>1942</v>
      </c>
      <c r="K484" s="12" t="s">
        <v>1938</v>
      </c>
      <c r="L484" s="12" t="s">
        <v>222</v>
      </c>
      <c r="M484" s="12" t="s">
        <v>1102</v>
      </c>
      <c r="N484" s="12" t="s">
        <v>817</v>
      </c>
    </row>
    <row r="485" customFormat="false" ht="27.5" hidden="false" customHeight="false" outlineLevel="0" collapsed="false">
      <c r="A485" s="20" t="s">
        <v>1943</v>
      </c>
      <c r="B485" s="8" t="s">
        <v>1944</v>
      </c>
      <c r="C485" s="20" t="s">
        <v>1943</v>
      </c>
      <c r="D485" s="9" t="n">
        <v>9</v>
      </c>
      <c r="E485" s="10" t="s">
        <v>113</v>
      </c>
      <c r="F485" s="10" t="s">
        <v>296</v>
      </c>
      <c r="G485" s="10" t="s">
        <v>296</v>
      </c>
      <c r="H485" s="8" t="n">
        <v>6</v>
      </c>
      <c r="I485" s="11" t="s">
        <v>1653</v>
      </c>
      <c r="J485" s="18" t="s">
        <v>1945</v>
      </c>
      <c r="K485" s="13" t="s">
        <v>1946</v>
      </c>
      <c r="L485" s="12" t="s">
        <v>222</v>
      </c>
      <c r="M485" s="12" t="s">
        <v>1526</v>
      </c>
      <c r="N485" s="12" t="s">
        <v>817</v>
      </c>
    </row>
    <row r="486" customFormat="false" ht="27.5" hidden="false" customHeight="false" outlineLevel="0" collapsed="false">
      <c r="A486" s="7" t="s">
        <v>1947</v>
      </c>
      <c r="B486" s="8" t="s">
        <v>1948</v>
      </c>
      <c r="C486" s="7" t="s">
        <v>1947</v>
      </c>
      <c r="D486" s="9" t="n">
        <v>22</v>
      </c>
      <c r="E486" s="9" t="s">
        <v>47</v>
      </c>
      <c r="F486" s="10" t="s">
        <v>639</v>
      </c>
      <c r="G486" s="10" t="s">
        <v>79</v>
      </c>
      <c r="H486" s="8" t="n">
        <v>6</v>
      </c>
      <c r="I486" s="11" t="s">
        <v>1653</v>
      </c>
      <c r="J486" s="12" t="s">
        <v>1949</v>
      </c>
      <c r="K486" s="12" t="s">
        <v>1950</v>
      </c>
      <c r="L486" s="12" t="s">
        <v>222</v>
      </c>
      <c r="M486" s="12" t="s">
        <v>816</v>
      </c>
      <c r="N486" s="12" t="s">
        <v>306</v>
      </c>
    </row>
    <row r="487" customFormat="false" ht="36" hidden="false" customHeight="false" outlineLevel="0" collapsed="false">
      <c r="A487" s="14" t="s">
        <v>1951</v>
      </c>
      <c r="B487" s="8" t="s">
        <v>1952</v>
      </c>
      <c r="C487" s="14" t="s">
        <v>1951</v>
      </c>
      <c r="D487" s="9" t="n">
        <v>22</v>
      </c>
      <c r="E487" s="10" t="s">
        <v>47</v>
      </c>
      <c r="F487" s="10" t="s">
        <v>639</v>
      </c>
      <c r="G487" s="10" t="s">
        <v>639</v>
      </c>
      <c r="H487" s="8" t="n">
        <v>6</v>
      </c>
      <c r="I487" s="11" t="s">
        <v>1653</v>
      </c>
      <c r="J487" s="18" t="s">
        <v>1953</v>
      </c>
      <c r="K487" s="13" t="s">
        <v>1954</v>
      </c>
      <c r="L487" s="12" t="s">
        <v>222</v>
      </c>
      <c r="M487" s="12" t="s">
        <v>223</v>
      </c>
      <c r="N487" s="12" t="s">
        <v>23</v>
      </c>
    </row>
    <row r="488" customFormat="false" ht="36" hidden="false" customHeight="false" outlineLevel="0" collapsed="false">
      <c r="A488" s="7" t="s">
        <v>1955</v>
      </c>
      <c r="B488" s="8" t="s">
        <v>1956</v>
      </c>
      <c r="C488" s="7" t="s">
        <v>1955</v>
      </c>
      <c r="D488" s="9" t="n">
        <v>22</v>
      </c>
      <c r="E488" s="9" t="s">
        <v>47</v>
      </c>
      <c r="F488" s="10" t="s">
        <v>203</v>
      </c>
      <c r="G488" s="10" t="s">
        <v>639</v>
      </c>
      <c r="H488" s="8" t="n">
        <v>6</v>
      </c>
      <c r="I488" s="11" t="s">
        <v>1653</v>
      </c>
      <c r="J488" s="12" t="s">
        <v>1957</v>
      </c>
      <c r="K488" s="12" t="s">
        <v>1958</v>
      </c>
      <c r="L488" s="12" t="s">
        <v>222</v>
      </c>
      <c r="M488" s="12" t="s">
        <v>969</v>
      </c>
      <c r="N488" s="12" t="s">
        <v>452</v>
      </c>
    </row>
    <row r="489" customFormat="false" ht="27.5" hidden="false" customHeight="false" outlineLevel="0" collapsed="false">
      <c r="A489" s="7" t="s">
        <v>1959</v>
      </c>
      <c r="B489" s="8" t="s">
        <v>1960</v>
      </c>
      <c r="C489" s="7" t="s">
        <v>1959</v>
      </c>
      <c r="D489" s="9" t="n">
        <v>22</v>
      </c>
      <c r="E489" s="9" t="s">
        <v>47</v>
      </c>
      <c r="F489" s="10" t="s">
        <v>639</v>
      </c>
      <c r="G489" s="10" t="s">
        <v>639</v>
      </c>
      <c r="H489" s="8" t="n">
        <v>6</v>
      </c>
      <c r="I489" s="11" t="s">
        <v>1653</v>
      </c>
      <c r="J489" s="12" t="s">
        <v>1961</v>
      </c>
      <c r="K489" s="12" t="s">
        <v>1958</v>
      </c>
      <c r="L489" s="12" t="s">
        <v>222</v>
      </c>
      <c r="M489" s="12" t="s">
        <v>969</v>
      </c>
      <c r="N489" s="12" t="s">
        <v>452</v>
      </c>
    </row>
    <row r="490" customFormat="false" ht="27.5" hidden="false" customHeight="false" outlineLevel="0" collapsed="false">
      <c r="A490" s="7" t="s">
        <v>1962</v>
      </c>
      <c r="B490" s="8" t="s">
        <v>1963</v>
      </c>
      <c r="C490" s="7" t="s">
        <v>1962</v>
      </c>
      <c r="D490" s="9" t="n">
        <v>22</v>
      </c>
      <c r="E490" s="9" t="s">
        <v>47</v>
      </c>
      <c r="F490" s="10" t="s">
        <v>781</v>
      </c>
      <c r="G490" s="10" t="s">
        <v>639</v>
      </c>
      <c r="H490" s="8" t="n">
        <v>6</v>
      </c>
      <c r="I490" s="11" t="s">
        <v>1653</v>
      </c>
      <c r="J490" s="12" t="s">
        <v>1964</v>
      </c>
      <c r="K490" s="12" t="s">
        <v>1958</v>
      </c>
      <c r="L490" s="12" t="s">
        <v>222</v>
      </c>
      <c r="M490" s="12" t="s">
        <v>969</v>
      </c>
      <c r="N490" s="12" t="s">
        <v>452</v>
      </c>
    </row>
    <row r="491" customFormat="false" ht="27.5" hidden="false" customHeight="false" outlineLevel="0" collapsed="false">
      <c r="A491" s="7" t="s">
        <v>1965</v>
      </c>
      <c r="B491" s="8" t="s">
        <v>1966</v>
      </c>
      <c r="C491" s="7" t="s">
        <v>1965</v>
      </c>
      <c r="D491" s="9" t="n">
        <v>22</v>
      </c>
      <c r="E491" s="9" t="s">
        <v>47</v>
      </c>
      <c r="F491" s="10" t="s">
        <v>79</v>
      </c>
      <c r="G491" s="10" t="s">
        <v>639</v>
      </c>
      <c r="H491" s="8" t="n">
        <v>6</v>
      </c>
      <c r="I491" s="11" t="s">
        <v>1653</v>
      </c>
      <c r="J491" s="12" t="s">
        <v>1967</v>
      </c>
      <c r="K491" s="12" t="s">
        <v>1968</v>
      </c>
      <c r="L491" s="12" t="s">
        <v>222</v>
      </c>
      <c r="M491" s="12" t="s">
        <v>969</v>
      </c>
      <c r="N491" s="12" t="s">
        <v>452</v>
      </c>
    </row>
    <row r="492" customFormat="false" ht="27.5" hidden="false" customHeight="false" outlineLevel="0" collapsed="false">
      <c r="A492" s="7" t="s">
        <v>1969</v>
      </c>
      <c r="B492" s="8" t="s">
        <v>1970</v>
      </c>
      <c r="C492" s="7" t="s">
        <v>1969</v>
      </c>
      <c r="D492" s="9" t="n">
        <v>22</v>
      </c>
      <c r="E492" s="9" t="s">
        <v>47</v>
      </c>
      <c r="F492" s="10" t="s">
        <v>398</v>
      </c>
      <c r="G492" s="10" t="s">
        <v>639</v>
      </c>
      <c r="H492" s="8" t="n">
        <v>6</v>
      </c>
      <c r="I492" s="11" t="s">
        <v>1653</v>
      </c>
      <c r="J492" s="12" t="s">
        <v>1971</v>
      </c>
      <c r="K492" s="12" t="s">
        <v>1225</v>
      </c>
      <c r="L492" s="12" t="s">
        <v>222</v>
      </c>
      <c r="M492" s="12" t="s">
        <v>969</v>
      </c>
      <c r="N492" s="12" t="s">
        <v>452</v>
      </c>
    </row>
    <row r="493" customFormat="false" ht="44.5" hidden="false" customHeight="false" outlineLevel="0" collapsed="false">
      <c r="A493" s="14" t="s">
        <v>1972</v>
      </c>
      <c r="B493" s="8" t="s">
        <v>1973</v>
      </c>
      <c r="C493" s="14" t="s">
        <v>1972</v>
      </c>
      <c r="D493" s="9" t="n">
        <v>22</v>
      </c>
      <c r="E493" s="9" t="s">
        <v>47</v>
      </c>
      <c r="F493" s="10" t="s">
        <v>639</v>
      </c>
      <c r="G493" s="10" t="s">
        <v>639</v>
      </c>
      <c r="H493" s="8" t="n">
        <v>6</v>
      </c>
      <c r="I493" s="11" t="s">
        <v>1653</v>
      </c>
      <c r="J493" s="21" t="s">
        <v>1974</v>
      </c>
      <c r="K493" s="12" t="s">
        <v>1975</v>
      </c>
      <c r="L493" s="12" t="s">
        <v>1676</v>
      </c>
      <c r="M493" s="12" t="s">
        <v>1526</v>
      </c>
      <c r="N493" s="12" t="s">
        <v>817</v>
      </c>
    </row>
    <row r="494" customFormat="false" ht="27.5" hidden="false" customHeight="false" outlineLevel="0" collapsed="false">
      <c r="A494" s="7" t="s">
        <v>1976</v>
      </c>
      <c r="B494" s="8" t="s">
        <v>1977</v>
      </c>
      <c r="C494" s="7" t="s">
        <v>1976</v>
      </c>
      <c r="D494" s="9" t="n">
        <v>18</v>
      </c>
      <c r="E494" s="10" t="s">
        <v>449</v>
      </c>
      <c r="F494" s="10" t="s">
        <v>600</v>
      </c>
      <c r="G494" s="10" t="s">
        <v>600</v>
      </c>
      <c r="H494" s="8" t="n">
        <v>6</v>
      </c>
      <c r="I494" s="11" t="s">
        <v>1653</v>
      </c>
      <c r="J494" s="12" t="s">
        <v>1978</v>
      </c>
      <c r="K494" s="13" t="s">
        <v>1979</v>
      </c>
      <c r="L494" s="12" t="s">
        <v>222</v>
      </c>
      <c r="M494" s="12" t="s">
        <v>1102</v>
      </c>
      <c r="N494" s="12" t="s">
        <v>817</v>
      </c>
    </row>
    <row r="495" customFormat="false" ht="19" hidden="false" customHeight="false" outlineLevel="0" collapsed="false">
      <c r="A495" s="7" t="s">
        <v>1980</v>
      </c>
      <c r="B495" s="8" t="s">
        <v>1981</v>
      </c>
      <c r="C495" s="7" t="s">
        <v>1980</v>
      </c>
      <c r="D495" s="9" t="n">
        <v>18</v>
      </c>
      <c r="E495" s="10" t="s">
        <v>449</v>
      </c>
      <c r="F495" s="10" t="s">
        <v>600</v>
      </c>
      <c r="G495" s="10" t="s">
        <v>600</v>
      </c>
      <c r="H495" s="8" t="n">
        <v>6</v>
      </c>
      <c r="I495" s="11" t="s">
        <v>1653</v>
      </c>
      <c r="J495" s="12" t="s">
        <v>1982</v>
      </c>
      <c r="K495" s="13" t="s">
        <v>1979</v>
      </c>
      <c r="L495" s="12" t="s">
        <v>222</v>
      </c>
      <c r="M495" s="12" t="s">
        <v>1102</v>
      </c>
      <c r="N495" s="12" t="s">
        <v>817</v>
      </c>
    </row>
    <row r="496" customFormat="false" ht="36" hidden="false" customHeight="false" outlineLevel="0" collapsed="false">
      <c r="A496" s="7" t="s">
        <v>1983</v>
      </c>
      <c r="B496" s="8" t="s">
        <v>1984</v>
      </c>
      <c r="C496" s="7" t="s">
        <v>1983</v>
      </c>
      <c r="D496" s="9" t="n">
        <v>6</v>
      </c>
      <c r="E496" s="10" t="s">
        <v>180</v>
      </c>
      <c r="F496" s="10" t="s">
        <v>1985</v>
      </c>
      <c r="G496" s="10" t="s">
        <v>1985</v>
      </c>
      <c r="H496" s="8" t="n">
        <v>6</v>
      </c>
      <c r="I496" s="11" t="s">
        <v>1653</v>
      </c>
      <c r="J496" s="12" t="s">
        <v>1986</v>
      </c>
      <c r="K496" s="13" t="s">
        <v>1987</v>
      </c>
      <c r="L496" s="12" t="s">
        <v>222</v>
      </c>
      <c r="M496" s="12" t="s">
        <v>1526</v>
      </c>
      <c r="N496" s="12" t="s">
        <v>306</v>
      </c>
    </row>
    <row r="497" customFormat="false" ht="36" hidden="false" customHeight="false" outlineLevel="0" collapsed="false">
      <c r="A497" s="7" t="s">
        <v>1988</v>
      </c>
      <c r="B497" s="8" t="s">
        <v>1989</v>
      </c>
      <c r="C497" s="7" t="s">
        <v>1988</v>
      </c>
      <c r="D497" s="9" t="n">
        <v>6</v>
      </c>
      <c r="E497" s="10" t="s">
        <v>180</v>
      </c>
      <c r="F497" s="10" t="s">
        <v>1985</v>
      </c>
      <c r="G497" s="10" t="s">
        <v>1985</v>
      </c>
      <c r="H497" s="8" t="n">
        <v>6</v>
      </c>
      <c r="I497" s="11" t="s">
        <v>1653</v>
      </c>
      <c r="J497" s="12" t="s">
        <v>1990</v>
      </c>
      <c r="K497" s="12" t="s">
        <v>1405</v>
      </c>
      <c r="L497" s="12" t="s">
        <v>222</v>
      </c>
      <c r="M497" s="12" t="s">
        <v>816</v>
      </c>
      <c r="N497" s="12" t="s">
        <v>306</v>
      </c>
    </row>
    <row r="498" customFormat="false" ht="44.5" hidden="false" customHeight="false" outlineLevel="0" collapsed="false">
      <c r="A498" s="7" t="s">
        <v>1991</v>
      </c>
      <c r="B498" s="8" t="s">
        <v>1992</v>
      </c>
      <c r="C498" s="7" t="s">
        <v>1991</v>
      </c>
      <c r="D498" s="9" t="n">
        <v>22</v>
      </c>
      <c r="E498" s="9" t="s">
        <v>47</v>
      </c>
      <c r="F498" s="10" t="s">
        <v>348</v>
      </c>
      <c r="G498" s="10" t="s">
        <v>1993</v>
      </c>
      <c r="H498" s="8" t="n">
        <v>6</v>
      </c>
      <c r="I498" s="11" t="s">
        <v>1653</v>
      </c>
      <c r="J498" s="12" t="s">
        <v>1994</v>
      </c>
      <c r="K498" s="12" t="s">
        <v>1995</v>
      </c>
      <c r="L498" s="12" t="s">
        <v>222</v>
      </c>
      <c r="M498" s="12" t="s">
        <v>1102</v>
      </c>
      <c r="N498" s="12" t="s">
        <v>817</v>
      </c>
    </row>
    <row r="499" customFormat="false" ht="36" hidden="false" customHeight="false" outlineLevel="0" collapsed="false">
      <c r="A499" s="20" t="s">
        <v>1996</v>
      </c>
      <c r="B499" s="8" t="s">
        <v>1997</v>
      </c>
      <c r="C499" s="20" t="s">
        <v>1996</v>
      </c>
      <c r="D499" s="9" t="n">
        <v>22</v>
      </c>
      <c r="E499" s="9" t="s">
        <v>47</v>
      </c>
      <c r="F499" s="10" t="s">
        <v>657</v>
      </c>
      <c r="G499" s="10" t="s">
        <v>657</v>
      </c>
      <c r="H499" s="8" t="n">
        <v>6</v>
      </c>
      <c r="I499" s="11" t="s">
        <v>1653</v>
      </c>
      <c r="J499" s="13" t="s">
        <v>1998</v>
      </c>
      <c r="K499" s="12" t="s">
        <v>1999</v>
      </c>
      <c r="L499" s="12" t="s">
        <v>222</v>
      </c>
      <c r="M499" s="12" t="s">
        <v>816</v>
      </c>
      <c r="N499" s="12" t="s">
        <v>452</v>
      </c>
    </row>
    <row r="500" customFormat="false" ht="27.5" hidden="false" customHeight="false" outlineLevel="0" collapsed="false">
      <c r="A500" s="7" t="s">
        <v>2000</v>
      </c>
      <c r="B500" s="8" t="s">
        <v>2001</v>
      </c>
      <c r="C500" s="7" t="s">
        <v>2000</v>
      </c>
      <c r="D500" s="9" t="n">
        <v>10</v>
      </c>
      <c r="E500" s="10" t="s">
        <v>142</v>
      </c>
      <c r="F500" s="10" t="s">
        <v>669</v>
      </c>
      <c r="G500" s="10" t="s">
        <v>669</v>
      </c>
      <c r="H500" s="8" t="n">
        <v>6</v>
      </c>
      <c r="I500" s="11" t="s">
        <v>1653</v>
      </c>
      <c r="J500" s="12" t="s">
        <v>2002</v>
      </c>
      <c r="K500" s="12" t="s">
        <v>1306</v>
      </c>
      <c r="L500" s="12" t="s">
        <v>222</v>
      </c>
      <c r="M500" s="12" t="s">
        <v>816</v>
      </c>
      <c r="N500" s="12" t="s">
        <v>306</v>
      </c>
    </row>
    <row r="501" customFormat="false" ht="36" hidden="false" customHeight="false" outlineLevel="0" collapsed="false">
      <c r="A501" s="7" t="s">
        <v>2003</v>
      </c>
      <c r="B501" s="8" t="s">
        <v>2004</v>
      </c>
      <c r="C501" s="7" t="s">
        <v>2003</v>
      </c>
      <c r="D501" s="9" t="n">
        <v>11</v>
      </c>
      <c r="E501" s="10" t="s">
        <v>69</v>
      </c>
      <c r="F501" s="10" t="s">
        <v>455</v>
      </c>
      <c r="G501" s="10" t="s">
        <v>455</v>
      </c>
      <c r="H501" s="8" t="n">
        <v>6</v>
      </c>
      <c r="I501" s="11" t="s">
        <v>1653</v>
      </c>
      <c r="J501" s="12" t="s">
        <v>2005</v>
      </c>
      <c r="K501" s="13" t="s">
        <v>2006</v>
      </c>
      <c r="L501" s="12" t="s">
        <v>222</v>
      </c>
      <c r="M501" s="12" t="s">
        <v>1102</v>
      </c>
      <c r="N501" s="12" t="s">
        <v>817</v>
      </c>
    </row>
    <row r="502" customFormat="false" ht="19" hidden="false" customHeight="false" outlineLevel="0" collapsed="false">
      <c r="A502" s="7" t="s">
        <v>2007</v>
      </c>
      <c r="B502" s="8" t="s">
        <v>2008</v>
      </c>
      <c r="C502" s="7" t="s">
        <v>2007</v>
      </c>
      <c r="D502" s="9" t="n">
        <v>11</v>
      </c>
      <c r="E502" s="10" t="s">
        <v>69</v>
      </c>
      <c r="F502" s="10" t="s">
        <v>455</v>
      </c>
      <c r="G502" s="10" t="s">
        <v>455</v>
      </c>
      <c r="H502" s="8" t="n">
        <v>6</v>
      </c>
      <c r="I502" s="11" t="s">
        <v>1653</v>
      </c>
      <c r="J502" s="12" t="s">
        <v>2009</v>
      </c>
      <c r="K502" s="13" t="s">
        <v>2006</v>
      </c>
      <c r="L502" s="12" t="s">
        <v>222</v>
      </c>
      <c r="M502" s="12" t="s">
        <v>1102</v>
      </c>
      <c r="N502" s="12" t="s">
        <v>817</v>
      </c>
    </row>
    <row r="503" customFormat="false" ht="36" hidden="false" customHeight="false" outlineLevel="0" collapsed="false">
      <c r="A503" s="20" t="s">
        <v>2010</v>
      </c>
      <c r="B503" s="8" t="s">
        <v>2011</v>
      </c>
      <c r="C503" s="20" t="s">
        <v>2010</v>
      </c>
      <c r="D503" s="9" t="n">
        <v>11</v>
      </c>
      <c r="E503" s="10" t="s">
        <v>69</v>
      </c>
      <c r="F503" s="10" t="s">
        <v>455</v>
      </c>
      <c r="G503" s="10" t="s">
        <v>455</v>
      </c>
      <c r="H503" s="8" t="n">
        <v>6</v>
      </c>
      <c r="I503" s="11" t="s">
        <v>1653</v>
      </c>
      <c r="J503" s="13" t="s">
        <v>2012</v>
      </c>
      <c r="K503" s="13" t="s">
        <v>2006</v>
      </c>
      <c r="L503" s="12" t="s">
        <v>1676</v>
      </c>
      <c r="M503" s="12" t="s">
        <v>1526</v>
      </c>
      <c r="N503" s="12" t="s">
        <v>817</v>
      </c>
    </row>
    <row r="504" customFormat="false" ht="19" hidden="false" customHeight="false" outlineLevel="0" collapsed="false">
      <c r="A504" s="7" t="s">
        <v>2013</v>
      </c>
      <c r="B504" s="8" t="s">
        <v>2014</v>
      </c>
      <c r="C504" s="7" t="s">
        <v>2013</v>
      </c>
      <c r="D504" s="9" t="n">
        <v>8</v>
      </c>
      <c r="E504" s="10" t="s">
        <v>89</v>
      </c>
      <c r="F504" s="10" t="s">
        <v>90</v>
      </c>
      <c r="G504" s="10" t="s">
        <v>90</v>
      </c>
      <c r="H504" s="8" t="n">
        <v>6</v>
      </c>
      <c r="I504" s="11" t="s">
        <v>1653</v>
      </c>
      <c r="J504" s="12" t="s">
        <v>2015</v>
      </c>
      <c r="K504" s="13" t="s">
        <v>2016</v>
      </c>
      <c r="L504" s="12" t="s">
        <v>222</v>
      </c>
      <c r="M504" s="12" t="s">
        <v>969</v>
      </c>
      <c r="N504" s="12" t="s">
        <v>452</v>
      </c>
    </row>
    <row r="505" customFormat="false" ht="36" hidden="false" customHeight="false" outlineLevel="0" collapsed="false">
      <c r="A505" s="7" t="s">
        <v>2017</v>
      </c>
      <c r="B505" s="8" t="s">
        <v>2018</v>
      </c>
      <c r="C505" s="7" t="s">
        <v>2017</v>
      </c>
      <c r="D505" s="9" t="n">
        <v>11</v>
      </c>
      <c r="E505" s="10" t="s">
        <v>69</v>
      </c>
      <c r="F505" s="10" t="s">
        <v>747</v>
      </c>
      <c r="G505" s="10" t="s">
        <v>1272</v>
      </c>
      <c r="H505" s="8" t="n">
        <v>6</v>
      </c>
      <c r="I505" s="11" t="s">
        <v>1653</v>
      </c>
      <c r="J505" s="12" t="s">
        <v>2019</v>
      </c>
      <c r="K505" s="12" t="s">
        <v>2020</v>
      </c>
      <c r="L505" s="12" t="s">
        <v>222</v>
      </c>
      <c r="M505" s="12" t="s">
        <v>223</v>
      </c>
      <c r="N505" s="12" t="s">
        <v>23</v>
      </c>
    </row>
    <row r="506" customFormat="false" ht="19" hidden="false" customHeight="false" outlineLevel="0" collapsed="false">
      <c r="A506" s="7" t="s">
        <v>2021</v>
      </c>
      <c r="B506" s="8" t="s">
        <v>2022</v>
      </c>
      <c r="C506" s="7" t="s">
        <v>2021</v>
      </c>
      <c r="D506" s="9" t="n">
        <v>5</v>
      </c>
      <c r="E506" s="10" t="s">
        <v>63</v>
      </c>
      <c r="F506" s="10" t="s">
        <v>94</v>
      </c>
      <c r="G506" s="10" t="s">
        <v>94</v>
      </c>
      <c r="H506" s="8" t="n">
        <v>6</v>
      </c>
      <c r="I506" s="11" t="s">
        <v>1653</v>
      </c>
      <c r="J506" s="12" t="s">
        <v>2023</v>
      </c>
      <c r="K506" s="12" t="s">
        <v>991</v>
      </c>
      <c r="L506" s="12" t="s">
        <v>222</v>
      </c>
      <c r="M506" s="12" t="s">
        <v>969</v>
      </c>
      <c r="N506" s="12" t="s">
        <v>452</v>
      </c>
    </row>
    <row r="507" customFormat="false" ht="53" hidden="false" customHeight="false" outlineLevel="0" collapsed="false">
      <c r="A507" s="7" t="s">
        <v>2024</v>
      </c>
      <c r="B507" s="8" t="s">
        <v>2025</v>
      </c>
      <c r="C507" s="7" t="s">
        <v>2024</v>
      </c>
      <c r="D507" s="9" t="n">
        <v>11</v>
      </c>
      <c r="E507" s="10" t="s">
        <v>69</v>
      </c>
      <c r="F507" s="10" t="s">
        <v>194</v>
      </c>
      <c r="G507" s="10" t="s">
        <v>194</v>
      </c>
      <c r="H507" s="8" t="n">
        <v>6</v>
      </c>
      <c r="I507" s="11" t="s">
        <v>1653</v>
      </c>
      <c r="J507" s="12" t="s">
        <v>2026</v>
      </c>
      <c r="K507" s="13" t="s">
        <v>2020</v>
      </c>
      <c r="L507" s="12" t="s">
        <v>222</v>
      </c>
      <c r="M507" s="12" t="s">
        <v>1102</v>
      </c>
      <c r="N507" s="12" t="s">
        <v>817</v>
      </c>
    </row>
    <row r="508" customFormat="false" ht="36" hidden="false" customHeight="false" outlineLevel="0" collapsed="false">
      <c r="A508" s="20" t="s">
        <v>2027</v>
      </c>
      <c r="B508" s="8" t="s">
        <v>2028</v>
      </c>
      <c r="C508" s="20" t="s">
        <v>2027</v>
      </c>
      <c r="D508" s="9" t="n">
        <v>11</v>
      </c>
      <c r="E508" s="10" t="s">
        <v>69</v>
      </c>
      <c r="F508" s="10" t="s">
        <v>194</v>
      </c>
      <c r="G508" s="10" t="s">
        <v>194</v>
      </c>
      <c r="H508" s="8" t="n">
        <v>6</v>
      </c>
      <c r="I508" s="11" t="s">
        <v>1653</v>
      </c>
      <c r="J508" s="13" t="s">
        <v>2029</v>
      </c>
      <c r="K508" s="13" t="s">
        <v>2030</v>
      </c>
      <c r="L508" s="12" t="s">
        <v>222</v>
      </c>
      <c r="M508" s="12" t="s">
        <v>1102</v>
      </c>
      <c r="N508" s="12" t="s">
        <v>817</v>
      </c>
    </row>
    <row r="509" customFormat="false" ht="19" hidden="false" customHeight="false" outlineLevel="0" collapsed="false">
      <c r="A509" s="7" t="s">
        <v>2031</v>
      </c>
      <c r="B509" s="8" t="s">
        <v>2032</v>
      </c>
      <c r="C509" s="7" t="s">
        <v>2031</v>
      </c>
      <c r="D509" s="9" t="n">
        <v>11</v>
      </c>
      <c r="E509" s="10" t="s">
        <v>69</v>
      </c>
      <c r="F509" s="10" t="s">
        <v>194</v>
      </c>
      <c r="G509" s="10" t="s">
        <v>194</v>
      </c>
      <c r="H509" s="8" t="n">
        <v>6</v>
      </c>
      <c r="I509" s="11" t="s">
        <v>1653</v>
      </c>
      <c r="J509" s="12" t="s">
        <v>2033</v>
      </c>
      <c r="K509" s="13" t="s">
        <v>2020</v>
      </c>
      <c r="L509" s="12" t="s">
        <v>222</v>
      </c>
      <c r="M509" s="12" t="s">
        <v>1102</v>
      </c>
      <c r="N509" s="12" t="s">
        <v>817</v>
      </c>
    </row>
    <row r="510" customFormat="false" ht="61.5" hidden="false" customHeight="false" outlineLevel="0" collapsed="false">
      <c r="A510" s="20" t="s">
        <v>2034</v>
      </c>
      <c r="B510" s="8" t="s">
        <v>2035</v>
      </c>
      <c r="C510" s="20" t="s">
        <v>2034</v>
      </c>
      <c r="D510" s="9" t="n">
        <v>22</v>
      </c>
      <c r="E510" s="9" t="s">
        <v>47</v>
      </c>
      <c r="F510" s="10" t="s">
        <v>606</v>
      </c>
      <c r="G510" s="10" t="s">
        <v>237</v>
      </c>
      <c r="H510" s="8" t="n">
        <v>6</v>
      </c>
      <c r="I510" s="11" t="s">
        <v>1653</v>
      </c>
      <c r="J510" s="13" t="s">
        <v>2036</v>
      </c>
      <c r="K510" s="13" t="s">
        <v>2037</v>
      </c>
      <c r="L510" s="12" t="s">
        <v>222</v>
      </c>
      <c r="M510" s="12" t="s">
        <v>816</v>
      </c>
      <c r="N510" s="12" t="s">
        <v>306</v>
      </c>
    </row>
    <row r="511" customFormat="false" ht="36" hidden="false" customHeight="false" outlineLevel="0" collapsed="false">
      <c r="A511" s="20" t="s">
        <v>2038</v>
      </c>
      <c r="B511" s="8" t="s">
        <v>2039</v>
      </c>
      <c r="C511" s="20" t="s">
        <v>2038</v>
      </c>
      <c r="D511" s="9" t="n">
        <v>5</v>
      </c>
      <c r="E511" s="9" t="s">
        <v>63</v>
      </c>
      <c r="F511" s="10" t="s">
        <v>706</v>
      </c>
      <c r="G511" s="10" t="s">
        <v>706</v>
      </c>
      <c r="H511" s="8" t="n">
        <v>6</v>
      </c>
      <c r="I511" s="11" t="s">
        <v>1653</v>
      </c>
      <c r="J511" s="18" t="s">
        <v>2040</v>
      </c>
      <c r="K511" s="13" t="s">
        <v>2041</v>
      </c>
      <c r="L511" s="12" t="s">
        <v>222</v>
      </c>
      <c r="M511" s="12" t="s">
        <v>1526</v>
      </c>
      <c r="N511" s="12" t="s">
        <v>817</v>
      </c>
    </row>
    <row r="512" customFormat="false" ht="44.5" hidden="false" customHeight="false" outlineLevel="0" collapsed="false">
      <c r="A512" s="14" t="s">
        <v>2042</v>
      </c>
      <c r="B512" s="8" t="s">
        <v>2043</v>
      </c>
      <c r="C512" s="14" t="s">
        <v>2042</v>
      </c>
      <c r="D512" s="9" t="n">
        <v>24</v>
      </c>
      <c r="E512" s="9" t="s">
        <v>1342</v>
      </c>
      <c r="F512" s="10" t="s">
        <v>1609</v>
      </c>
      <c r="G512" s="10" t="s">
        <v>1344</v>
      </c>
      <c r="H512" s="8" t="n">
        <v>6</v>
      </c>
      <c r="I512" s="11" t="s">
        <v>1653</v>
      </c>
      <c r="J512" s="18" t="s">
        <v>2044</v>
      </c>
      <c r="K512" s="13" t="s">
        <v>2045</v>
      </c>
      <c r="L512" s="12" t="s">
        <v>222</v>
      </c>
      <c r="M512" s="12" t="s">
        <v>1102</v>
      </c>
      <c r="N512" s="12" t="s">
        <v>817</v>
      </c>
    </row>
    <row r="513" customFormat="false" ht="53" hidden="false" customHeight="false" outlineLevel="0" collapsed="false">
      <c r="A513" s="14" t="s">
        <v>2046</v>
      </c>
      <c r="B513" s="8" t="s">
        <v>2047</v>
      </c>
      <c r="C513" s="14" t="s">
        <v>2046</v>
      </c>
      <c r="D513" s="9" t="n">
        <v>24</v>
      </c>
      <c r="E513" s="9" t="s">
        <v>1342</v>
      </c>
      <c r="F513" s="10" t="s">
        <v>1609</v>
      </c>
      <c r="G513" s="10" t="s">
        <v>1344</v>
      </c>
      <c r="H513" s="8" t="n">
        <v>6</v>
      </c>
      <c r="I513" s="11" t="s">
        <v>1653</v>
      </c>
      <c r="J513" s="18" t="s">
        <v>2048</v>
      </c>
      <c r="K513" s="13" t="s">
        <v>2045</v>
      </c>
      <c r="L513" s="12" t="s">
        <v>222</v>
      </c>
      <c r="M513" s="12" t="s">
        <v>1102</v>
      </c>
      <c r="N513" s="12" t="s">
        <v>817</v>
      </c>
    </row>
    <row r="514" customFormat="false" ht="27.5" hidden="false" customHeight="false" outlineLevel="0" collapsed="false">
      <c r="A514" s="14" t="s">
        <v>2049</v>
      </c>
      <c r="B514" s="15" t="s">
        <v>2050</v>
      </c>
      <c r="C514" s="14" t="s">
        <v>2049</v>
      </c>
      <c r="D514" s="9" t="n">
        <v>24</v>
      </c>
      <c r="E514" s="10" t="s">
        <v>1342</v>
      </c>
      <c r="F514" s="17" t="s">
        <v>1634</v>
      </c>
      <c r="G514" s="18" t="s">
        <v>1344</v>
      </c>
      <c r="H514" s="8" t="n">
        <v>6</v>
      </c>
      <c r="I514" s="12" t="s">
        <v>1653</v>
      </c>
      <c r="J514" s="12" t="s">
        <v>2051</v>
      </c>
      <c r="K514" s="13" t="s">
        <v>1411</v>
      </c>
      <c r="L514" s="12" t="s">
        <v>222</v>
      </c>
      <c r="M514" s="12" t="s">
        <v>1102</v>
      </c>
      <c r="N514" s="12" t="s">
        <v>817</v>
      </c>
    </row>
    <row r="515" customFormat="false" ht="53" hidden="false" customHeight="false" outlineLevel="0" collapsed="false">
      <c r="A515" s="14" t="s">
        <v>2052</v>
      </c>
      <c r="B515" s="8" t="s">
        <v>2053</v>
      </c>
      <c r="C515" s="14" t="s">
        <v>2052</v>
      </c>
      <c r="D515" s="9" t="n">
        <v>15</v>
      </c>
      <c r="E515" s="9" t="s">
        <v>536</v>
      </c>
      <c r="F515" s="10" t="s">
        <v>2054</v>
      </c>
      <c r="G515" s="10" t="s">
        <v>2055</v>
      </c>
      <c r="H515" s="8" t="n">
        <v>6</v>
      </c>
      <c r="I515" s="11" t="s">
        <v>1653</v>
      </c>
      <c r="J515" s="21" t="s">
        <v>2056</v>
      </c>
      <c r="K515" s="12" t="s">
        <v>2057</v>
      </c>
      <c r="L515" s="12" t="s">
        <v>222</v>
      </c>
      <c r="M515" s="12" t="s">
        <v>1102</v>
      </c>
      <c r="N515" s="12" t="s">
        <v>817</v>
      </c>
    </row>
    <row r="516" customFormat="false" ht="36" hidden="false" customHeight="false" outlineLevel="0" collapsed="false">
      <c r="A516" s="14" t="s">
        <v>2058</v>
      </c>
      <c r="B516" s="8" t="s">
        <v>2059</v>
      </c>
      <c r="C516" s="14" t="s">
        <v>2058</v>
      </c>
      <c r="D516" s="9" t="n">
        <v>15</v>
      </c>
      <c r="E516" s="9" t="s">
        <v>536</v>
      </c>
      <c r="F516" s="10" t="s">
        <v>2054</v>
      </c>
      <c r="G516" s="10" t="s">
        <v>2055</v>
      </c>
      <c r="H516" s="8" t="n">
        <v>6</v>
      </c>
      <c r="I516" s="11" t="s">
        <v>1653</v>
      </c>
      <c r="J516" s="21" t="s">
        <v>2060</v>
      </c>
      <c r="K516" s="13" t="s">
        <v>321</v>
      </c>
      <c r="L516" s="12" t="s">
        <v>222</v>
      </c>
      <c r="M516" s="12" t="s">
        <v>1824</v>
      </c>
      <c r="N516" s="12" t="s">
        <v>817</v>
      </c>
    </row>
    <row r="517" customFormat="false" ht="61.5" hidden="false" customHeight="false" outlineLevel="0" collapsed="false">
      <c r="A517" s="14" t="s">
        <v>2061</v>
      </c>
      <c r="B517" s="8" t="s">
        <v>2062</v>
      </c>
      <c r="C517" s="14" t="s">
        <v>2061</v>
      </c>
      <c r="D517" s="9" t="n">
        <v>15</v>
      </c>
      <c r="E517" s="9" t="s">
        <v>536</v>
      </c>
      <c r="F517" s="10" t="s">
        <v>2054</v>
      </c>
      <c r="G517" s="10" t="s">
        <v>2055</v>
      </c>
      <c r="H517" s="8" t="n">
        <v>6</v>
      </c>
      <c r="I517" s="11" t="s">
        <v>1653</v>
      </c>
      <c r="J517" s="21" t="s">
        <v>2063</v>
      </c>
      <c r="K517" s="13" t="s">
        <v>321</v>
      </c>
      <c r="L517" s="12" t="s">
        <v>222</v>
      </c>
      <c r="M517" s="12" t="s">
        <v>223</v>
      </c>
      <c r="N517" s="12" t="s">
        <v>23</v>
      </c>
    </row>
    <row r="518" customFormat="false" ht="44.5" hidden="false" customHeight="false" outlineLevel="0" collapsed="false">
      <c r="A518" s="14" t="s">
        <v>2064</v>
      </c>
      <c r="B518" s="8" t="s">
        <v>2065</v>
      </c>
      <c r="C518" s="14" t="s">
        <v>2064</v>
      </c>
      <c r="D518" s="9" t="n">
        <v>15</v>
      </c>
      <c r="E518" s="9" t="s">
        <v>536</v>
      </c>
      <c r="F518" s="10" t="s">
        <v>2054</v>
      </c>
      <c r="G518" s="10" t="s">
        <v>2055</v>
      </c>
      <c r="H518" s="8" t="n">
        <v>6</v>
      </c>
      <c r="I518" s="11" t="s">
        <v>1653</v>
      </c>
      <c r="J518" s="21" t="s">
        <v>2066</v>
      </c>
      <c r="K518" s="13" t="s">
        <v>321</v>
      </c>
      <c r="L518" s="12" t="s">
        <v>222</v>
      </c>
      <c r="M518" s="12" t="s">
        <v>223</v>
      </c>
      <c r="N518" s="12" t="s">
        <v>23</v>
      </c>
    </row>
    <row r="519" customFormat="false" ht="27.5" hidden="false" customHeight="false" outlineLevel="0" collapsed="false">
      <c r="A519" s="14" t="s">
        <v>2067</v>
      </c>
      <c r="B519" s="8" t="s">
        <v>2068</v>
      </c>
      <c r="C519" s="14" t="s">
        <v>2067</v>
      </c>
      <c r="D519" s="9" t="n">
        <v>15</v>
      </c>
      <c r="E519" s="9" t="s">
        <v>536</v>
      </c>
      <c r="F519" s="10" t="s">
        <v>2054</v>
      </c>
      <c r="G519" s="10" t="s">
        <v>2055</v>
      </c>
      <c r="H519" s="8" t="n">
        <v>6</v>
      </c>
      <c r="I519" s="11" t="s">
        <v>1653</v>
      </c>
      <c r="J519" s="21" t="s">
        <v>2069</v>
      </c>
      <c r="K519" s="12" t="s">
        <v>2070</v>
      </c>
      <c r="L519" s="12" t="s">
        <v>1676</v>
      </c>
      <c r="M519" s="12" t="s">
        <v>1102</v>
      </c>
      <c r="N519" s="12" t="s">
        <v>817</v>
      </c>
    </row>
    <row r="520" customFormat="false" ht="27.5" hidden="false" customHeight="false" outlineLevel="0" collapsed="false">
      <c r="A520" s="20" t="s">
        <v>2071</v>
      </c>
      <c r="B520" s="27" t="s">
        <v>2072</v>
      </c>
      <c r="C520" s="20" t="s">
        <v>2071</v>
      </c>
      <c r="D520" s="9" t="n">
        <v>5</v>
      </c>
      <c r="E520" s="9" t="s">
        <v>63</v>
      </c>
      <c r="F520" s="10" t="s">
        <v>98</v>
      </c>
      <c r="G520" s="10" t="s">
        <v>98</v>
      </c>
      <c r="H520" s="8" t="n">
        <v>6</v>
      </c>
      <c r="I520" s="11" t="s">
        <v>1653</v>
      </c>
      <c r="J520" s="13" t="s">
        <v>2073</v>
      </c>
      <c r="K520" s="13" t="s">
        <v>793</v>
      </c>
      <c r="L520" s="12" t="s">
        <v>222</v>
      </c>
      <c r="M520" s="12" t="s">
        <v>1526</v>
      </c>
      <c r="N520" s="12" t="s">
        <v>306</v>
      </c>
    </row>
    <row r="521" customFormat="false" ht="36" hidden="false" customHeight="false" outlineLevel="0" collapsed="false">
      <c r="A521" s="20" t="s">
        <v>2074</v>
      </c>
      <c r="B521" s="8" t="s">
        <v>2075</v>
      </c>
      <c r="C521" s="20" t="s">
        <v>2074</v>
      </c>
      <c r="D521" s="9" t="n">
        <v>10</v>
      </c>
      <c r="E521" s="9" t="s">
        <v>142</v>
      </c>
      <c r="F521" s="10" t="s">
        <v>98</v>
      </c>
      <c r="G521" s="10" t="s">
        <v>98</v>
      </c>
      <c r="H521" s="8" t="n">
        <v>6</v>
      </c>
      <c r="I521" s="11" t="s">
        <v>1653</v>
      </c>
      <c r="J521" s="13" t="s">
        <v>2076</v>
      </c>
      <c r="K521" s="13" t="s">
        <v>608</v>
      </c>
      <c r="L521" s="12" t="s">
        <v>222</v>
      </c>
      <c r="M521" s="12" t="s">
        <v>1526</v>
      </c>
      <c r="N521" s="12" t="s">
        <v>306</v>
      </c>
    </row>
    <row r="522" customFormat="false" ht="19" hidden="false" customHeight="false" outlineLevel="0" collapsed="false">
      <c r="A522" s="7" t="s">
        <v>2077</v>
      </c>
      <c r="B522" s="8" t="s">
        <v>2078</v>
      </c>
      <c r="C522" s="7" t="s">
        <v>2077</v>
      </c>
      <c r="D522" s="9" t="n">
        <v>9</v>
      </c>
      <c r="E522" s="10" t="s">
        <v>113</v>
      </c>
      <c r="F522" s="10" t="s">
        <v>98</v>
      </c>
      <c r="G522" s="10" t="s">
        <v>98</v>
      </c>
      <c r="H522" s="8" t="n">
        <v>6</v>
      </c>
      <c r="I522" s="11" t="s">
        <v>1653</v>
      </c>
      <c r="J522" s="12" t="s">
        <v>2079</v>
      </c>
      <c r="K522" s="13" t="s">
        <v>1000</v>
      </c>
      <c r="L522" s="12" t="s">
        <v>222</v>
      </c>
      <c r="M522" s="12" t="s">
        <v>1102</v>
      </c>
      <c r="N522" s="12" t="s">
        <v>817</v>
      </c>
    </row>
    <row r="523" customFormat="false" ht="27.5" hidden="false" customHeight="false" outlineLevel="0" collapsed="false">
      <c r="A523" s="7" t="s">
        <v>2080</v>
      </c>
      <c r="B523" s="28"/>
      <c r="C523" s="7" t="s">
        <v>2080</v>
      </c>
      <c r="D523" s="9" t="n">
        <v>1</v>
      </c>
      <c r="E523" s="10" t="s">
        <v>203</v>
      </c>
      <c r="F523" s="10" t="s">
        <v>98</v>
      </c>
      <c r="G523" s="10" t="s">
        <v>98</v>
      </c>
      <c r="H523" s="8" t="n">
        <v>6</v>
      </c>
      <c r="I523" s="11" t="s">
        <v>1653</v>
      </c>
      <c r="J523" s="12" t="s">
        <v>2081</v>
      </c>
      <c r="K523" s="13" t="s">
        <v>2082</v>
      </c>
      <c r="L523" s="12" t="s">
        <v>222</v>
      </c>
      <c r="M523" s="12" t="s">
        <v>816</v>
      </c>
      <c r="N523" s="12" t="s">
        <v>817</v>
      </c>
    </row>
    <row r="524" customFormat="false" ht="27.5" hidden="false" customHeight="false" outlineLevel="0" collapsed="false">
      <c r="A524" s="7" t="s">
        <v>2083</v>
      </c>
      <c r="B524" s="8" t="s">
        <v>2084</v>
      </c>
      <c r="C524" s="7" t="s">
        <v>2083</v>
      </c>
      <c r="D524" s="9" t="n">
        <v>1</v>
      </c>
      <c r="E524" s="10" t="s">
        <v>203</v>
      </c>
      <c r="F524" s="10" t="s">
        <v>98</v>
      </c>
      <c r="G524" s="10" t="s">
        <v>98</v>
      </c>
      <c r="H524" s="8" t="n">
        <v>6</v>
      </c>
      <c r="I524" s="11" t="s">
        <v>1653</v>
      </c>
      <c r="J524" s="12" t="s">
        <v>2085</v>
      </c>
      <c r="K524" s="12" t="s">
        <v>2086</v>
      </c>
      <c r="L524" s="12" t="s">
        <v>222</v>
      </c>
      <c r="M524" s="12" t="s">
        <v>816</v>
      </c>
      <c r="N524" s="12" t="s">
        <v>817</v>
      </c>
    </row>
    <row r="525" customFormat="false" ht="27.5" hidden="false" customHeight="false" outlineLevel="0" collapsed="false">
      <c r="A525" s="7" t="s">
        <v>2087</v>
      </c>
      <c r="B525" s="8" t="s">
        <v>2088</v>
      </c>
      <c r="C525" s="7" t="s">
        <v>2087</v>
      </c>
      <c r="D525" s="9" t="n">
        <v>1</v>
      </c>
      <c r="E525" s="10" t="s">
        <v>203</v>
      </c>
      <c r="F525" s="10" t="s">
        <v>2089</v>
      </c>
      <c r="G525" s="10" t="s">
        <v>98</v>
      </c>
      <c r="H525" s="8" t="n">
        <v>6</v>
      </c>
      <c r="I525" s="11" t="s">
        <v>1653</v>
      </c>
      <c r="J525" s="12" t="s">
        <v>2090</v>
      </c>
      <c r="K525" s="12" t="s">
        <v>2091</v>
      </c>
      <c r="L525" s="12" t="s">
        <v>222</v>
      </c>
      <c r="M525" s="12" t="s">
        <v>1102</v>
      </c>
      <c r="N525" s="12" t="s">
        <v>817</v>
      </c>
    </row>
    <row r="526" customFormat="false" ht="53" hidden="false" customHeight="false" outlineLevel="0" collapsed="false">
      <c r="A526" s="14" t="s">
        <v>2092</v>
      </c>
      <c r="B526" s="8" t="s">
        <v>2093</v>
      </c>
      <c r="C526" s="14" t="s">
        <v>2092</v>
      </c>
      <c r="D526" s="9" t="n">
        <v>10</v>
      </c>
      <c r="E526" s="9" t="s">
        <v>142</v>
      </c>
      <c r="F526" s="10" t="s">
        <v>98</v>
      </c>
      <c r="G526" s="10" t="s">
        <v>98</v>
      </c>
      <c r="H526" s="8" t="n">
        <v>6</v>
      </c>
      <c r="I526" s="11" t="s">
        <v>1653</v>
      </c>
      <c r="J526" s="18" t="s">
        <v>2094</v>
      </c>
      <c r="K526" s="18" t="s">
        <v>2095</v>
      </c>
      <c r="L526" s="12" t="s">
        <v>1676</v>
      </c>
      <c r="M526" s="12" t="s">
        <v>1526</v>
      </c>
      <c r="N526" s="12" t="s">
        <v>306</v>
      </c>
    </row>
    <row r="527" customFormat="false" ht="36" hidden="false" customHeight="false" outlineLevel="0" collapsed="false">
      <c r="A527" s="20" t="s">
        <v>2096</v>
      </c>
      <c r="B527" s="8" t="s">
        <v>2097</v>
      </c>
      <c r="C527" s="20" t="s">
        <v>2096</v>
      </c>
      <c r="D527" s="9" t="n">
        <v>21</v>
      </c>
      <c r="E527" s="10" t="s">
        <v>117</v>
      </c>
      <c r="F527" s="10" t="s">
        <v>362</v>
      </c>
      <c r="G527" s="10" t="s">
        <v>119</v>
      </c>
      <c r="H527" s="8" t="n">
        <v>6</v>
      </c>
      <c r="I527" s="11" t="s">
        <v>1653</v>
      </c>
      <c r="J527" s="18" t="s">
        <v>2098</v>
      </c>
      <c r="K527" s="13" t="s">
        <v>2099</v>
      </c>
      <c r="L527" s="12" t="s">
        <v>222</v>
      </c>
      <c r="M527" s="12" t="s">
        <v>1526</v>
      </c>
      <c r="N527" s="12" t="s">
        <v>817</v>
      </c>
    </row>
    <row r="528" customFormat="false" ht="36" hidden="false" customHeight="false" outlineLevel="0" collapsed="false">
      <c r="A528" s="20" t="s">
        <v>2100</v>
      </c>
      <c r="B528" s="8" t="s">
        <v>2101</v>
      </c>
      <c r="C528" s="20" t="s">
        <v>2100</v>
      </c>
      <c r="D528" s="9" t="n">
        <v>21</v>
      </c>
      <c r="E528" s="10" t="s">
        <v>117</v>
      </c>
      <c r="F528" s="10" t="s">
        <v>70</v>
      </c>
      <c r="G528" s="10" t="s">
        <v>119</v>
      </c>
      <c r="H528" s="8" t="n">
        <v>6</v>
      </c>
      <c r="I528" s="11" t="s">
        <v>1653</v>
      </c>
      <c r="J528" s="13" t="s">
        <v>2102</v>
      </c>
      <c r="K528" s="13" t="s">
        <v>2103</v>
      </c>
      <c r="L528" s="12" t="s">
        <v>222</v>
      </c>
      <c r="M528" s="12" t="s">
        <v>1102</v>
      </c>
      <c r="N528" s="12" t="s">
        <v>306</v>
      </c>
    </row>
    <row r="529" customFormat="false" ht="36" hidden="false" customHeight="false" outlineLevel="0" collapsed="false">
      <c r="A529" s="20" t="s">
        <v>2104</v>
      </c>
      <c r="B529" s="8" t="s">
        <v>2105</v>
      </c>
      <c r="C529" s="20" t="s">
        <v>2104</v>
      </c>
      <c r="D529" s="9" t="n">
        <v>21</v>
      </c>
      <c r="E529" s="10" t="s">
        <v>117</v>
      </c>
      <c r="F529" s="10" t="s">
        <v>70</v>
      </c>
      <c r="G529" s="10" t="s">
        <v>119</v>
      </c>
      <c r="H529" s="8" t="n">
        <v>6</v>
      </c>
      <c r="I529" s="11" t="s">
        <v>1653</v>
      </c>
      <c r="J529" s="13" t="s">
        <v>2106</v>
      </c>
      <c r="K529" s="13" t="s">
        <v>286</v>
      </c>
      <c r="L529" s="12" t="s">
        <v>222</v>
      </c>
      <c r="M529" s="12" t="s">
        <v>223</v>
      </c>
      <c r="N529" s="12" t="s">
        <v>23</v>
      </c>
    </row>
    <row r="530" customFormat="false" ht="95.5" hidden="false" customHeight="false" outlineLevel="0" collapsed="false">
      <c r="A530" s="22" t="s">
        <v>2107</v>
      </c>
      <c r="B530" s="8" t="s">
        <v>2108</v>
      </c>
      <c r="C530" s="22" t="s">
        <v>2107</v>
      </c>
      <c r="D530" s="9" t="n">
        <v>21</v>
      </c>
      <c r="E530" s="10" t="s">
        <v>117</v>
      </c>
      <c r="F530" s="10" t="s">
        <v>70</v>
      </c>
      <c r="G530" s="10" t="s">
        <v>119</v>
      </c>
      <c r="H530" s="8" t="n">
        <v>6</v>
      </c>
      <c r="I530" s="11" t="s">
        <v>1653</v>
      </c>
      <c r="J530" s="23" t="s">
        <v>2109</v>
      </c>
      <c r="K530" s="13" t="s">
        <v>286</v>
      </c>
      <c r="L530" s="12" t="s">
        <v>222</v>
      </c>
      <c r="M530" s="12" t="s">
        <v>969</v>
      </c>
      <c r="N530" s="12" t="s">
        <v>817</v>
      </c>
    </row>
    <row r="531" customFormat="false" ht="36" hidden="false" customHeight="false" outlineLevel="0" collapsed="false">
      <c r="A531" s="20" t="s">
        <v>2110</v>
      </c>
      <c r="B531" s="8" t="s">
        <v>2111</v>
      </c>
      <c r="C531" s="20" t="s">
        <v>2110</v>
      </c>
      <c r="D531" s="9" t="n">
        <v>21</v>
      </c>
      <c r="E531" s="10" t="s">
        <v>117</v>
      </c>
      <c r="F531" s="10" t="s">
        <v>2112</v>
      </c>
      <c r="G531" s="10" t="s">
        <v>119</v>
      </c>
      <c r="H531" s="8" t="n">
        <v>6</v>
      </c>
      <c r="I531" s="11" t="s">
        <v>1653</v>
      </c>
      <c r="J531" s="13" t="s">
        <v>2113</v>
      </c>
      <c r="K531" s="13" t="s">
        <v>2114</v>
      </c>
      <c r="L531" s="12" t="s">
        <v>222</v>
      </c>
      <c r="M531" s="12" t="s">
        <v>1102</v>
      </c>
      <c r="N531" s="12" t="s">
        <v>817</v>
      </c>
    </row>
    <row r="532" customFormat="false" ht="36" hidden="false" customHeight="false" outlineLevel="0" collapsed="false">
      <c r="A532" s="20" t="s">
        <v>2115</v>
      </c>
      <c r="B532" s="8" t="s">
        <v>2116</v>
      </c>
      <c r="C532" s="20" t="s">
        <v>2115</v>
      </c>
      <c r="D532" s="9" t="n">
        <v>21</v>
      </c>
      <c r="E532" s="10" t="s">
        <v>117</v>
      </c>
      <c r="F532" s="10" t="s">
        <v>2112</v>
      </c>
      <c r="G532" s="10" t="s">
        <v>119</v>
      </c>
      <c r="H532" s="8" t="n">
        <v>6</v>
      </c>
      <c r="I532" s="11" t="s">
        <v>1653</v>
      </c>
      <c r="J532" s="13" t="s">
        <v>2117</v>
      </c>
      <c r="K532" s="13" t="s">
        <v>2114</v>
      </c>
      <c r="L532" s="12" t="s">
        <v>222</v>
      </c>
      <c r="M532" s="12" t="s">
        <v>1102</v>
      </c>
      <c r="N532" s="12" t="s">
        <v>817</v>
      </c>
    </row>
    <row r="533" customFormat="false" ht="53" hidden="false" customHeight="false" outlineLevel="0" collapsed="false">
      <c r="A533" s="14" t="s">
        <v>2118</v>
      </c>
      <c r="B533" s="8" t="s">
        <v>2119</v>
      </c>
      <c r="C533" s="14" t="s">
        <v>2118</v>
      </c>
      <c r="D533" s="9" t="n">
        <v>21</v>
      </c>
      <c r="E533" s="10" t="s">
        <v>117</v>
      </c>
      <c r="F533" s="10" t="s">
        <v>747</v>
      </c>
      <c r="G533" s="10" t="s">
        <v>748</v>
      </c>
      <c r="H533" s="8" t="n">
        <v>6</v>
      </c>
      <c r="I533" s="11" t="s">
        <v>1653</v>
      </c>
      <c r="J533" s="21" t="s">
        <v>2120</v>
      </c>
      <c r="K533" s="13" t="s">
        <v>2121</v>
      </c>
      <c r="L533" s="12" t="s">
        <v>222</v>
      </c>
      <c r="M533" s="12" t="s">
        <v>816</v>
      </c>
      <c r="N533" s="12" t="s">
        <v>306</v>
      </c>
    </row>
    <row r="534" customFormat="false" ht="36" hidden="false" customHeight="false" outlineLevel="0" collapsed="false">
      <c r="A534" s="14" t="s">
        <v>2122</v>
      </c>
      <c r="B534" s="8" t="s">
        <v>2123</v>
      </c>
      <c r="C534" s="14" t="s">
        <v>2122</v>
      </c>
      <c r="D534" s="9" t="n">
        <v>21</v>
      </c>
      <c r="E534" s="10" t="s">
        <v>117</v>
      </c>
      <c r="F534" s="10" t="s">
        <v>70</v>
      </c>
      <c r="G534" s="10" t="s">
        <v>748</v>
      </c>
      <c r="H534" s="8" t="n">
        <v>6</v>
      </c>
      <c r="I534" s="11" t="s">
        <v>1653</v>
      </c>
      <c r="J534" s="13" t="s">
        <v>2124</v>
      </c>
      <c r="K534" s="13" t="s">
        <v>2125</v>
      </c>
      <c r="L534" s="12" t="s">
        <v>222</v>
      </c>
      <c r="M534" s="12" t="s">
        <v>816</v>
      </c>
      <c r="N534" s="12" t="s">
        <v>306</v>
      </c>
    </row>
    <row r="535" customFormat="false" ht="36" hidden="false" customHeight="false" outlineLevel="0" collapsed="false">
      <c r="A535" s="14" t="s">
        <v>2126</v>
      </c>
      <c r="B535" s="8" t="s">
        <v>2127</v>
      </c>
      <c r="C535" s="14" t="s">
        <v>2126</v>
      </c>
      <c r="D535" s="9" t="n">
        <v>21</v>
      </c>
      <c r="E535" s="10" t="s">
        <v>117</v>
      </c>
      <c r="F535" s="10" t="s">
        <v>747</v>
      </c>
      <c r="G535" s="10" t="s">
        <v>748</v>
      </c>
      <c r="H535" s="8" t="n">
        <v>6</v>
      </c>
      <c r="I535" s="11" t="s">
        <v>1653</v>
      </c>
      <c r="J535" s="21" t="s">
        <v>2128</v>
      </c>
      <c r="K535" s="13" t="s">
        <v>2121</v>
      </c>
      <c r="L535" s="12" t="s">
        <v>222</v>
      </c>
      <c r="M535" s="12" t="s">
        <v>816</v>
      </c>
      <c r="N535" s="12" t="s">
        <v>306</v>
      </c>
    </row>
    <row r="536" customFormat="false" ht="36" hidden="false" customHeight="false" outlineLevel="0" collapsed="false">
      <c r="A536" s="14" t="s">
        <v>2129</v>
      </c>
      <c r="B536" s="8" t="s">
        <v>2130</v>
      </c>
      <c r="C536" s="14" t="s">
        <v>2129</v>
      </c>
      <c r="D536" s="9" t="n">
        <v>21</v>
      </c>
      <c r="E536" s="10" t="s">
        <v>117</v>
      </c>
      <c r="F536" s="10" t="s">
        <v>70</v>
      </c>
      <c r="G536" s="10" t="s">
        <v>748</v>
      </c>
      <c r="H536" s="8" t="n">
        <v>6</v>
      </c>
      <c r="I536" s="11" t="s">
        <v>1653</v>
      </c>
      <c r="J536" s="21" t="s">
        <v>2131</v>
      </c>
      <c r="K536" s="13" t="s">
        <v>286</v>
      </c>
      <c r="L536" s="12" t="s">
        <v>222</v>
      </c>
      <c r="M536" s="12" t="s">
        <v>816</v>
      </c>
      <c r="N536" s="12" t="s">
        <v>817</v>
      </c>
    </row>
    <row r="537" customFormat="false" ht="36" hidden="false" customHeight="false" outlineLevel="0" collapsed="false">
      <c r="A537" s="14" t="s">
        <v>2132</v>
      </c>
      <c r="B537" s="8" t="s">
        <v>2133</v>
      </c>
      <c r="C537" s="14" t="s">
        <v>2132</v>
      </c>
      <c r="D537" s="9" t="n">
        <v>21</v>
      </c>
      <c r="E537" s="10" t="s">
        <v>117</v>
      </c>
      <c r="F537" s="10" t="s">
        <v>70</v>
      </c>
      <c r="G537" s="10" t="s">
        <v>748</v>
      </c>
      <c r="H537" s="8" t="n">
        <v>6</v>
      </c>
      <c r="I537" s="11" t="s">
        <v>1653</v>
      </c>
      <c r="J537" s="21" t="s">
        <v>2134</v>
      </c>
      <c r="K537" s="13" t="s">
        <v>286</v>
      </c>
      <c r="L537" s="12" t="s">
        <v>222</v>
      </c>
      <c r="M537" s="12" t="s">
        <v>816</v>
      </c>
      <c r="N537" s="12" t="s">
        <v>817</v>
      </c>
    </row>
    <row r="538" customFormat="false" ht="53" hidden="false" customHeight="false" outlineLevel="0" collapsed="false">
      <c r="A538" s="14" t="s">
        <v>2135</v>
      </c>
      <c r="B538" s="8" t="s">
        <v>2136</v>
      </c>
      <c r="C538" s="14" t="s">
        <v>2135</v>
      </c>
      <c r="D538" s="9" t="n">
        <v>21</v>
      </c>
      <c r="E538" s="10" t="s">
        <v>117</v>
      </c>
      <c r="F538" s="10" t="s">
        <v>747</v>
      </c>
      <c r="G538" s="10" t="s">
        <v>748</v>
      </c>
      <c r="H538" s="8" t="n">
        <v>6</v>
      </c>
      <c r="I538" s="11" t="s">
        <v>1653</v>
      </c>
      <c r="J538" s="21" t="s">
        <v>2137</v>
      </c>
      <c r="K538" s="13" t="s">
        <v>2121</v>
      </c>
      <c r="L538" s="12" t="s">
        <v>222</v>
      </c>
      <c r="M538" s="12" t="s">
        <v>816</v>
      </c>
      <c r="N538" s="12" t="s">
        <v>817</v>
      </c>
    </row>
    <row r="539" customFormat="false" ht="19" hidden="false" customHeight="false" outlineLevel="0" collapsed="false">
      <c r="A539" s="7" t="s">
        <v>2138</v>
      </c>
      <c r="B539" s="8" t="s">
        <v>2139</v>
      </c>
      <c r="C539" s="7" t="s">
        <v>2138</v>
      </c>
      <c r="D539" s="9" t="n">
        <v>12</v>
      </c>
      <c r="E539" s="10" t="s">
        <v>185</v>
      </c>
      <c r="F539" s="10" t="s">
        <v>587</v>
      </c>
      <c r="G539" s="10" t="s">
        <v>2140</v>
      </c>
      <c r="H539" s="8" t="n">
        <v>6</v>
      </c>
      <c r="I539" s="11" t="s">
        <v>1653</v>
      </c>
      <c r="J539" s="12" t="s">
        <v>2141</v>
      </c>
      <c r="K539" s="13" t="s">
        <v>2142</v>
      </c>
      <c r="L539" s="12" t="s">
        <v>222</v>
      </c>
      <c r="M539" s="12" t="s">
        <v>1526</v>
      </c>
      <c r="N539" s="12" t="s">
        <v>306</v>
      </c>
    </row>
    <row r="540" customFormat="false" ht="27.5" hidden="false" customHeight="false" outlineLevel="0" collapsed="false">
      <c r="A540" s="20" t="s">
        <v>2143</v>
      </c>
      <c r="B540" s="8" t="s">
        <v>2144</v>
      </c>
      <c r="C540" s="20" t="s">
        <v>2143</v>
      </c>
      <c r="D540" s="9" t="n">
        <v>6</v>
      </c>
      <c r="E540" s="9" t="s">
        <v>180</v>
      </c>
      <c r="F540" s="10" t="s">
        <v>764</v>
      </c>
      <c r="G540" s="10" t="s">
        <v>764</v>
      </c>
      <c r="H540" s="8" t="n">
        <v>6</v>
      </c>
      <c r="I540" s="11" t="s">
        <v>1653</v>
      </c>
      <c r="J540" s="18" t="s">
        <v>2145</v>
      </c>
      <c r="K540" s="13" t="s">
        <v>2146</v>
      </c>
      <c r="L540" s="12" t="s">
        <v>222</v>
      </c>
      <c r="M540" s="12" t="s">
        <v>1526</v>
      </c>
      <c r="N540" s="12" t="s">
        <v>306</v>
      </c>
    </row>
    <row r="541" customFormat="false" ht="36" hidden="false" customHeight="false" outlineLevel="0" collapsed="false">
      <c r="A541" s="20" t="s">
        <v>2147</v>
      </c>
      <c r="B541" s="8" t="s">
        <v>2148</v>
      </c>
      <c r="C541" s="20" t="s">
        <v>2147</v>
      </c>
      <c r="D541" s="9" t="n">
        <v>7</v>
      </c>
      <c r="E541" s="9" t="s">
        <v>273</v>
      </c>
      <c r="F541" s="10" t="s">
        <v>374</v>
      </c>
      <c r="G541" s="10" t="s">
        <v>375</v>
      </c>
      <c r="H541" s="8" t="n">
        <v>6</v>
      </c>
      <c r="I541" s="11" t="s">
        <v>1653</v>
      </c>
      <c r="J541" s="13" t="s">
        <v>2149</v>
      </c>
      <c r="K541" s="13" t="s">
        <v>2150</v>
      </c>
      <c r="L541" s="12" t="s">
        <v>222</v>
      </c>
      <c r="M541" s="12" t="s">
        <v>1102</v>
      </c>
      <c r="N541" s="12" t="s">
        <v>306</v>
      </c>
    </row>
    <row r="542" customFormat="false" ht="27.5" hidden="false" customHeight="false" outlineLevel="0" collapsed="false">
      <c r="A542" s="7" t="s">
        <v>2151</v>
      </c>
      <c r="B542" s="8" t="s">
        <v>2152</v>
      </c>
      <c r="C542" s="7" t="s">
        <v>2151</v>
      </c>
      <c r="D542" s="9" t="n">
        <v>1</v>
      </c>
      <c r="E542" s="10" t="s">
        <v>203</v>
      </c>
      <c r="F542" s="10" t="s">
        <v>1408</v>
      </c>
      <c r="G542" s="10" t="s">
        <v>1409</v>
      </c>
      <c r="H542" s="8" t="n">
        <v>6</v>
      </c>
      <c r="I542" s="11" t="s">
        <v>1653</v>
      </c>
      <c r="J542" s="12" t="s">
        <v>2153</v>
      </c>
      <c r="K542" s="13" t="s">
        <v>2154</v>
      </c>
      <c r="L542" s="12" t="s">
        <v>222</v>
      </c>
      <c r="M542" s="12" t="s">
        <v>816</v>
      </c>
      <c r="N542" s="12" t="s">
        <v>817</v>
      </c>
    </row>
    <row r="543" customFormat="false" ht="36" hidden="false" customHeight="false" outlineLevel="0" collapsed="false">
      <c r="A543" s="20" t="s">
        <v>2155</v>
      </c>
      <c r="B543" s="8" t="s">
        <v>2156</v>
      </c>
      <c r="C543" s="20" t="s">
        <v>2155</v>
      </c>
      <c r="D543" s="9" t="n">
        <v>10</v>
      </c>
      <c r="E543" s="9" t="s">
        <v>142</v>
      </c>
      <c r="F543" s="10" t="s">
        <v>768</v>
      </c>
      <c r="G543" s="10" t="s">
        <v>769</v>
      </c>
      <c r="H543" s="8" t="n">
        <v>6</v>
      </c>
      <c r="I543" s="11" t="s">
        <v>1653</v>
      </c>
      <c r="J543" s="18" t="s">
        <v>2157</v>
      </c>
      <c r="K543" s="13" t="s">
        <v>1418</v>
      </c>
      <c r="L543" s="12" t="s">
        <v>222</v>
      </c>
      <c r="M543" s="12" t="s">
        <v>1526</v>
      </c>
      <c r="N543" s="12" t="s">
        <v>306</v>
      </c>
    </row>
    <row r="544" customFormat="false" ht="44.5" hidden="false" customHeight="false" outlineLevel="0" collapsed="false">
      <c r="A544" s="14" t="s">
        <v>2158</v>
      </c>
      <c r="B544" s="8" t="s">
        <v>2159</v>
      </c>
      <c r="C544" s="14" t="s">
        <v>2158</v>
      </c>
      <c r="D544" s="9" t="n">
        <v>9</v>
      </c>
      <c r="E544" s="10" t="s">
        <v>113</v>
      </c>
      <c r="F544" s="10" t="s">
        <v>774</v>
      </c>
      <c r="G544" s="10" t="s">
        <v>774</v>
      </c>
      <c r="H544" s="8" t="n">
        <v>6</v>
      </c>
      <c r="I544" s="11" t="s">
        <v>1653</v>
      </c>
      <c r="J544" s="18" t="s">
        <v>2160</v>
      </c>
      <c r="K544" s="13" t="s">
        <v>2161</v>
      </c>
      <c r="L544" s="12" t="s">
        <v>222</v>
      </c>
      <c r="M544" s="12" t="s">
        <v>1102</v>
      </c>
      <c r="N544" s="12" t="s">
        <v>306</v>
      </c>
    </row>
    <row r="545" customFormat="false" ht="53" hidden="false" customHeight="false" outlineLevel="0" collapsed="false">
      <c r="A545" s="14" t="s">
        <v>2162</v>
      </c>
      <c r="B545" s="8" t="s">
        <v>2163</v>
      </c>
      <c r="C545" s="14" t="s">
        <v>2162</v>
      </c>
      <c r="D545" s="9" t="n">
        <v>9</v>
      </c>
      <c r="E545" s="10" t="s">
        <v>113</v>
      </c>
      <c r="F545" s="10" t="s">
        <v>774</v>
      </c>
      <c r="G545" s="10" t="s">
        <v>774</v>
      </c>
      <c r="H545" s="8" t="n">
        <v>6</v>
      </c>
      <c r="I545" s="11" t="s">
        <v>1653</v>
      </c>
      <c r="J545" s="18" t="s">
        <v>2164</v>
      </c>
      <c r="K545" s="13" t="s">
        <v>2165</v>
      </c>
      <c r="L545" s="12" t="s">
        <v>222</v>
      </c>
      <c r="M545" s="12" t="s">
        <v>1102</v>
      </c>
      <c r="N545" s="12" t="s">
        <v>306</v>
      </c>
    </row>
    <row r="546" customFormat="false" ht="27.5" hidden="false" customHeight="false" outlineLevel="0" collapsed="false">
      <c r="A546" s="20" t="s">
        <v>2166</v>
      </c>
      <c r="B546" s="8" t="s">
        <v>2167</v>
      </c>
      <c r="C546" s="20" t="s">
        <v>2166</v>
      </c>
      <c r="D546" s="9" t="n">
        <v>5</v>
      </c>
      <c r="E546" s="9" t="s">
        <v>63</v>
      </c>
      <c r="F546" s="10" t="s">
        <v>134</v>
      </c>
      <c r="G546" s="10" t="s">
        <v>2168</v>
      </c>
      <c r="H546" s="8" t="n">
        <v>6</v>
      </c>
      <c r="I546" s="11" t="s">
        <v>1653</v>
      </c>
      <c r="J546" s="18" t="s">
        <v>2169</v>
      </c>
      <c r="K546" s="13" t="s">
        <v>2170</v>
      </c>
      <c r="L546" s="12" t="s">
        <v>222</v>
      </c>
      <c r="M546" s="12" t="s">
        <v>1526</v>
      </c>
      <c r="N546" s="12" t="s">
        <v>817</v>
      </c>
    </row>
    <row r="547" customFormat="false" ht="36" hidden="false" customHeight="false" outlineLevel="0" collapsed="false">
      <c r="A547" s="20" t="s">
        <v>2171</v>
      </c>
      <c r="B547" s="8" t="s">
        <v>2172</v>
      </c>
      <c r="C547" s="20" t="s">
        <v>2171</v>
      </c>
      <c r="D547" s="9" t="n">
        <v>5</v>
      </c>
      <c r="E547" s="9" t="s">
        <v>63</v>
      </c>
      <c r="F547" s="10" t="s">
        <v>134</v>
      </c>
      <c r="G547" s="10" t="s">
        <v>134</v>
      </c>
      <c r="H547" s="8" t="n">
        <v>6</v>
      </c>
      <c r="I547" s="11" t="s">
        <v>1653</v>
      </c>
      <c r="J547" s="18" t="s">
        <v>2173</v>
      </c>
      <c r="K547" s="13" t="s">
        <v>2170</v>
      </c>
      <c r="L547" s="12" t="s">
        <v>222</v>
      </c>
      <c r="M547" s="12" t="s">
        <v>1526</v>
      </c>
      <c r="N547" s="12" t="s">
        <v>817</v>
      </c>
    </row>
    <row r="548" customFormat="false" ht="27.5" hidden="false" customHeight="false" outlineLevel="0" collapsed="false">
      <c r="A548" s="20" t="s">
        <v>2174</v>
      </c>
      <c r="B548" s="8" t="s">
        <v>2175</v>
      </c>
      <c r="C548" s="20" t="s">
        <v>2174</v>
      </c>
      <c r="D548" s="9" t="n">
        <v>5</v>
      </c>
      <c r="E548" s="9" t="s">
        <v>63</v>
      </c>
      <c r="F548" s="10" t="s">
        <v>791</v>
      </c>
      <c r="G548" s="10" t="s">
        <v>791</v>
      </c>
      <c r="H548" s="8" t="n">
        <v>6</v>
      </c>
      <c r="I548" s="11" t="s">
        <v>1653</v>
      </c>
      <c r="J548" s="18" t="s">
        <v>2176</v>
      </c>
      <c r="K548" s="13" t="s">
        <v>2177</v>
      </c>
      <c r="L548" s="12" t="s">
        <v>222</v>
      </c>
      <c r="M548" s="12" t="s">
        <v>1526</v>
      </c>
      <c r="N548" s="12" t="s">
        <v>817</v>
      </c>
    </row>
    <row r="549" customFormat="false" ht="27.5" hidden="false" customHeight="false" outlineLevel="0" collapsed="false">
      <c r="A549" s="7" t="s">
        <v>2178</v>
      </c>
      <c r="B549" s="8" t="s">
        <v>2179</v>
      </c>
      <c r="C549" s="7" t="s">
        <v>2178</v>
      </c>
      <c r="D549" s="9" t="n">
        <v>18</v>
      </c>
      <c r="E549" s="10" t="s">
        <v>449</v>
      </c>
      <c r="F549" s="10" t="s">
        <v>796</v>
      </c>
      <c r="G549" s="10" t="s">
        <v>797</v>
      </c>
      <c r="H549" s="8" t="n">
        <v>6</v>
      </c>
      <c r="I549" s="11" t="s">
        <v>1653</v>
      </c>
      <c r="J549" s="12" t="s">
        <v>2180</v>
      </c>
      <c r="K549" s="13" t="s">
        <v>2181</v>
      </c>
      <c r="L549" s="12" t="s">
        <v>222</v>
      </c>
      <c r="M549" s="12" t="s">
        <v>1102</v>
      </c>
      <c r="N549" s="12" t="s">
        <v>817</v>
      </c>
    </row>
    <row r="550" customFormat="false" ht="19" hidden="false" customHeight="false" outlineLevel="0" collapsed="false">
      <c r="A550" s="7" t="s">
        <v>2182</v>
      </c>
      <c r="B550" s="8" t="s">
        <v>2183</v>
      </c>
      <c r="C550" s="7" t="s">
        <v>2182</v>
      </c>
      <c r="D550" s="9" t="n">
        <v>18</v>
      </c>
      <c r="E550" s="10" t="s">
        <v>449</v>
      </c>
      <c r="F550" s="10" t="s">
        <v>796</v>
      </c>
      <c r="G550" s="10" t="s">
        <v>797</v>
      </c>
      <c r="H550" s="8" t="n">
        <v>6</v>
      </c>
      <c r="I550" s="11" t="s">
        <v>1653</v>
      </c>
      <c r="J550" s="12" t="s">
        <v>2184</v>
      </c>
      <c r="K550" s="13" t="s">
        <v>2181</v>
      </c>
      <c r="L550" s="12" t="s">
        <v>222</v>
      </c>
      <c r="M550" s="12" t="s">
        <v>1102</v>
      </c>
      <c r="N550" s="12" t="s">
        <v>817</v>
      </c>
    </row>
    <row r="551" customFormat="false" ht="36" hidden="false" customHeight="false" outlineLevel="0" collapsed="false">
      <c r="A551" s="7" t="s">
        <v>2185</v>
      </c>
      <c r="B551" s="8" t="s">
        <v>2186</v>
      </c>
      <c r="C551" s="7" t="s">
        <v>2185</v>
      </c>
      <c r="D551" s="9" t="n">
        <v>5</v>
      </c>
      <c r="E551" s="10" t="s">
        <v>63</v>
      </c>
      <c r="F551" s="10" t="s">
        <v>805</v>
      </c>
      <c r="G551" s="10" t="s">
        <v>805</v>
      </c>
      <c r="H551" s="8" t="n">
        <v>6</v>
      </c>
      <c r="I551" s="11" t="s">
        <v>1653</v>
      </c>
      <c r="J551" s="12" t="s">
        <v>2187</v>
      </c>
      <c r="K551" s="13" t="s">
        <v>2188</v>
      </c>
      <c r="L551" s="12" t="s">
        <v>222</v>
      </c>
      <c r="M551" s="12" t="s">
        <v>1102</v>
      </c>
      <c r="N551" s="12" t="s">
        <v>817</v>
      </c>
    </row>
    <row r="552" customFormat="false" ht="19" hidden="false" customHeight="false" outlineLevel="0" collapsed="false">
      <c r="A552" s="7" t="s">
        <v>2189</v>
      </c>
      <c r="B552" s="8" t="s">
        <v>2190</v>
      </c>
      <c r="C552" s="7" t="s">
        <v>2189</v>
      </c>
      <c r="D552" s="9" t="n">
        <v>20</v>
      </c>
      <c r="E552" s="9" t="s">
        <v>53</v>
      </c>
      <c r="F552" s="10" t="s">
        <v>1467</v>
      </c>
      <c r="G552" s="10" t="s">
        <v>1468</v>
      </c>
      <c r="H552" s="8" t="n">
        <v>6</v>
      </c>
      <c r="I552" s="11" t="s">
        <v>1653</v>
      </c>
      <c r="J552" s="12" t="s">
        <v>2191</v>
      </c>
      <c r="K552" s="13" t="s">
        <v>1724</v>
      </c>
      <c r="L552" s="12" t="s">
        <v>222</v>
      </c>
      <c r="M552" s="12" t="s">
        <v>1526</v>
      </c>
      <c r="N552" s="12" t="s">
        <v>306</v>
      </c>
    </row>
    <row r="553" customFormat="false" ht="36" hidden="false" customHeight="false" outlineLevel="0" collapsed="false">
      <c r="A553" s="20" t="s">
        <v>2192</v>
      </c>
      <c r="B553" s="8" t="s">
        <v>2193</v>
      </c>
      <c r="C553" s="20" t="s">
        <v>2192</v>
      </c>
      <c r="D553" s="9" t="n">
        <v>10</v>
      </c>
      <c r="E553" s="9" t="s">
        <v>142</v>
      </c>
      <c r="F553" s="10" t="s">
        <v>826</v>
      </c>
      <c r="G553" s="10" t="s">
        <v>826</v>
      </c>
      <c r="H553" s="8" t="n">
        <v>6</v>
      </c>
      <c r="I553" s="11" t="s">
        <v>1653</v>
      </c>
      <c r="J553" s="13" t="s">
        <v>2194</v>
      </c>
      <c r="K553" s="13" t="s">
        <v>2195</v>
      </c>
      <c r="L553" s="12" t="s">
        <v>222</v>
      </c>
      <c r="M553" s="12" t="s">
        <v>1102</v>
      </c>
      <c r="N553" s="12" t="s">
        <v>306</v>
      </c>
    </row>
    <row r="554" customFormat="false" ht="36" hidden="false" customHeight="false" outlineLevel="0" collapsed="false">
      <c r="A554" s="20" t="s">
        <v>2196</v>
      </c>
      <c r="B554" s="8" t="s">
        <v>2197</v>
      </c>
      <c r="C554" s="20" t="s">
        <v>2196</v>
      </c>
      <c r="D554" s="9" t="n">
        <v>6</v>
      </c>
      <c r="E554" s="9" t="s">
        <v>180</v>
      </c>
      <c r="F554" s="10" t="s">
        <v>830</v>
      </c>
      <c r="G554" s="10" t="s">
        <v>830</v>
      </c>
      <c r="H554" s="8" t="n">
        <v>6</v>
      </c>
      <c r="I554" s="11" t="s">
        <v>1653</v>
      </c>
      <c r="J554" s="18" t="s">
        <v>2198</v>
      </c>
      <c r="K554" s="13" t="s">
        <v>2199</v>
      </c>
      <c r="L554" s="12" t="s">
        <v>222</v>
      </c>
      <c r="M554" s="12" t="s">
        <v>1526</v>
      </c>
      <c r="N554" s="12" t="s">
        <v>306</v>
      </c>
    </row>
    <row r="555" customFormat="false" ht="27.5" hidden="false" customHeight="false" outlineLevel="0" collapsed="false">
      <c r="A555" s="14" t="s">
        <v>2200</v>
      </c>
      <c r="B555" s="15" t="s">
        <v>2201</v>
      </c>
      <c r="C555" s="14" t="s">
        <v>2200</v>
      </c>
      <c r="D555" s="9" t="n">
        <v>5</v>
      </c>
      <c r="E555" s="10" t="s">
        <v>63</v>
      </c>
      <c r="F555" s="10" t="s">
        <v>1514</v>
      </c>
      <c r="G555" s="10" t="s">
        <v>1514</v>
      </c>
      <c r="H555" s="8" t="n">
        <v>6</v>
      </c>
      <c r="I555" s="17" t="s">
        <v>1653</v>
      </c>
      <c r="J555" s="12" t="s">
        <v>2202</v>
      </c>
      <c r="K555" s="13" t="s">
        <v>2203</v>
      </c>
      <c r="L555" s="12" t="s">
        <v>222</v>
      </c>
      <c r="M555" s="12" t="s">
        <v>1758</v>
      </c>
      <c r="N555" s="12" t="s">
        <v>817</v>
      </c>
    </row>
    <row r="556" customFormat="false" ht="27.5" hidden="false" customHeight="false" outlineLevel="0" collapsed="false">
      <c r="A556" s="7" t="s">
        <v>2204</v>
      </c>
      <c r="B556" s="8" t="s">
        <v>2205</v>
      </c>
      <c r="C556" s="7" t="s">
        <v>2204</v>
      </c>
      <c r="D556" s="9" t="n">
        <v>5</v>
      </c>
      <c r="E556" s="10" t="s">
        <v>63</v>
      </c>
      <c r="F556" s="10" t="s">
        <v>1514</v>
      </c>
      <c r="G556" s="10" t="s">
        <v>1514</v>
      </c>
      <c r="H556" s="8" t="n">
        <v>6</v>
      </c>
      <c r="I556" s="11" t="s">
        <v>1653</v>
      </c>
      <c r="J556" s="12" t="s">
        <v>2206</v>
      </c>
      <c r="K556" s="12" t="s">
        <v>815</v>
      </c>
      <c r="L556" s="12" t="s">
        <v>222</v>
      </c>
      <c r="M556" s="12" t="s">
        <v>816</v>
      </c>
      <c r="N556" s="12" t="s">
        <v>817</v>
      </c>
    </row>
    <row r="557" customFormat="false" ht="36" hidden="false" customHeight="false" outlineLevel="0" collapsed="false">
      <c r="A557" s="7" t="s">
        <v>2207</v>
      </c>
      <c r="B557" s="8" t="s">
        <v>2208</v>
      </c>
      <c r="C557" s="7" t="s">
        <v>2207</v>
      </c>
      <c r="D557" s="9" t="n">
        <v>23</v>
      </c>
      <c r="E557" s="10" t="s">
        <v>441</v>
      </c>
      <c r="F557" s="10" t="s">
        <v>2209</v>
      </c>
      <c r="G557" s="10" t="s">
        <v>1523</v>
      </c>
      <c r="H557" s="8" t="n">
        <v>6</v>
      </c>
      <c r="I557" s="11" t="s">
        <v>1653</v>
      </c>
      <c r="J557" s="12" t="s">
        <v>2210</v>
      </c>
      <c r="K557" s="13" t="s">
        <v>444</v>
      </c>
      <c r="L557" s="12" t="s">
        <v>222</v>
      </c>
      <c r="M557" s="12" t="s">
        <v>1526</v>
      </c>
      <c r="N557" s="12" t="s">
        <v>23</v>
      </c>
    </row>
    <row r="558" customFormat="false" ht="53" hidden="false" customHeight="false" outlineLevel="0" collapsed="false">
      <c r="A558" s="14" t="s">
        <v>2211</v>
      </c>
      <c r="B558" s="8" t="s">
        <v>2212</v>
      </c>
      <c r="C558" s="14" t="s">
        <v>2211</v>
      </c>
      <c r="D558" s="9" t="n">
        <v>23</v>
      </c>
      <c r="E558" s="10" t="s">
        <v>441</v>
      </c>
      <c r="F558" s="10" t="s">
        <v>2209</v>
      </c>
      <c r="G558" s="10" t="s">
        <v>1523</v>
      </c>
      <c r="H558" s="8" t="n">
        <v>6</v>
      </c>
      <c r="I558" s="11" t="s">
        <v>1653</v>
      </c>
      <c r="J558" s="18" t="s">
        <v>2213</v>
      </c>
      <c r="K558" s="13" t="s">
        <v>444</v>
      </c>
      <c r="L558" s="12" t="s">
        <v>222</v>
      </c>
      <c r="M558" s="12" t="s">
        <v>1526</v>
      </c>
      <c r="N558" s="12" t="s">
        <v>23</v>
      </c>
    </row>
    <row r="559" customFormat="false" ht="36" hidden="false" customHeight="false" outlineLevel="0" collapsed="false">
      <c r="A559" s="14" t="s">
        <v>2214</v>
      </c>
      <c r="B559" s="8" t="s">
        <v>2215</v>
      </c>
      <c r="C559" s="14" t="s">
        <v>2214</v>
      </c>
      <c r="D559" s="9" t="n">
        <v>23</v>
      </c>
      <c r="E559" s="10" t="s">
        <v>441</v>
      </c>
      <c r="F559" s="10" t="s">
        <v>2209</v>
      </c>
      <c r="G559" s="10" t="s">
        <v>1523</v>
      </c>
      <c r="H559" s="8" t="n">
        <v>6</v>
      </c>
      <c r="I559" s="11" t="s">
        <v>1653</v>
      </c>
      <c r="J559" s="18" t="s">
        <v>2216</v>
      </c>
      <c r="K559" s="13" t="s">
        <v>444</v>
      </c>
      <c r="L559" s="12" t="s">
        <v>222</v>
      </c>
      <c r="M559" s="12" t="s">
        <v>1526</v>
      </c>
      <c r="N559" s="12" t="s">
        <v>23</v>
      </c>
    </row>
    <row r="560" customFormat="false" ht="36" hidden="false" customHeight="false" outlineLevel="0" collapsed="false">
      <c r="A560" s="14" t="s">
        <v>2217</v>
      </c>
      <c r="B560" s="8" t="s">
        <v>2218</v>
      </c>
      <c r="C560" s="14" t="s">
        <v>2217</v>
      </c>
      <c r="D560" s="9" t="n">
        <v>23</v>
      </c>
      <c r="E560" s="10" t="s">
        <v>441</v>
      </c>
      <c r="F560" s="10" t="s">
        <v>2219</v>
      </c>
      <c r="G560" s="10" t="s">
        <v>1523</v>
      </c>
      <c r="H560" s="8" t="n">
        <v>6</v>
      </c>
      <c r="I560" s="11" t="s">
        <v>1653</v>
      </c>
      <c r="J560" s="18" t="s">
        <v>2220</v>
      </c>
      <c r="K560" s="13" t="s">
        <v>444</v>
      </c>
      <c r="L560" s="12" t="s">
        <v>222</v>
      </c>
      <c r="M560" s="12" t="s">
        <v>1102</v>
      </c>
      <c r="N560" s="12" t="s">
        <v>306</v>
      </c>
    </row>
    <row r="561" customFormat="false" ht="36" hidden="false" customHeight="false" outlineLevel="0" collapsed="false">
      <c r="A561" s="14" t="s">
        <v>2221</v>
      </c>
      <c r="B561" s="8" t="s">
        <v>2222</v>
      </c>
      <c r="C561" s="14" t="s">
        <v>2221</v>
      </c>
      <c r="D561" s="9" t="n">
        <v>23</v>
      </c>
      <c r="E561" s="10" t="s">
        <v>441</v>
      </c>
      <c r="F561" s="10" t="s">
        <v>231</v>
      </c>
      <c r="G561" s="10" t="s">
        <v>1523</v>
      </c>
      <c r="H561" s="8" t="n">
        <v>6</v>
      </c>
      <c r="I561" s="11" t="s">
        <v>1653</v>
      </c>
      <c r="J561" s="18" t="s">
        <v>2223</v>
      </c>
      <c r="K561" s="13" t="s">
        <v>2224</v>
      </c>
      <c r="L561" s="12" t="s">
        <v>222</v>
      </c>
      <c r="M561" s="12" t="s">
        <v>1526</v>
      </c>
      <c r="N561" s="12" t="s">
        <v>23</v>
      </c>
    </row>
    <row r="562" customFormat="false" ht="36" hidden="false" customHeight="false" outlineLevel="0" collapsed="false">
      <c r="A562" s="14" t="s">
        <v>2225</v>
      </c>
      <c r="B562" s="8" t="s">
        <v>2226</v>
      </c>
      <c r="C562" s="14" t="s">
        <v>2225</v>
      </c>
      <c r="D562" s="9" t="n">
        <v>23</v>
      </c>
      <c r="E562" s="10" t="s">
        <v>441</v>
      </c>
      <c r="F562" s="10" t="s">
        <v>70</v>
      </c>
      <c r="G562" s="10" t="s">
        <v>1523</v>
      </c>
      <c r="H562" s="8" t="n">
        <v>6</v>
      </c>
      <c r="I562" s="11" t="s">
        <v>1653</v>
      </c>
      <c r="J562" s="18" t="s">
        <v>2227</v>
      </c>
      <c r="K562" s="13" t="s">
        <v>2228</v>
      </c>
      <c r="L562" s="12" t="s">
        <v>222</v>
      </c>
      <c r="M562" s="12" t="s">
        <v>1526</v>
      </c>
      <c r="N562" s="12" t="s">
        <v>23</v>
      </c>
    </row>
    <row r="563" customFormat="false" ht="36" hidden="false" customHeight="false" outlineLevel="0" collapsed="false">
      <c r="A563" s="7" t="s">
        <v>2229</v>
      </c>
      <c r="B563" s="8" t="s">
        <v>2230</v>
      </c>
      <c r="C563" s="7" t="s">
        <v>2229</v>
      </c>
      <c r="D563" s="9" t="n">
        <v>23</v>
      </c>
      <c r="E563" s="10" t="s">
        <v>230</v>
      </c>
      <c r="F563" s="10" t="s">
        <v>70</v>
      </c>
      <c r="G563" s="10" t="s">
        <v>1523</v>
      </c>
      <c r="H563" s="8" t="n">
        <v>6</v>
      </c>
      <c r="I563" s="11" t="s">
        <v>1653</v>
      </c>
      <c r="J563" s="12" t="s">
        <v>2231</v>
      </c>
      <c r="K563" s="13" t="s">
        <v>2228</v>
      </c>
      <c r="L563" s="12" t="s">
        <v>222</v>
      </c>
      <c r="M563" s="12" t="s">
        <v>1526</v>
      </c>
      <c r="N563" s="12" t="s">
        <v>23</v>
      </c>
    </row>
    <row r="564" customFormat="false" ht="36" hidden="false" customHeight="false" outlineLevel="0" collapsed="false">
      <c r="A564" s="14" t="s">
        <v>2232</v>
      </c>
      <c r="B564" s="8" t="s">
        <v>2233</v>
      </c>
      <c r="C564" s="14" t="s">
        <v>2232</v>
      </c>
      <c r="D564" s="9" t="n">
        <v>23</v>
      </c>
      <c r="E564" s="10" t="s">
        <v>441</v>
      </c>
      <c r="F564" s="10" t="s">
        <v>2234</v>
      </c>
      <c r="G564" s="10" t="s">
        <v>1523</v>
      </c>
      <c r="H564" s="8" t="n">
        <v>6</v>
      </c>
      <c r="I564" s="11" t="s">
        <v>1653</v>
      </c>
      <c r="J564" s="18" t="s">
        <v>2235</v>
      </c>
      <c r="K564" s="13" t="s">
        <v>2224</v>
      </c>
      <c r="L564" s="12" t="s">
        <v>222</v>
      </c>
      <c r="M564" s="12" t="s">
        <v>1102</v>
      </c>
      <c r="N564" s="12" t="s">
        <v>306</v>
      </c>
    </row>
    <row r="565" customFormat="false" ht="36" hidden="false" customHeight="false" outlineLevel="0" collapsed="false">
      <c r="A565" s="14" t="s">
        <v>2236</v>
      </c>
      <c r="B565" s="8" t="s">
        <v>2237</v>
      </c>
      <c r="C565" s="14" t="s">
        <v>2236</v>
      </c>
      <c r="D565" s="9" t="n">
        <v>23</v>
      </c>
      <c r="E565" s="10" t="s">
        <v>441</v>
      </c>
      <c r="F565" s="10" t="s">
        <v>2238</v>
      </c>
      <c r="G565" s="10" t="s">
        <v>1523</v>
      </c>
      <c r="H565" s="8" t="n">
        <v>6</v>
      </c>
      <c r="I565" s="11" t="s">
        <v>1653</v>
      </c>
      <c r="J565" s="18" t="s">
        <v>2239</v>
      </c>
      <c r="K565" s="13" t="s">
        <v>2240</v>
      </c>
      <c r="L565" s="12" t="s">
        <v>222</v>
      </c>
      <c r="M565" s="12" t="s">
        <v>816</v>
      </c>
      <c r="N565" s="12" t="s">
        <v>817</v>
      </c>
    </row>
    <row r="566" customFormat="false" ht="36" hidden="false" customHeight="false" outlineLevel="0" collapsed="false">
      <c r="A566" s="14" t="s">
        <v>2241</v>
      </c>
      <c r="B566" s="8" t="s">
        <v>2242</v>
      </c>
      <c r="C566" s="14" t="s">
        <v>2241</v>
      </c>
      <c r="D566" s="9" t="n">
        <v>23</v>
      </c>
      <c r="E566" s="10" t="s">
        <v>441</v>
      </c>
      <c r="F566" s="10" t="s">
        <v>2209</v>
      </c>
      <c r="G566" s="10" t="s">
        <v>1523</v>
      </c>
      <c r="H566" s="8" t="n">
        <v>6</v>
      </c>
      <c r="I566" s="11" t="s">
        <v>1653</v>
      </c>
      <c r="J566" s="18" t="s">
        <v>2243</v>
      </c>
      <c r="K566" s="13" t="s">
        <v>444</v>
      </c>
      <c r="L566" s="12" t="s">
        <v>222</v>
      </c>
      <c r="M566" s="12" t="s">
        <v>816</v>
      </c>
      <c r="N566" s="12" t="s">
        <v>817</v>
      </c>
    </row>
    <row r="567" customFormat="false" ht="36" hidden="false" customHeight="false" outlineLevel="0" collapsed="false">
      <c r="A567" s="14" t="s">
        <v>2244</v>
      </c>
      <c r="B567" s="8" t="s">
        <v>2245</v>
      </c>
      <c r="C567" s="14" t="s">
        <v>2244</v>
      </c>
      <c r="D567" s="9" t="n">
        <v>23</v>
      </c>
      <c r="E567" s="10" t="s">
        <v>441</v>
      </c>
      <c r="F567" s="10" t="s">
        <v>231</v>
      </c>
      <c r="G567" s="10" t="s">
        <v>1523</v>
      </c>
      <c r="H567" s="8" t="n">
        <v>6</v>
      </c>
      <c r="I567" s="11" t="s">
        <v>1653</v>
      </c>
      <c r="J567" s="18" t="s">
        <v>2246</v>
      </c>
      <c r="K567" s="18" t="s">
        <v>2224</v>
      </c>
      <c r="L567" s="12" t="s">
        <v>222</v>
      </c>
      <c r="M567" s="12" t="s">
        <v>816</v>
      </c>
      <c r="N567" s="12" t="s">
        <v>817</v>
      </c>
    </row>
    <row r="568" customFormat="false" ht="53" hidden="false" customHeight="false" outlineLevel="0" collapsed="false">
      <c r="A568" s="14" t="s">
        <v>2247</v>
      </c>
      <c r="B568" s="8" t="s">
        <v>2248</v>
      </c>
      <c r="C568" s="14" t="s">
        <v>2247</v>
      </c>
      <c r="D568" s="9" t="n">
        <v>23</v>
      </c>
      <c r="E568" s="10" t="s">
        <v>441</v>
      </c>
      <c r="F568" s="10" t="s">
        <v>2234</v>
      </c>
      <c r="G568" s="10" t="s">
        <v>1523</v>
      </c>
      <c r="H568" s="8" t="n">
        <v>6</v>
      </c>
      <c r="I568" s="11" t="s">
        <v>1653</v>
      </c>
      <c r="J568" s="18" t="s">
        <v>2249</v>
      </c>
      <c r="K568" s="13" t="s">
        <v>2224</v>
      </c>
      <c r="L568" s="12" t="s">
        <v>222</v>
      </c>
      <c r="M568" s="12" t="s">
        <v>816</v>
      </c>
      <c r="N568" s="12" t="s">
        <v>817</v>
      </c>
    </row>
    <row r="569" customFormat="false" ht="36" hidden="false" customHeight="false" outlineLevel="0" collapsed="false">
      <c r="A569" s="7" t="s">
        <v>2250</v>
      </c>
      <c r="B569" s="8" t="s">
        <v>1522</v>
      </c>
      <c r="C569" s="7" t="s">
        <v>2250</v>
      </c>
      <c r="D569" s="9" t="n">
        <v>23</v>
      </c>
      <c r="E569" s="10" t="s">
        <v>230</v>
      </c>
      <c r="F569" s="10" t="s">
        <v>70</v>
      </c>
      <c r="G569" s="10" t="s">
        <v>1523</v>
      </c>
      <c r="H569" s="8" t="n">
        <v>6</v>
      </c>
      <c r="I569" s="11" t="s">
        <v>1653</v>
      </c>
      <c r="J569" s="12" t="s">
        <v>2251</v>
      </c>
      <c r="K569" s="13" t="s">
        <v>1525</v>
      </c>
      <c r="L569" s="12" t="s">
        <v>222</v>
      </c>
      <c r="M569" s="12" t="s">
        <v>1526</v>
      </c>
      <c r="N569" s="12" t="s">
        <v>23</v>
      </c>
    </row>
    <row r="570" customFormat="false" ht="36" hidden="false" customHeight="false" outlineLevel="0" collapsed="false">
      <c r="A570" s="14" t="s">
        <v>2252</v>
      </c>
      <c r="B570" s="8" t="s">
        <v>2253</v>
      </c>
      <c r="C570" s="14" t="s">
        <v>2252</v>
      </c>
      <c r="D570" s="9" t="n">
        <v>23</v>
      </c>
      <c r="E570" s="10" t="s">
        <v>441</v>
      </c>
      <c r="F570" s="10" t="s">
        <v>2219</v>
      </c>
      <c r="G570" s="10" t="s">
        <v>1523</v>
      </c>
      <c r="H570" s="8" t="n">
        <v>6</v>
      </c>
      <c r="I570" s="11" t="s">
        <v>1653</v>
      </c>
      <c r="J570" s="18" t="s">
        <v>2254</v>
      </c>
      <c r="K570" s="12" t="s">
        <v>2255</v>
      </c>
      <c r="L570" s="12" t="s">
        <v>222</v>
      </c>
      <c r="M570" s="12" t="s">
        <v>1526</v>
      </c>
      <c r="N570" s="12" t="s">
        <v>23</v>
      </c>
    </row>
    <row r="571" customFormat="false" ht="36" hidden="false" customHeight="false" outlineLevel="0" collapsed="false">
      <c r="A571" s="14" t="s">
        <v>2256</v>
      </c>
      <c r="B571" s="8" t="s">
        <v>2257</v>
      </c>
      <c r="C571" s="14" t="s">
        <v>2256</v>
      </c>
      <c r="D571" s="9" t="n">
        <v>23</v>
      </c>
      <c r="E571" s="10" t="s">
        <v>441</v>
      </c>
      <c r="F571" s="10" t="s">
        <v>2209</v>
      </c>
      <c r="G571" s="10" t="s">
        <v>1523</v>
      </c>
      <c r="H571" s="8" t="n">
        <v>6</v>
      </c>
      <c r="I571" s="11" t="s">
        <v>1653</v>
      </c>
      <c r="J571" s="18" t="s">
        <v>2258</v>
      </c>
      <c r="K571" s="13" t="s">
        <v>444</v>
      </c>
      <c r="L571" s="12" t="s">
        <v>222</v>
      </c>
      <c r="M571" s="12" t="s">
        <v>1526</v>
      </c>
      <c r="N571" s="12" t="s">
        <v>23</v>
      </c>
    </row>
    <row r="572" customFormat="false" ht="36" hidden="false" customHeight="false" outlineLevel="0" collapsed="false">
      <c r="A572" s="14" t="s">
        <v>2259</v>
      </c>
      <c r="B572" s="8" t="s">
        <v>2260</v>
      </c>
      <c r="C572" s="14" t="s">
        <v>2259</v>
      </c>
      <c r="D572" s="9" t="n">
        <v>23</v>
      </c>
      <c r="E572" s="10" t="s">
        <v>441</v>
      </c>
      <c r="F572" s="10" t="s">
        <v>70</v>
      </c>
      <c r="G572" s="10" t="s">
        <v>1523</v>
      </c>
      <c r="H572" s="8" t="n">
        <v>6</v>
      </c>
      <c r="I572" s="11" t="s">
        <v>1653</v>
      </c>
      <c r="J572" s="18" t="s">
        <v>2261</v>
      </c>
      <c r="K572" s="12" t="s">
        <v>2228</v>
      </c>
      <c r="L572" s="12" t="s">
        <v>1676</v>
      </c>
      <c r="M572" s="12" t="s">
        <v>1526</v>
      </c>
      <c r="N572" s="12" t="s">
        <v>817</v>
      </c>
    </row>
    <row r="573" customFormat="false" ht="36" hidden="false" customHeight="false" outlineLevel="0" collapsed="false">
      <c r="A573" s="14" t="s">
        <v>2262</v>
      </c>
      <c r="B573" s="8" t="s">
        <v>2263</v>
      </c>
      <c r="C573" s="14" t="s">
        <v>2262</v>
      </c>
      <c r="D573" s="9" t="n">
        <v>23</v>
      </c>
      <c r="E573" s="10" t="s">
        <v>441</v>
      </c>
      <c r="F573" s="10" t="s">
        <v>70</v>
      </c>
      <c r="G573" s="10" t="s">
        <v>1523</v>
      </c>
      <c r="H573" s="8" t="n">
        <v>6</v>
      </c>
      <c r="I573" s="11" t="s">
        <v>1653</v>
      </c>
      <c r="J573" s="18" t="s">
        <v>2264</v>
      </c>
      <c r="K573" s="12" t="s">
        <v>2228</v>
      </c>
      <c r="L573" s="12" t="s">
        <v>1676</v>
      </c>
      <c r="M573" s="12" t="s">
        <v>1526</v>
      </c>
      <c r="N573" s="12" t="s">
        <v>817</v>
      </c>
    </row>
    <row r="574" customFormat="false" ht="61.5" hidden="false" customHeight="false" outlineLevel="0" collapsed="false">
      <c r="A574" s="14" t="s">
        <v>2265</v>
      </c>
      <c r="B574" s="8" t="s">
        <v>2266</v>
      </c>
      <c r="C574" s="14" t="s">
        <v>2265</v>
      </c>
      <c r="D574" s="9" t="n">
        <v>23</v>
      </c>
      <c r="E574" s="10" t="s">
        <v>441</v>
      </c>
      <c r="F574" s="10" t="s">
        <v>2234</v>
      </c>
      <c r="G574" s="10" t="s">
        <v>1523</v>
      </c>
      <c r="H574" s="8" t="n">
        <v>6</v>
      </c>
      <c r="I574" s="11" t="s">
        <v>1653</v>
      </c>
      <c r="J574" s="18" t="s">
        <v>2267</v>
      </c>
      <c r="K574" s="13" t="s">
        <v>2224</v>
      </c>
      <c r="L574" s="12" t="s">
        <v>1676</v>
      </c>
      <c r="M574" s="12" t="s">
        <v>1526</v>
      </c>
      <c r="N574" s="12" t="s">
        <v>817</v>
      </c>
    </row>
    <row r="575" customFormat="false" ht="19" hidden="false" customHeight="false" outlineLevel="0" collapsed="false">
      <c r="A575" s="20" t="s">
        <v>2268</v>
      </c>
      <c r="B575" s="8" t="s">
        <v>2269</v>
      </c>
      <c r="C575" s="20" t="s">
        <v>2268</v>
      </c>
      <c r="D575" s="9" t="n">
        <v>3</v>
      </c>
      <c r="E575" s="9" t="s">
        <v>39</v>
      </c>
      <c r="F575" s="10" t="s">
        <v>59</v>
      </c>
      <c r="G575" s="10" t="s">
        <v>407</v>
      </c>
      <c r="H575" s="8" t="n">
        <v>6</v>
      </c>
      <c r="I575" s="11" t="s">
        <v>1653</v>
      </c>
      <c r="J575" s="13" t="s">
        <v>2270</v>
      </c>
      <c r="K575" s="13" t="s">
        <v>2271</v>
      </c>
      <c r="L575" s="12" t="s">
        <v>222</v>
      </c>
      <c r="M575" s="12" t="s">
        <v>1102</v>
      </c>
      <c r="N575" s="12" t="s">
        <v>817</v>
      </c>
    </row>
    <row r="576" customFormat="false" ht="53" hidden="false" customHeight="false" outlineLevel="0" collapsed="false">
      <c r="A576" s="20" t="s">
        <v>2272</v>
      </c>
      <c r="B576" s="8" t="s">
        <v>2273</v>
      </c>
      <c r="C576" s="20" t="s">
        <v>2272</v>
      </c>
      <c r="D576" s="9" t="n">
        <v>3</v>
      </c>
      <c r="E576" s="9" t="s">
        <v>39</v>
      </c>
      <c r="F576" s="10" t="s">
        <v>59</v>
      </c>
      <c r="G576" s="10" t="s">
        <v>407</v>
      </c>
      <c r="H576" s="8" t="n">
        <v>6</v>
      </c>
      <c r="I576" s="11" t="s">
        <v>1653</v>
      </c>
      <c r="J576" s="13" t="s">
        <v>2274</v>
      </c>
      <c r="K576" s="13" t="s">
        <v>2271</v>
      </c>
      <c r="L576" s="12" t="s">
        <v>222</v>
      </c>
      <c r="M576" s="12" t="s">
        <v>816</v>
      </c>
      <c r="N576" s="12" t="s">
        <v>817</v>
      </c>
    </row>
    <row r="577" customFormat="false" ht="27.5" hidden="false" customHeight="false" outlineLevel="0" collapsed="false">
      <c r="A577" s="7" t="s">
        <v>2275</v>
      </c>
      <c r="B577" s="8" t="s">
        <v>2276</v>
      </c>
      <c r="C577" s="7" t="s">
        <v>2275</v>
      </c>
      <c r="D577" s="9" t="n">
        <v>10</v>
      </c>
      <c r="E577" s="10" t="s">
        <v>142</v>
      </c>
      <c r="F577" s="10" t="s">
        <v>669</v>
      </c>
      <c r="G577" s="10" t="s">
        <v>1532</v>
      </c>
      <c r="H577" s="8" t="n">
        <v>6</v>
      </c>
      <c r="I577" s="11" t="s">
        <v>1653</v>
      </c>
      <c r="J577" s="12" t="s">
        <v>2277</v>
      </c>
      <c r="K577" s="13" t="s">
        <v>2278</v>
      </c>
      <c r="L577" s="12" t="s">
        <v>222</v>
      </c>
      <c r="M577" s="12" t="s">
        <v>816</v>
      </c>
      <c r="N577" s="12" t="s">
        <v>817</v>
      </c>
    </row>
    <row r="578" customFormat="false" ht="19" hidden="false" customHeight="false" outlineLevel="0" collapsed="false">
      <c r="A578" s="7" t="s">
        <v>2279</v>
      </c>
      <c r="B578" s="8" t="s">
        <v>2280</v>
      </c>
      <c r="C578" s="7" t="s">
        <v>2279</v>
      </c>
      <c r="D578" s="9" t="n">
        <v>10</v>
      </c>
      <c r="E578" s="10" t="s">
        <v>142</v>
      </c>
      <c r="F578" s="10" t="s">
        <v>669</v>
      </c>
      <c r="G578" s="10" t="s">
        <v>1532</v>
      </c>
      <c r="H578" s="8" t="n">
        <v>6</v>
      </c>
      <c r="I578" s="11" t="s">
        <v>1653</v>
      </c>
      <c r="J578" s="12" t="s">
        <v>2281</v>
      </c>
      <c r="K578" s="13" t="s">
        <v>1501</v>
      </c>
      <c r="L578" s="12" t="s">
        <v>222</v>
      </c>
      <c r="M578" s="12" t="s">
        <v>816</v>
      </c>
      <c r="N578" s="12" t="s">
        <v>817</v>
      </c>
    </row>
    <row r="579" customFormat="false" ht="19" hidden="false" customHeight="false" outlineLevel="0" collapsed="false">
      <c r="A579" s="7" t="s">
        <v>2282</v>
      </c>
      <c r="B579" s="8" t="s">
        <v>2283</v>
      </c>
      <c r="C579" s="7" t="s">
        <v>2282</v>
      </c>
      <c r="D579" s="9" t="n">
        <v>10</v>
      </c>
      <c r="E579" s="10" t="s">
        <v>142</v>
      </c>
      <c r="F579" s="10" t="s">
        <v>669</v>
      </c>
      <c r="G579" s="10" t="s">
        <v>1532</v>
      </c>
      <c r="H579" s="8" t="n">
        <v>6</v>
      </c>
      <c r="I579" s="11" t="s">
        <v>1653</v>
      </c>
      <c r="J579" s="12" t="s">
        <v>2284</v>
      </c>
      <c r="K579" s="12" t="s">
        <v>286</v>
      </c>
      <c r="L579" s="12" t="s">
        <v>222</v>
      </c>
      <c r="M579" s="12" t="s">
        <v>816</v>
      </c>
      <c r="N579" s="12" t="s">
        <v>817</v>
      </c>
    </row>
    <row r="580" customFormat="false" ht="36" hidden="false" customHeight="false" outlineLevel="0" collapsed="false">
      <c r="A580" s="7" t="s">
        <v>2285</v>
      </c>
      <c r="B580" s="8" t="s">
        <v>2286</v>
      </c>
      <c r="C580" s="7" t="s">
        <v>2285</v>
      </c>
      <c r="D580" s="9" t="n">
        <v>10</v>
      </c>
      <c r="E580" s="10" t="s">
        <v>142</v>
      </c>
      <c r="F580" s="10" t="s">
        <v>669</v>
      </c>
      <c r="G580" s="10" t="s">
        <v>1532</v>
      </c>
      <c r="H580" s="8" t="n">
        <v>6</v>
      </c>
      <c r="I580" s="11" t="s">
        <v>1653</v>
      </c>
      <c r="J580" s="12" t="s">
        <v>2287</v>
      </c>
      <c r="K580" s="12" t="s">
        <v>1306</v>
      </c>
      <c r="L580" s="12" t="s">
        <v>222</v>
      </c>
      <c r="M580" s="12" t="s">
        <v>816</v>
      </c>
      <c r="N580" s="12" t="s">
        <v>452</v>
      </c>
    </row>
    <row r="581" customFormat="false" ht="27.5" hidden="false" customHeight="false" outlineLevel="0" collapsed="false">
      <c r="A581" s="7" t="s">
        <v>2288</v>
      </c>
      <c r="B581" s="8" t="s">
        <v>2289</v>
      </c>
      <c r="C581" s="7" t="s">
        <v>2288</v>
      </c>
      <c r="D581" s="9" t="n">
        <v>20</v>
      </c>
      <c r="E581" s="9" t="s">
        <v>53</v>
      </c>
      <c r="F581" s="10" t="s">
        <v>2290</v>
      </c>
      <c r="G581" s="10" t="s">
        <v>1536</v>
      </c>
      <c r="H581" s="8" t="n">
        <v>6</v>
      </c>
      <c r="I581" s="11" t="s">
        <v>1653</v>
      </c>
      <c r="J581" s="12" t="s">
        <v>2291</v>
      </c>
      <c r="K581" s="13" t="s">
        <v>2292</v>
      </c>
      <c r="L581" s="12" t="s">
        <v>222</v>
      </c>
      <c r="M581" s="12" t="s">
        <v>1526</v>
      </c>
      <c r="N581" s="12" t="s">
        <v>817</v>
      </c>
    </row>
    <row r="582" customFormat="false" ht="27.5" hidden="false" customHeight="false" outlineLevel="0" collapsed="false">
      <c r="A582" s="7" t="s">
        <v>2293</v>
      </c>
      <c r="B582" s="8" t="s">
        <v>2294</v>
      </c>
      <c r="C582" s="7" t="s">
        <v>2293</v>
      </c>
      <c r="D582" s="9" t="n">
        <v>22</v>
      </c>
      <c r="E582" s="9" t="s">
        <v>47</v>
      </c>
      <c r="F582" s="10" t="s">
        <v>2295</v>
      </c>
      <c r="G582" s="10" t="s">
        <v>2295</v>
      </c>
      <c r="H582" s="8" t="n">
        <v>6</v>
      </c>
      <c r="I582" s="11" t="s">
        <v>1653</v>
      </c>
      <c r="J582" s="12" t="s">
        <v>2296</v>
      </c>
      <c r="K582" s="12" t="s">
        <v>1950</v>
      </c>
      <c r="L582" s="12" t="s">
        <v>222</v>
      </c>
      <c r="M582" s="12" t="s">
        <v>816</v>
      </c>
      <c r="N582" s="12" t="s">
        <v>306</v>
      </c>
    </row>
    <row r="583" customFormat="false" ht="27.5" hidden="false" customHeight="false" outlineLevel="0" collapsed="false">
      <c r="A583" s="20" t="s">
        <v>2297</v>
      </c>
      <c r="B583" s="8" t="s">
        <v>2298</v>
      </c>
      <c r="C583" s="20" t="s">
        <v>2297</v>
      </c>
      <c r="D583" s="9" t="n">
        <v>17</v>
      </c>
      <c r="E583" s="9" t="s">
        <v>415</v>
      </c>
      <c r="F583" s="10" t="s">
        <v>59</v>
      </c>
      <c r="G583" s="10" t="s">
        <v>417</v>
      </c>
      <c r="H583" s="8" t="n">
        <v>6</v>
      </c>
      <c r="I583" s="11" t="s">
        <v>1653</v>
      </c>
      <c r="J583" s="18" t="s">
        <v>2299</v>
      </c>
      <c r="K583" s="13" t="s">
        <v>2300</v>
      </c>
      <c r="L583" s="12" t="s">
        <v>222</v>
      </c>
      <c r="M583" s="12" t="s">
        <v>1526</v>
      </c>
      <c r="N583" s="12" t="s">
        <v>817</v>
      </c>
    </row>
    <row r="584" customFormat="false" ht="27.5" hidden="false" customHeight="false" outlineLevel="0" collapsed="false">
      <c r="A584" s="14" t="s">
        <v>2301</v>
      </c>
      <c r="B584" s="8" t="s">
        <v>2302</v>
      </c>
      <c r="C584" s="14" t="s">
        <v>2301</v>
      </c>
      <c r="D584" s="9" t="n">
        <v>2</v>
      </c>
      <c r="E584" s="9" t="s">
        <v>226</v>
      </c>
      <c r="F584" s="10" t="s">
        <v>226</v>
      </c>
      <c r="G584" s="10" t="s">
        <v>226</v>
      </c>
      <c r="H584" s="8" t="n">
        <v>6</v>
      </c>
      <c r="I584" s="11" t="s">
        <v>1653</v>
      </c>
      <c r="J584" s="18" t="s">
        <v>2303</v>
      </c>
      <c r="K584" s="13" t="s">
        <v>2304</v>
      </c>
      <c r="L584" s="12" t="s">
        <v>222</v>
      </c>
      <c r="M584" s="12" t="s">
        <v>969</v>
      </c>
      <c r="N584" s="12" t="s">
        <v>817</v>
      </c>
    </row>
    <row r="585" customFormat="false" ht="53" hidden="false" customHeight="false" outlineLevel="0" collapsed="false">
      <c r="A585" s="14" t="s">
        <v>2305</v>
      </c>
      <c r="B585" s="8" t="s">
        <v>2306</v>
      </c>
      <c r="C585" s="14" t="s">
        <v>2305</v>
      </c>
      <c r="D585" s="9" t="n">
        <v>2</v>
      </c>
      <c r="E585" s="9" t="s">
        <v>226</v>
      </c>
      <c r="F585" s="10" t="s">
        <v>226</v>
      </c>
      <c r="G585" s="10" t="s">
        <v>226</v>
      </c>
      <c r="H585" s="8" t="n">
        <v>6</v>
      </c>
      <c r="I585" s="11" t="s">
        <v>1653</v>
      </c>
      <c r="J585" s="18" t="s">
        <v>2307</v>
      </c>
      <c r="K585" s="13" t="s">
        <v>2308</v>
      </c>
      <c r="L585" s="12" t="s">
        <v>222</v>
      </c>
      <c r="M585" s="12" t="s">
        <v>969</v>
      </c>
      <c r="N585" s="12" t="s">
        <v>817</v>
      </c>
    </row>
    <row r="586" customFormat="false" ht="19" hidden="false" customHeight="false" outlineLevel="0" collapsed="false">
      <c r="A586" s="7" t="s">
        <v>2309</v>
      </c>
      <c r="B586" s="8" t="s">
        <v>2310</v>
      </c>
      <c r="C586" s="7" t="s">
        <v>2309</v>
      </c>
      <c r="D586" s="10" t="n">
        <v>6</v>
      </c>
      <c r="E586" s="10" t="s">
        <v>180</v>
      </c>
      <c r="F586" s="10" t="s">
        <v>426</v>
      </c>
      <c r="G586" s="10" t="s">
        <v>427</v>
      </c>
      <c r="H586" s="8" t="n">
        <v>6</v>
      </c>
      <c r="I586" s="11" t="s">
        <v>1653</v>
      </c>
      <c r="J586" s="12" t="s">
        <v>2311</v>
      </c>
      <c r="K586" s="12" t="s">
        <v>2016</v>
      </c>
      <c r="L586" s="12" t="s">
        <v>21</v>
      </c>
      <c r="M586" s="12" t="s">
        <v>969</v>
      </c>
      <c r="N586" s="12" t="s">
        <v>306</v>
      </c>
    </row>
    <row r="587" customFormat="false" ht="36" hidden="false" customHeight="false" outlineLevel="0" collapsed="false">
      <c r="A587" s="20" t="s">
        <v>2312</v>
      </c>
      <c r="B587" s="8" t="s">
        <v>2313</v>
      </c>
      <c r="C587" s="20" t="s">
        <v>2312</v>
      </c>
      <c r="D587" s="9" t="n">
        <v>6</v>
      </c>
      <c r="E587" s="9" t="s">
        <v>180</v>
      </c>
      <c r="F587" s="10" t="s">
        <v>426</v>
      </c>
      <c r="G587" s="10" t="s">
        <v>427</v>
      </c>
      <c r="H587" s="8" t="n">
        <v>6</v>
      </c>
      <c r="I587" s="11" t="s">
        <v>1653</v>
      </c>
      <c r="J587" s="13" t="s">
        <v>2314</v>
      </c>
      <c r="K587" s="13" t="s">
        <v>2315</v>
      </c>
      <c r="L587" s="12" t="s">
        <v>222</v>
      </c>
      <c r="M587" s="12" t="s">
        <v>1102</v>
      </c>
      <c r="N587" s="12" t="s">
        <v>306</v>
      </c>
    </row>
    <row r="588" customFormat="false" ht="36" hidden="false" customHeight="false" outlineLevel="0" collapsed="false">
      <c r="A588" s="20" t="s">
        <v>2316</v>
      </c>
      <c r="B588" s="8" t="s">
        <v>2317</v>
      </c>
      <c r="C588" s="20" t="s">
        <v>2316</v>
      </c>
      <c r="D588" s="9" t="n">
        <v>11</v>
      </c>
      <c r="E588" s="10" t="s">
        <v>69</v>
      </c>
      <c r="F588" s="10" t="s">
        <v>432</v>
      </c>
      <c r="G588" s="10" t="s">
        <v>432</v>
      </c>
      <c r="H588" s="8" t="n">
        <v>6</v>
      </c>
      <c r="I588" s="11" t="s">
        <v>1653</v>
      </c>
      <c r="J588" s="13" t="s">
        <v>2318</v>
      </c>
      <c r="K588" s="13" t="s">
        <v>2319</v>
      </c>
      <c r="L588" s="12" t="s">
        <v>222</v>
      </c>
      <c r="M588" s="12" t="s">
        <v>1102</v>
      </c>
      <c r="N588" s="12" t="s">
        <v>817</v>
      </c>
    </row>
    <row r="589" customFormat="false" ht="27.5" hidden="false" customHeight="false" outlineLevel="0" collapsed="false">
      <c r="A589" s="20" t="s">
        <v>2320</v>
      </c>
      <c r="B589" s="8" t="s">
        <v>2321</v>
      </c>
      <c r="C589" s="20" t="s">
        <v>2320</v>
      </c>
      <c r="D589" s="9" t="n">
        <v>11</v>
      </c>
      <c r="E589" s="10" t="s">
        <v>69</v>
      </c>
      <c r="F589" s="10" t="s">
        <v>747</v>
      </c>
      <c r="G589" s="10" t="s">
        <v>885</v>
      </c>
      <c r="H589" s="8" t="n">
        <v>6</v>
      </c>
      <c r="I589" s="11" t="s">
        <v>1653</v>
      </c>
      <c r="J589" s="13" t="s">
        <v>2322</v>
      </c>
      <c r="K589" s="13" t="s">
        <v>2323</v>
      </c>
      <c r="L589" s="12" t="s">
        <v>222</v>
      </c>
      <c r="M589" s="12" t="s">
        <v>1102</v>
      </c>
      <c r="N589" s="12" t="s">
        <v>817</v>
      </c>
    </row>
    <row r="590" customFormat="false" ht="36" hidden="false" customHeight="false" outlineLevel="0" collapsed="false">
      <c r="A590" s="20" t="s">
        <v>2324</v>
      </c>
      <c r="B590" s="8" t="s">
        <v>2325</v>
      </c>
      <c r="C590" s="20" t="s">
        <v>2324</v>
      </c>
      <c r="D590" s="9" t="n">
        <v>16</v>
      </c>
      <c r="E590" s="10" t="s">
        <v>155</v>
      </c>
      <c r="F590" s="10" t="s">
        <v>156</v>
      </c>
      <c r="G590" s="10" t="s">
        <v>157</v>
      </c>
      <c r="H590" s="8" t="n">
        <v>6</v>
      </c>
      <c r="I590" s="11" t="s">
        <v>1653</v>
      </c>
      <c r="J590" s="13" t="s">
        <v>2326</v>
      </c>
      <c r="K590" s="13" t="s">
        <v>900</v>
      </c>
      <c r="L590" s="12" t="s">
        <v>222</v>
      </c>
      <c r="M590" s="12" t="s">
        <v>1102</v>
      </c>
      <c r="N590" s="12" t="s">
        <v>23</v>
      </c>
    </row>
    <row r="591" customFormat="false" ht="36" hidden="false" customHeight="false" outlineLevel="0" collapsed="false">
      <c r="A591" s="20" t="s">
        <v>2327</v>
      </c>
      <c r="B591" s="8" t="s">
        <v>2328</v>
      </c>
      <c r="C591" s="20" t="s">
        <v>2327</v>
      </c>
      <c r="D591" s="9" t="n">
        <v>16</v>
      </c>
      <c r="E591" s="10" t="s">
        <v>155</v>
      </c>
      <c r="F591" s="10" t="s">
        <v>40</v>
      </c>
      <c r="G591" s="10" t="s">
        <v>157</v>
      </c>
      <c r="H591" s="8" t="n">
        <v>6</v>
      </c>
      <c r="I591" s="11" t="s">
        <v>1653</v>
      </c>
      <c r="J591" s="13" t="s">
        <v>2329</v>
      </c>
      <c r="K591" s="13" t="s">
        <v>2330</v>
      </c>
      <c r="L591" s="12" t="s">
        <v>222</v>
      </c>
      <c r="M591" s="12" t="s">
        <v>1102</v>
      </c>
      <c r="N591" s="12" t="s">
        <v>23</v>
      </c>
    </row>
    <row r="592" customFormat="false" ht="36" hidden="false" customHeight="false" outlineLevel="0" collapsed="false">
      <c r="A592" s="20" t="s">
        <v>2331</v>
      </c>
      <c r="B592" s="8" t="s">
        <v>2332</v>
      </c>
      <c r="C592" s="20" t="s">
        <v>2331</v>
      </c>
      <c r="D592" s="9" t="n">
        <v>16</v>
      </c>
      <c r="E592" s="10" t="s">
        <v>155</v>
      </c>
      <c r="F592" s="10" t="s">
        <v>2333</v>
      </c>
      <c r="G592" s="10" t="s">
        <v>157</v>
      </c>
      <c r="H592" s="8" t="n">
        <v>6</v>
      </c>
      <c r="I592" s="11" t="s">
        <v>1653</v>
      </c>
      <c r="J592" s="13" t="s">
        <v>2334</v>
      </c>
      <c r="K592" s="13" t="s">
        <v>2335</v>
      </c>
      <c r="L592" s="12" t="s">
        <v>222</v>
      </c>
      <c r="M592" s="12" t="s">
        <v>1526</v>
      </c>
      <c r="N592" s="12" t="s">
        <v>306</v>
      </c>
    </row>
    <row r="593" customFormat="false" ht="36" hidden="false" customHeight="false" outlineLevel="0" collapsed="false">
      <c r="A593" s="20" t="s">
        <v>2336</v>
      </c>
      <c r="B593" s="8" t="s">
        <v>2337</v>
      </c>
      <c r="C593" s="20" t="s">
        <v>2336</v>
      </c>
      <c r="D593" s="9" t="n">
        <v>16</v>
      </c>
      <c r="E593" s="10" t="s">
        <v>155</v>
      </c>
      <c r="F593" s="10" t="s">
        <v>2338</v>
      </c>
      <c r="G593" s="10" t="s">
        <v>157</v>
      </c>
      <c r="H593" s="8" t="n">
        <v>6</v>
      </c>
      <c r="I593" s="11" t="s">
        <v>1653</v>
      </c>
      <c r="J593" s="18" t="s">
        <v>2339</v>
      </c>
      <c r="K593" s="13" t="s">
        <v>2340</v>
      </c>
      <c r="L593" s="12" t="s">
        <v>222</v>
      </c>
      <c r="M593" s="12" t="s">
        <v>1526</v>
      </c>
      <c r="N593" s="12" t="s">
        <v>306</v>
      </c>
    </row>
    <row r="594" customFormat="false" ht="27.5" hidden="false" customHeight="false" outlineLevel="0" collapsed="false">
      <c r="A594" s="14" t="s">
        <v>2341</v>
      </c>
      <c r="B594" s="8" t="s">
        <v>2342</v>
      </c>
      <c r="C594" s="14" t="s">
        <v>2341</v>
      </c>
      <c r="D594" s="9" t="n">
        <v>21</v>
      </c>
      <c r="E594" s="10" t="s">
        <v>117</v>
      </c>
      <c r="F594" s="10" t="s">
        <v>903</v>
      </c>
      <c r="G594" s="10" t="s">
        <v>903</v>
      </c>
      <c r="H594" s="8" t="n">
        <v>6</v>
      </c>
      <c r="I594" s="11" t="s">
        <v>1653</v>
      </c>
      <c r="J594" s="21" t="s">
        <v>2343</v>
      </c>
      <c r="K594" s="13" t="s">
        <v>2344</v>
      </c>
      <c r="L594" s="12" t="s">
        <v>1676</v>
      </c>
      <c r="M594" s="12" t="s">
        <v>969</v>
      </c>
      <c r="N594" s="12" t="s">
        <v>817</v>
      </c>
    </row>
    <row r="595" customFormat="false" ht="19" hidden="false" customHeight="false" outlineLevel="0" collapsed="false">
      <c r="A595" s="7" t="s">
        <v>2345</v>
      </c>
      <c r="B595" s="8" t="s">
        <v>2346</v>
      </c>
      <c r="C595" s="7" t="s">
        <v>2345</v>
      </c>
      <c r="D595" s="10" t="n">
        <v>20</v>
      </c>
      <c r="E595" s="9" t="s">
        <v>55</v>
      </c>
      <c r="F595" s="10" t="s">
        <v>203</v>
      </c>
      <c r="G595" s="10" t="s">
        <v>203</v>
      </c>
      <c r="H595" s="8" t="n">
        <v>6</v>
      </c>
      <c r="I595" s="11" t="s">
        <v>1653</v>
      </c>
      <c r="J595" s="12" t="s">
        <v>2347</v>
      </c>
      <c r="K595" s="12" t="s">
        <v>1051</v>
      </c>
      <c r="L595" s="12" t="s">
        <v>222</v>
      </c>
      <c r="M595" s="12" t="s">
        <v>1102</v>
      </c>
      <c r="N595" s="12" t="s">
        <v>817</v>
      </c>
    </row>
    <row r="596" customFormat="false" ht="19" hidden="false" customHeight="false" outlineLevel="0" collapsed="false">
      <c r="A596" s="7" t="s">
        <v>2348</v>
      </c>
      <c r="B596" s="8" t="s">
        <v>2349</v>
      </c>
      <c r="C596" s="7" t="s">
        <v>2348</v>
      </c>
      <c r="D596" s="9" t="n">
        <v>20</v>
      </c>
      <c r="E596" s="9" t="s">
        <v>53</v>
      </c>
      <c r="F596" s="10" t="s">
        <v>203</v>
      </c>
      <c r="G596" s="10" t="s">
        <v>203</v>
      </c>
      <c r="H596" s="8" t="n">
        <v>6</v>
      </c>
      <c r="I596" s="11" t="s">
        <v>1653</v>
      </c>
      <c r="J596" s="12" t="s">
        <v>2350</v>
      </c>
      <c r="K596" s="13" t="s">
        <v>1411</v>
      </c>
      <c r="L596" s="12" t="s">
        <v>222</v>
      </c>
      <c r="M596" s="12" t="s">
        <v>1102</v>
      </c>
      <c r="N596" s="12" t="s">
        <v>23</v>
      </c>
    </row>
    <row r="597" customFormat="false" ht="19" hidden="false" customHeight="false" outlineLevel="0" collapsed="false">
      <c r="A597" s="14" t="s">
        <v>2351</v>
      </c>
      <c r="B597" s="8" t="s">
        <v>2352</v>
      </c>
      <c r="C597" s="14" t="s">
        <v>2351</v>
      </c>
      <c r="D597" s="9" t="n">
        <v>20</v>
      </c>
      <c r="E597" s="9" t="s">
        <v>55</v>
      </c>
      <c r="F597" s="10" t="s">
        <v>203</v>
      </c>
      <c r="G597" s="10" t="s">
        <v>203</v>
      </c>
      <c r="H597" s="8" t="n">
        <v>6</v>
      </c>
      <c r="I597" s="11" t="s">
        <v>1653</v>
      </c>
      <c r="J597" s="18" t="s">
        <v>2353</v>
      </c>
      <c r="K597" s="18" t="s">
        <v>2354</v>
      </c>
      <c r="L597" s="12" t="s">
        <v>222</v>
      </c>
      <c r="M597" s="12" t="s">
        <v>1102</v>
      </c>
      <c r="N597" s="12" t="s">
        <v>817</v>
      </c>
    </row>
    <row r="598" customFormat="false" ht="36" hidden="false" customHeight="false" outlineLevel="0" collapsed="false">
      <c r="A598" s="20" t="s">
        <v>2355</v>
      </c>
      <c r="B598" s="8" t="s">
        <v>2356</v>
      </c>
      <c r="C598" s="20" t="s">
        <v>2355</v>
      </c>
      <c r="D598" s="9" t="n">
        <v>3</v>
      </c>
      <c r="E598" s="9" t="s">
        <v>39</v>
      </c>
      <c r="F598" s="10" t="s">
        <v>436</v>
      </c>
      <c r="G598" s="10" t="s">
        <v>436</v>
      </c>
      <c r="H598" s="8" t="n">
        <v>6</v>
      </c>
      <c r="I598" s="11" t="s">
        <v>1653</v>
      </c>
      <c r="J598" s="18" t="s">
        <v>2357</v>
      </c>
      <c r="K598" s="13" t="s">
        <v>2358</v>
      </c>
      <c r="L598" s="12" t="s">
        <v>222</v>
      </c>
      <c r="M598" s="12" t="s">
        <v>1526</v>
      </c>
      <c r="N598" s="12" t="s">
        <v>817</v>
      </c>
    </row>
    <row r="599" customFormat="false" ht="27.5" hidden="false" customHeight="false" outlineLevel="0" collapsed="false">
      <c r="A599" s="20" t="s">
        <v>2359</v>
      </c>
      <c r="B599" s="8" t="s">
        <v>2360</v>
      </c>
      <c r="C599" s="20" t="s">
        <v>2359</v>
      </c>
      <c r="D599" s="9" t="n">
        <v>22</v>
      </c>
      <c r="E599" s="9" t="s">
        <v>47</v>
      </c>
      <c r="F599" s="10" t="s">
        <v>906</v>
      </c>
      <c r="G599" s="10" t="s">
        <v>907</v>
      </c>
      <c r="H599" s="8" t="n">
        <v>6</v>
      </c>
      <c r="I599" s="11" t="s">
        <v>1653</v>
      </c>
      <c r="J599" s="13" t="s">
        <v>2361</v>
      </c>
      <c r="K599" s="13" t="s">
        <v>2362</v>
      </c>
      <c r="L599" s="12" t="s">
        <v>222</v>
      </c>
      <c r="M599" s="12" t="s">
        <v>1102</v>
      </c>
      <c r="N599" s="12" t="s">
        <v>817</v>
      </c>
    </row>
    <row r="600" customFormat="false" ht="27.5" hidden="false" customHeight="false" outlineLevel="0" collapsed="false">
      <c r="A600" s="7" t="s">
        <v>2363</v>
      </c>
      <c r="B600" s="8" t="s">
        <v>2364</v>
      </c>
      <c r="C600" s="7" t="s">
        <v>2363</v>
      </c>
      <c r="D600" s="9" t="n">
        <v>24</v>
      </c>
      <c r="E600" s="10" t="s">
        <v>1342</v>
      </c>
      <c r="F600" s="10" t="s">
        <v>1609</v>
      </c>
      <c r="G600" s="10" t="n">
        <v>0</v>
      </c>
      <c r="H600" s="8" t="n">
        <v>6</v>
      </c>
      <c r="I600" s="11" t="s">
        <v>1653</v>
      </c>
      <c r="J600" s="12" t="s">
        <v>2365</v>
      </c>
      <c r="K600" s="13" t="s">
        <v>196</v>
      </c>
      <c r="L600" s="12" t="s">
        <v>222</v>
      </c>
      <c r="M600" s="12" t="s">
        <v>1102</v>
      </c>
      <c r="N600" s="12" t="s">
        <v>306</v>
      </c>
    </row>
    <row r="601" customFormat="false" ht="27.5" hidden="false" customHeight="false" outlineLevel="0" collapsed="false">
      <c r="A601" s="7" t="s">
        <v>2366</v>
      </c>
      <c r="B601" s="8" t="s">
        <v>2367</v>
      </c>
      <c r="C601" s="7" t="s">
        <v>2366</v>
      </c>
      <c r="D601" s="9" t="n">
        <v>25</v>
      </c>
      <c r="E601" s="10" t="s">
        <v>915</v>
      </c>
      <c r="F601" s="10" t="s">
        <v>70</v>
      </c>
      <c r="G601" s="10" t="n">
        <v>0</v>
      </c>
      <c r="H601" s="8" t="n">
        <v>6</v>
      </c>
      <c r="I601" s="11" t="s">
        <v>1653</v>
      </c>
      <c r="J601" s="12" t="s">
        <v>2368</v>
      </c>
      <c r="K601" s="13" t="s">
        <v>654</v>
      </c>
      <c r="L601" s="12" t="s">
        <v>222</v>
      </c>
      <c r="M601" s="12" t="s">
        <v>1102</v>
      </c>
      <c r="N601" s="12" t="s">
        <v>23</v>
      </c>
    </row>
    <row r="602" customFormat="false" ht="36" hidden="false" customHeight="false" outlineLevel="0" collapsed="false">
      <c r="A602" s="14" t="s">
        <v>2369</v>
      </c>
      <c r="B602" s="8" t="s">
        <v>2370</v>
      </c>
      <c r="C602" s="14" t="s">
        <v>2369</v>
      </c>
      <c r="D602" s="9" t="n">
        <v>23</v>
      </c>
      <c r="E602" s="10" t="s">
        <v>230</v>
      </c>
      <c r="F602" s="10" t="s">
        <v>203</v>
      </c>
      <c r="G602" s="10" t="n">
        <v>0</v>
      </c>
      <c r="H602" s="8" t="n">
        <v>6</v>
      </c>
      <c r="I602" s="11" t="s">
        <v>1653</v>
      </c>
      <c r="J602" s="18" t="s">
        <v>2371</v>
      </c>
      <c r="K602" s="13" t="s">
        <v>2372</v>
      </c>
      <c r="L602" s="12" t="s">
        <v>222</v>
      </c>
      <c r="M602" s="12" t="s">
        <v>961</v>
      </c>
      <c r="N602" s="12" t="s">
        <v>306</v>
      </c>
    </row>
    <row r="603" customFormat="false" ht="53" hidden="false" customHeight="false" outlineLevel="0" collapsed="false">
      <c r="A603" s="14" t="s">
        <v>2373</v>
      </c>
      <c r="B603" s="8" t="s">
        <v>1608</v>
      </c>
      <c r="C603" s="14" t="s">
        <v>2373</v>
      </c>
      <c r="D603" s="9" t="n">
        <v>24</v>
      </c>
      <c r="E603" s="10" t="s">
        <v>1342</v>
      </c>
      <c r="F603" s="10" t="s">
        <v>1609</v>
      </c>
      <c r="G603" s="10" t="n">
        <v>0</v>
      </c>
      <c r="H603" s="8" t="n">
        <v>6</v>
      </c>
      <c r="I603" s="11" t="s">
        <v>1653</v>
      </c>
      <c r="J603" s="18" t="s">
        <v>2374</v>
      </c>
      <c r="K603" s="13" t="s">
        <v>321</v>
      </c>
      <c r="L603" s="12" t="s">
        <v>222</v>
      </c>
      <c r="M603" s="12" t="s">
        <v>1526</v>
      </c>
      <c r="N603" s="12" t="s">
        <v>23</v>
      </c>
    </row>
    <row r="604" customFormat="false" ht="27.5" hidden="false" customHeight="false" outlineLevel="0" collapsed="false">
      <c r="A604" s="14" t="s">
        <v>2375</v>
      </c>
      <c r="B604" s="8" t="s">
        <v>2376</v>
      </c>
      <c r="C604" s="14" t="s">
        <v>2375</v>
      </c>
      <c r="D604" s="9" t="n">
        <v>18</v>
      </c>
      <c r="E604" s="10" t="s">
        <v>449</v>
      </c>
      <c r="F604" s="10" t="s">
        <v>203</v>
      </c>
      <c r="G604" s="10" t="n">
        <v>0</v>
      </c>
      <c r="H604" s="8" t="n">
        <v>6</v>
      </c>
      <c r="I604" s="17" t="s">
        <v>1653</v>
      </c>
      <c r="J604" s="21" t="s">
        <v>2377</v>
      </c>
      <c r="K604" s="13" t="s">
        <v>2378</v>
      </c>
      <c r="L604" s="13" t="s">
        <v>222</v>
      </c>
      <c r="M604" s="13" t="s">
        <v>1758</v>
      </c>
      <c r="N604" s="13" t="s">
        <v>452</v>
      </c>
    </row>
    <row r="605" customFormat="false" ht="36" hidden="false" customHeight="false" outlineLevel="0" collapsed="false">
      <c r="A605" s="7" t="s">
        <v>2379</v>
      </c>
      <c r="B605" s="8" t="s">
        <v>2380</v>
      </c>
      <c r="C605" s="7" t="s">
        <v>2379</v>
      </c>
      <c r="D605" s="9" t="n">
        <v>23</v>
      </c>
      <c r="E605" s="10" t="s">
        <v>230</v>
      </c>
      <c r="F605" s="10" t="s">
        <v>2209</v>
      </c>
      <c r="G605" s="10" t="n">
        <v>0</v>
      </c>
      <c r="H605" s="8" t="n">
        <v>6</v>
      </c>
      <c r="I605" s="11" t="s">
        <v>1653</v>
      </c>
      <c r="J605" s="12" t="s">
        <v>2381</v>
      </c>
      <c r="K605" s="13" t="s">
        <v>444</v>
      </c>
      <c r="L605" s="12" t="s">
        <v>222</v>
      </c>
      <c r="M605" s="12" t="s">
        <v>1102</v>
      </c>
      <c r="N605" s="12" t="s">
        <v>306</v>
      </c>
    </row>
    <row r="606" customFormat="false" ht="36" hidden="false" customHeight="false" outlineLevel="0" collapsed="false">
      <c r="A606" s="14" t="s">
        <v>2382</v>
      </c>
      <c r="B606" s="8" t="s">
        <v>2383</v>
      </c>
      <c r="C606" s="14" t="s">
        <v>2382</v>
      </c>
      <c r="D606" s="9" t="n">
        <v>23</v>
      </c>
      <c r="E606" s="10" t="s">
        <v>441</v>
      </c>
      <c r="F606" s="10" t="s">
        <v>442</v>
      </c>
      <c r="G606" s="10" t="n">
        <v>0</v>
      </c>
      <c r="H606" s="8" t="n">
        <v>6</v>
      </c>
      <c r="I606" s="11" t="s">
        <v>1653</v>
      </c>
      <c r="J606" s="12" t="s">
        <v>2384</v>
      </c>
      <c r="K606" s="13" t="s">
        <v>2385</v>
      </c>
      <c r="L606" s="12" t="s">
        <v>222</v>
      </c>
      <c r="M606" s="12" t="s">
        <v>2386</v>
      </c>
      <c r="N606" s="12" t="s">
        <v>306</v>
      </c>
    </row>
    <row r="607" customFormat="false" ht="36" hidden="false" customHeight="false" outlineLevel="0" collapsed="false">
      <c r="A607" s="7" t="s">
        <v>2387</v>
      </c>
      <c r="B607" s="8" t="s">
        <v>2388</v>
      </c>
      <c r="C607" s="7" t="s">
        <v>2387</v>
      </c>
      <c r="D607" s="9" t="n">
        <v>23</v>
      </c>
      <c r="E607" s="10" t="s">
        <v>230</v>
      </c>
      <c r="F607" s="10" t="s">
        <v>1619</v>
      </c>
      <c r="G607" s="10" t="n">
        <v>0</v>
      </c>
      <c r="H607" s="8" t="n">
        <v>6</v>
      </c>
      <c r="I607" s="11" t="s">
        <v>1653</v>
      </c>
      <c r="J607" s="12" t="s">
        <v>2389</v>
      </c>
      <c r="K607" s="13" t="s">
        <v>2390</v>
      </c>
      <c r="L607" s="12" t="s">
        <v>222</v>
      </c>
      <c r="M607" s="12" t="s">
        <v>1102</v>
      </c>
      <c r="N607" s="12" t="s">
        <v>306</v>
      </c>
    </row>
    <row r="608" customFormat="false" ht="36" hidden="false" customHeight="false" outlineLevel="0" collapsed="false">
      <c r="A608" s="7" t="s">
        <v>2391</v>
      </c>
      <c r="B608" s="8" t="s">
        <v>2392</v>
      </c>
      <c r="C608" s="7" t="s">
        <v>2391</v>
      </c>
      <c r="D608" s="9" t="n">
        <v>23</v>
      </c>
      <c r="E608" s="10" t="s">
        <v>230</v>
      </c>
      <c r="F608" s="10" t="s">
        <v>231</v>
      </c>
      <c r="G608" s="10" t="n">
        <v>0</v>
      </c>
      <c r="H608" s="8" t="n">
        <v>6</v>
      </c>
      <c r="I608" s="11" t="s">
        <v>1653</v>
      </c>
      <c r="J608" s="12" t="s">
        <v>2393</v>
      </c>
      <c r="K608" s="13" t="s">
        <v>2224</v>
      </c>
      <c r="L608" s="12" t="s">
        <v>222</v>
      </c>
      <c r="M608" s="12" t="s">
        <v>1102</v>
      </c>
      <c r="N608" s="12" t="s">
        <v>306</v>
      </c>
    </row>
    <row r="609" customFormat="false" ht="36" hidden="false" customHeight="false" outlineLevel="0" collapsed="false">
      <c r="A609" s="7" t="s">
        <v>2394</v>
      </c>
      <c r="B609" s="8" t="s">
        <v>2395</v>
      </c>
      <c r="C609" s="7" t="s">
        <v>2394</v>
      </c>
      <c r="D609" s="9" t="n">
        <v>23</v>
      </c>
      <c r="E609" s="10" t="s">
        <v>230</v>
      </c>
      <c r="F609" s="10" t="s">
        <v>231</v>
      </c>
      <c r="G609" s="10" t="n">
        <v>0</v>
      </c>
      <c r="H609" s="8" t="n">
        <v>6</v>
      </c>
      <c r="I609" s="11" t="s">
        <v>1653</v>
      </c>
      <c r="J609" s="12" t="s">
        <v>2396</v>
      </c>
      <c r="K609" s="13" t="s">
        <v>2397</v>
      </c>
      <c r="L609" s="12" t="s">
        <v>222</v>
      </c>
      <c r="M609" s="12" t="s">
        <v>1526</v>
      </c>
      <c r="N609" s="12" t="s">
        <v>23</v>
      </c>
    </row>
    <row r="610" customFormat="false" ht="27.5" hidden="false" customHeight="false" outlineLevel="0" collapsed="false">
      <c r="A610" s="7" t="s">
        <v>2398</v>
      </c>
      <c r="B610" s="8" t="s">
        <v>2399</v>
      </c>
      <c r="C610" s="7" t="s">
        <v>2398</v>
      </c>
      <c r="D610" s="9" t="n">
        <v>24</v>
      </c>
      <c r="E610" s="10" t="s">
        <v>1342</v>
      </c>
      <c r="F610" s="10" t="s">
        <v>1343</v>
      </c>
      <c r="G610" s="10" t="n">
        <v>0</v>
      </c>
      <c r="H610" s="8" t="n">
        <v>6</v>
      </c>
      <c r="I610" s="11" t="s">
        <v>1653</v>
      </c>
      <c r="J610" s="12" t="s">
        <v>2400</v>
      </c>
      <c r="K610" s="12" t="s">
        <v>1411</v>
      </c>
      <c r="L610" s="12" t="s">
        <v>222</v>
      </c>
      <c r="M610" s="12" t="s">
        <v>816</v>
      </c>
      <c r="N610" s="12" t="s">
        <v>817</v>
      </c>
    </row>
    <row r="611" customFormat="false" ht="27.5" hidden="false" customHeight="false" outlineLevel="0" collapsed="false">
      <c r="A611" s="7" t="s">
        <v>2401</v>
      </c>
      <c r="B611" s="8" t="s">
        <v>2402</v>
      </c>
      <c r="C611" s="7" t="s">
        <v>2401</v>
      </c>
      <c r="D611" s="9" t="n">
        <v>24</v>
      </c>
      <c r="E611" s="10" t="s">
        <v>1342</v>
      </c>
      <c r="F611" s="10" t="s">
        <v>1634</v>
      </c>
      <c r="G611" s="10" t="n">
        <v>0</v>
      </c>
      <c r="H611" s="8" t="n">
        <v>6</v>
      </c>
      <c r="I611" s="11" t="s">
        <v>1653</v>
      </c>
      <c r="J611" s="12" t="s">
        <v>2403</v>
      </c>
      <c r="K611" s="12" t="s">
        <v>2404</v>
      </c>
      <c r="L611" s="12" t="s">
        <v>222</v>
      </c>
      <c r="M611" s="12" t="s">
        <v>816</v>
      </c>
      <c r="N611" s="12" t="s">
        <v>817</v>
      </c>
    </row>
    <row r="612" customFormat="false" ht="27.5" hidden="false" customHeight="false" outlineLevel="0" collapsed="false">
      <c r="A612" s="7" t="s">
        <v>2405</v>
      </c>
      <c r="B612" s="8" t="s">
        <v>2406</v>
      </c>
      <c r="C612" s="7" t="s">
        <v>2405</v>
      </c>
      <c r="D612" s="9" t="n">
        <v>3</v>
      </c>
      <c r="E612" s="10" t="s">
        <v>39</v>
      </c>
      <c r="F612" s="10" t="s">
        <v>40</v>
      </c>
      <c r="G612" s="10" t="s">
        <v>40</v>
      </c>
      <c r="H612" s="16" t="n">
        <v>7</v>
      </c>
      <c r="I612" s="17" t="s">
        <v>2407</v>
      </c>
      <c r="J612" s="12" t="s">
        <v>2408</v>
      </c>
      <c r="K612" s="13" t="s">
        <v>2409</v>
      </c>
      <c r="L612" s="12" t="s">
        <v>222</v>
      </c>
      <c r="M612" s="12" t="s">
        <v>1102</v>
      </c>
      <c r="N612" s="12" t="s">
        <v>817</v>
      </c>
    </row>
    <row r="613" customFormat="false" ht="61.5" hidden="false" customHeight="false" outlineLevel="0" collapsed="false">
      <c r="A613" s="14" t="s">
        <v>2410</v>
      </c>
      <c r="B613" s="15" t="s">
        <v>2411</v>
      </c>
      <c r="C613" s="14" t="s">
        <v>2410</v>
      </c>
      <c r="D613" s="9" t="n">
        <v>3</v>
      </c>
      <c r="E613" s="9" t="s">
        <v>464</v>
      </c>
      <c r="F613" s="10" t="s">
        <v>40</v>
      </c>
      <c r="G613" s="10" t="s">
        <v>40</v>
      </c>
      <c r="H613" s="16" t="n">
        <v>7</v>
      </c>
      <c r="I613" s="17" t="s">
        <v>2407</v>
      </c>
      <c r="J613" s="18" t="s">
        <v>2412</v>
      </c>
      <c r="K613" s="13" t="s">
        <v>2413</v>
      </c>
      <c r="L613" s="12" t="s">
        <v>222</v>
      </c>
      <c r="M613" s="12" t="s">
        <v>1102</v>
      </c>
      <c r="N613" s="12" t="s">
        <v>817</v>
      </c>
    </row>
    <row r="614" customFormat="false" ht="27.5" hidden="false" customHeight="false" outlineLevel="0" collapsed="false">
      <c r="A614" s="7" t="s">
        <v>2414</v>
      </c>
      <c r="B614" s="8" t="s">
        <v>2415</v>
      </c>
      <c r="C614" s="7" t="s">
        <v>2414</v>
      </c>
      <c r="D614" s="9" t="n">
        <v>3</v>
      </c>
      <c r="E614" s="10" t="s">
        <v>39</v>
      </c>
      <c r="F614" s="10" t="s">
        <v>40</v>
      </c>
      <c r="G614" s="10" t="s">
        <v>40</v>
      </c>
      <c r="H614" s="16" t="n">
        <v>7</v>
      </c>
      <c r="I614" s="17" t="s">
        <v>2407</v>
      </c>
      <c r="J614" s="12" t="s">
        <v>2416</v>
      </c>
      <c r="K614" s="12" t="s">
        <v>2417</v>
      </c>
      <c r="L614" s="12" t="s">
        <v>222</v>
      </c>
      <c r="M614" s="12" t="s">
        <v>1102</v>
      </c>
      <c r="N614" s="12" t="s">
        <v>817</v>
      </c>
    </row>
    <row r="615" customFormat="false" ht="36" hidden="false" customHeight="false" outlineLevel="0" collapsed="false">
      <c r="A615" s="7" t="s">
        <v>2418</v>
      </c>
      <c r="B615" s="8" t="s">
        <v>2419</v>
      </c>
      <c r="C615" s="7" t="s">
        <v>2418</v>
      </c>
      <c r="D615" s="9" t="n">
        <v>3</v>
      </c>
      <c r="E615" s="10" t="s">
        <v>39</v>
      </c>
      <c r="F615" s="10" t="s">
        <v>40</v>
      </c>
      <c r="G615" s="10" t="s">
        <v>40</v>
      </c>
      <c r="H615" s="16" t="n">
        <v>7</v>
      </c>
      <c r="I615" s="17" t="s">
        <v>2407</v>
      </c>
      <c r="J615" s="12" t="s">
        <v>2420</v>
      </c>
      <c r="K615" s="12" t="s">
        <v>2421</v>
      </c>
      <c r="L615" s="12" t="s">
        <v>1676</v>
      </c>
      <c r="M615" s="12" t="s">
        <v>969</v>
      </c>
      <c r="N615" s="12" t="s">
        <v>817</v>
      </c>
    </row>
    <row r="616" customFormat="false" ht="44.5" hidden="false" customHeight="false" outlineLevel="0" collapsed="false">
      <c r="A616" s="14" t="s">
        <v>2422</v>
      </c>
      <c r="B616" s="15" t="s">
        <v>2423</v>
      </c>
      <c r="C616" s="14" t="s">
        <v>2422</v>
      </c>
      <c r="D616" s="9" t="n">
        <v>3</v>
      </c>
      <c r="E616" s="9" t="s">
        <v>464</v>
      </c>
      <c r="F616" s="10" t="s">
        <v>40</v>
      </c>
      <c r="G616" s="10" t="s">
        <v>40</v>
      </c>
      <c r="H616" s="16" t="n">
        <v>7</v>
      </c>
      <c r="I616" s="17" t="s">
        <v>2407</v>
      </c>
      <c r="J616" s="18" t="s">
        <v>2424</v>
      </c>
      <c r="K616" s="13" t="s">
        <v>2425</v>
      </c>
      <c r="L616" s="12" t="s">
        <v>222</v>
      </c>
      <c r="M616" s="12" t="s">
        <v>1102</v>
      </c>
      <c r="N616" s="12" t="s">
        <v>817</v>
      </c>
    </row>
    <row r="617" customFormat="false" ht="36" hidden="false" customHeight="false" outlineLevel="0" collapsed="false">
      <c r="A617" s="7" t="s">
        <v>2426</v>
      </c>
      <c r="B617" s="8" t="s">
        <v>2427</v>
      </c>
      <c r="C617" s="7" t="s">
        <v>2426</v>
      </c>
      <c r="D617" s="10" t="n">
        <v>21</v>
      </c>
      <c r="E617" s="10" t="s">
        <v>117</v>
      </c>
      <c r="F617" s="10" t="s">
        <v>2112</v>
      </c>
      <c r="G617" s="10" t="s">
        <v>40</v>
      </c>
      <c r="H617" s="16" t="n">
        <v>7</v>
      </c>
      <c r="I617" s="17" t="s">
        <v>2407</v>
      </c>
      <c r="J617" s="12" t="s">
        <v>2428</v>
      </c>
      <c r="K617" s="13" t="s">
        <v>2114</v>
      </c>
      <c r="L617" s="12" t="s">
        <v>222</v>
      </c>
      <c r="M617" s="12" t="s">
        <v>969</v>
      </c>
      <c r="N617" s="12" t="s">
        <v>817</v>
      </c>
    </row>
    <row r="618" customFormat="false" ht="53" hidden="false" customHeight="false" outlineLevel="0" collapsed="false">
      <c r="A618" s="14" t="s">
        <v>2429</v>
      </c>
      <c r="B618" s="15" t="s">
        <v>2430</v>
      </c>
      <c r="C618" s="14" t="s">
        <v>2429</v>
      </c>
      <c r="D618" s="9" t="n">
        <v>19</v>
      </c>
      <c r="E618" s="9" t="s">
        <v>83</v>
      </c>
      <c r="F618" s="10" t="s">
        <v>2431</v>
      </c>
      <c r="G618" s="10" t="s">
        <v>474</v>
      </c>
      <c r="H618" s="16" t="n">
        <v>7</v>
      </c>
      <c r="I618" s="17" t="s">
        <v>2407</v>
      </c>
      <c r="J618" s="18" t="s">
        <v>2432</v>
      </c>
      <c r="K618" s="18" t="s">
        <v>2433</v>
      </c>
      <c r="L618" s="12" t="s">
        <v>222</v>
      </c>
      <c r="M618" s="12" t="s">
        <v>1102</v>
      </c>
      <c r="N618" s="12" t="s">
        <v>452</v>
      </c>
    </row>
    <row r="619" customFormat="false" ht="44.5" hidden="false" customHeight="false" outlineLevel="0" collapsed="false">
      <c r="A619" s="7" t="s">
        <v>2434</v>
      </c>
      <c r="B619" s="8" t="s">
        <v>2435</v>
      </c>
      <c r="C619" s="7" t="s">
        <v>2434</v>
      </c>
      <c r="D619" s="9" t="n">
        <v>19</v>
      </c>
      <c r="E619" s="10" t="s">
        <v>83</v>
      </c>
      <c r="F619" s="10" t="s">
        <v>2431</v>
      </c>
      <c r="G619" s="10" t="s">
        <v>474</v>
      </c>
      <c r="H619" s="16" t="n">
        <v>7</v>
      </c>
      <c r="I619" s="17" t="s">
        <v>2407</v>
      </c>
      <c r="J619" s="29" t="s">
        <v>2436</v>
      </c>
      <c r="K619" s="11" t="s">
        <v>2433</v>
      </c>
      <c r="L619" s="12" t="s">
        <v>222</v>
      </c>
      <c r="M619" s="12" t="s">
        <v>1758</v>
      </c>
      <c r="N619" s="12" t="s">
        <v>817</v>
      </c>
    </row>
    <row r="620" customFormat="false" ht="36" hidden="false" customHeight="false" outlineLevel="0" collapsed="false">
      <c r="A620" s="14" t="s">
        <v>2437</v>
      </c>
      <c r="B620" s="15" t="s">
        <v>2438</v>
      </c>
      <c r="C620" s="14" t="s">
        <v>2437</v>
      </c>
      <c r="D620" s="9" t="n">
        <v>19</v>
      </c>
      <c r="E620" s="9" t="s">
        <v>83</v>
      </c>
      <c r="F620" s="10" t="s">
        <v>40</v>
      </c>
      <c r="G620" s="10" t="s">
        <v>474</v>
      </c>
      <c r="H620" s="16" t="n">
        <v>7</v>
      </c>
      <c r="I620" s="17" t="s">
        <v>2407</v>
      </c>
      <c r="J620" s="18" t="s">
        <v>2439</v>
      </c>
      <c r="K620" s="13" t="s">
        <v>2440</v>
      </c>
      <c r="L620" s="12" t="s">
        <v>222</v>
      </c>
      <c r="M620" s="12" t="s">
        <v>1102</v>
      </c>
      <c r="N620" s="12" t="s">
        <v>817</v>
      </c>
    </row>
    <row r="621" customFormat="false" ht="36" hidden="false" customHeight="false" outlineLevel="0" collapsed="false">
      <c r="A621" s="14" t="s">
        <v>2441</v>
      </c>
      <c r="B621" s="15" t="s">
        <v>2442</v>
      </c>
      <c r="C621" s="14" t="s">
        <v>2441</v>
      </c>
      <c r="D621" s="9" t="n">
        <v>22</v>
      </c>
      <c r="E621" s="9" t="s">
        <v>47</v>
      </c>
      <c r="F621" s="10" t="s">
        <v>348</v>
      </c>
      <c r="G621" s="10" t="s">
        <v>478</v>
      </c>
      <c r="H621" s="16" t="n">
        <v>7</v>
      </c>
      <c r="I621" s="17" t="s">
        <v>2407</v>
      </c>
      <c r="J621" s="21" t="s">
        <v>2443</v>
      </c>
      <c r="K621" s="13" t="s">
        <v>2444</v>
      </c>
      <c r="L621" s="12" t="s">
        <v>222</v>
      </c>
      <c r="M621" s="12" t="s">
        <v>1102</v>
      </c>
      <c r="N621" s="12" t="s">
        <v>452</v>
      </c>
    </row>
    <row r="622" customFormat="false" ht="53" hidden="false" customHeight="false" outlineLevel="0" collapsed="false">
      <c r="A622" s="14" t="s">
        <v>2445</v>
      </c>
      <c r="B622" s="15" t="s">
        <v>2446</v>
      </c>
      <c r="C622" s="14" t="s">
        <v>2445</v>
      </c>
      <c r="D622" s="9" t="n">
        <v>22</v>
      </c>
      <c r="E622" s="9" t="s">
        <v>47</v>
      </c>
      <c r="F622" s="10" t="s">
        <v>348</v>
      </c>
      <c r="G622" s="10" t="s">
        <v>478</v>
      </c>
      <c r="H622" s="16" t="n">
        <v>7</v>
      </c>
      <c r="I622" s="17" t="s">
        <v>2407</v>
      </c>
      <c r="J622" s="21" t="s">
        <v>2447</v>
      </c>
      <c r="K622" s="13" t="s">
        <v>2448</v>
      </c>
      <c r="L622" s="12" t="s">
        <v>222</v>
      </c>
      <c r="M622" s="12" t="s">
        <v>1102</v>
      </c>
      <c r="N622" s="12" t="s">
        <v>452</v>
      </c>
    </row>
    <row r="623" customFormat="false" ht="19" hidden="false" customHeight="false" outlineLevel="0" collapsed="false">
      <c r="A623" s="7" t="s">
        <v>2449</v>
      </c>
      <c r="B623" s="8" t="s">
        <v>2450</v>
      </c>
      <c r="C623" s="7" t="s">
        <v>2449</v>
      </c>
      <c r="D623" s="9" t="n">
        <v>5</v>
      </c>
      <c r="E623" s="10" t="s">
        <v>63</v>
      </c>
      <c r="F623" s="10" t="s">
        <v>478</v>
      </c>
      <c r="G623" s="10" t="s">
        <v>478</v>
      </c>
      <c r="H623" s="16" t="n">
        <v>7</v>
      </c>
      <c r="I623" s="17" t="s">
        <v>2407</v>
      </c>
      <c r="J623" s="12" t="s">
        <v>2451</v>
      </c>
      <c r="K623" s="13" t="s">
        <v>2452</v>
      </c>
      <c r="L623" s="12" t="s">
        <v>222</v>
      </c>
      <c r="M623" s="12" t="s">
        <v>1102</v>
      </c>
      <c r="N623" s="12" t="s">
        <v>306</v>
      </c>
    </row>
    <row r="624" customFormat="false" ht="53" hidden="false" customHeight="false" outlineLevel="0" collapsed="false">
      <c r="A624" s="14" t="s">
        <v>2453</v>
      </c>
      <c r="B624" s="15" t="s">
        <v>2454</v>
      </c>
      <c r="C624" s="14" t="s">
        <v>2453</v>
      </c>
      <c r="D624" s="9" t="n">
        <v>22</v>
      </c>
      <c r="E624" s="9" t="s">
        <v>47</v>
      </c>
      <c r="F624" s="10" t="s">
        <v>348</v>
      </c>
      <c r="G624" s="10" t="s">
        <v>478</v>
      </c>
      <c r="H624" s="16" t="n">
        <v>7</v>
      </c>
      <c r="I624" s="17" t="s">
        <v>2407</v>
      </c>
      <c r="J624" s="21" t="s">
        <v>2455</v>
      </c>
      <c r="K624" s="12" t="s">
        <v>1995</v>
      </c>
      <c r="L624" s="12" t="s">
        <v>222</v>
      </c>
      <c r="M624" s="12" t="s">
        <v>1102</v>
      </c>
      <c r="N624" s="12" t="s">
        <v>817</v>
      </c>
    </row>
    <row r="625" customFormat="false" ht="53" hidden="false" customHeight="false" outlineLevel="0" collapsed="false">
      <c r="A625" s="14" t="s">
        <v>2456</v>
      </c>
      <c r="B625" s="15" t="s">
        <v>2457</v>
      </c>
      <c r="C625" s="14" t="s">
        <v>2456</v>
      </c>
      <c r="D625" s="9" t="n">
        <v>22</v>
      </c>
      <c r="E625" s="9" t="s">
        <v>47</v>
      </c>
      <c r="F625" s="10" t="s">
        <v>348</v>
      </c>
      <c r="G625" s="10" t="s">
        <v>478</v>
      </c>
      <c r="H625" s="16" t="n">
        <v>7</v>
      </c>
      <c r="I625" s="17" t="s">
        <v>2407</v>
      </c>
      <c r="J625" s="21" t="s">
        <v>2458</v>
      </c>
      <c r="K625" s="12" t="s">
        <v>1995</v>
      </c>
      <c r="L625" s="12" t="s">
        <v>222</v>
      </c>
      <c r="M625" s="12" t="s">
        <v>1102</v>
      </c>
      <c r="N625" s="12" t="s">
        <v>817</v>
      </c>
    </row>
    <row r="626" customFormat="false" ht="27.5" hidden="false" customHeight="false" outlineLevel="0" collapsed="false">
      <c r="A626" s="20" t="s">
        <v>2459</v>
      </c>
      <c r="B626" s="15" t="s">
        <v>2460</v>
      </c>
      <c r="C626" s="20" t="s">
        <v>2459</v>
      </c>
      <c r="D626" s="9" t="n">
        <v>3</v>
      </c>
      <c r="E626" s="9" t="s">
        <v>39</v>
      </c>
      <c r="F626" s="10" t="s">
        <v>59</v>
      </c>
      <c r="G626" s="10" t="s">
        <v>246</v>
      </c>
      <c r="H626" s="16" t="n">
        <v>7</v>
      </c>
      <c r="I626" s="17" t="s">
        <v>2407</v>
      </c>
      <c r="J626" s="13" t="s">
        <v>2461</v>
      </c>
      <c r="K626" s="13" t="s">
        <v>1680</v>
      </c>
      <c r="L626" s="12" t="s">
        <v>222</v>
      </c>
      <c r="M626" s="12" t="s">
        <v>1102</v>
      </c>
      <c r="N626" s="12" t="s">
        <v>452</v>
      </c>
    </row>
    <row r="627" customFormat="false" ht="36" hidden="false" customHeight="false" outlineLevel="0" collapsed="false">
      <c r="A627" s="7" t="s">
        <v>2462</v>
      </c>
      <c r="B627" s="8" t="s">
        <v>2463</v>
      </c>
      <c r="C627" s="7" t="s">
        <v>2462</v>
      </c>
      <c r="D627" s="9" t="n">
        <v>9</v>
      </c>
      <c r="E627" s="10" t="s">
        <v>113</v>
      </c>
      <c r="F627" s="10" t="s">
        <v>1695</v>
      </c>
      <c r="G627" s="10" t="s">
        <v>1690</v>
      </c>
      <c r="H627" s="16" t="n">
        <v>7</v>
      </c>
      <c r="I627" s="17" t="s">
        <v>2407</v>
      </c>
      <c r="J627" s="12" t="s">
        <v>2464</v>
      </c>
      <c r="K627" s="13" t="s">
        <v>1697</v>
      </c>
      <c r="L627" s="12" t="s">
        <v>222</v>
      </c>
      <c r="M627" s="12" t="s">
        <v>1102</v>
      </c>
      <c r="N627" s="12" t="s">
        <v>306</v>
      </c>
    </row>
    <row r="628" customFormat="false" ht="19" hidden="false" customHeight="false" outlineLevel="0" collapsed="false">
      <c r="A628" s="7" t="s">
        <v>2465</v>
      </c>
      <c r="B628" s="8" t="s">
        <v>2466</v>
      </c>
      <c r="C628" s="7" t="s">
        <v>2465</v>
      </c>
      <c r="D628" s="9" t="n">
        <v>9</v>
      </c>
      <c r="E628" s="10" t="s">
        <v>113</v>
      </c>
      <c r="F628" s="10" t="s">
        <v>1695</v>
      </c>
      <c r="G628" s="10" t="s">
        <v>1690</v>
      </c>
      <c r="H628" s="16" t="n">
        <v>7</v>
      </c>
      <c r="I628" s="17" t="s">
        <v>2407</v>
      </c>
      <c r="J628" s="12" t="s">
        <v>2467</v>
      </c>
      <c r="K628" s="13" t="s">
        <v>2468</v>
      </c>
      <c r="L628" s="12" t="s">
        <v>222</v>
      </c>
      <c r="M628" s="12" t="s">
        <v>1102</v>
      </c>
      <c r="N628" s="12" t="s">
        <v>306</v>
      </c>
    </row>
    <row r="629" customFormat="false" ht="44.5" hidden="false" customHeight="false" outlineLevel="0" collapsed="false">
      <c r="A629" s="20" t="s">
        <v>2469</v>
      </c>
      <c r="B629" s="15" t="s">
        <v>2470</v>
      </c>
      <c r="C629" s="20" t="s">
        <v>2469</v>
      </c>
      <c r="D629" s="9" t="n">
        <v>22</v>
      </c>
      <c r="E629" s="9" t="s">
        <v>47</v>
      </c>
      <c r="F629" s="10" t="s">
        <v>582</v>
      </c>
      <c r="G629" s="10" t="s">
        <v>582</v>
      </c>
      <c r="H629" s="16" t="n">
        <v>7</v>
      </c>
      <c r="I629" s="17" t="s">
        <v>2407</v>
      </c>
      <c r="J629" s="13" t="s">
        <v>2471</v>
      </c>
      <c r="K629" s="13" t="s">
        <v>2472</v>
      </c>
      <c r="L629" s="12" t="s">
        <v>222</v>
      </c>
      <c r="M629" s="12" t="s">
        <v>1758</v>
      </c>
      <c r="N629" s="12" t="s">
        <v>452</v>
      </c>
    </row>
    <row r="630" customFormat="false" ht="36" hidden="false" customHeight="false" outlineLevel="0" collapsed="false">
      <c r="A630" s="20" t="s">
        <v>2473</v>
      </c>
      <c r="B630" s="15" t="s">
        <v>2474</v>
      </c>
      <c r="C630" s="20" t="s">
        <v>2473</v>
      </c>
      <c r="D630" s="9" t="n">
        <v>22</v>
      </c>
      <c r="E630" s="9" t="s">
        <v>47</v>
      </c>
      <c r="F630" s="10" t="s">
        <v>164</v>
      </c>
      <c r="G630" s="10" t="s">
        <v>164</v>
      </c>
      <c r="H630" s="16" t="n">
        <v>7</v>
      </c>
      <c r="I630" s="17" t="s">
        <v>2407</v>
      </c>
      <c r="J630" s="13" t="s">
        <v>2475</v>
      </c>
      <c r="K630" s="13" t="s">
        <v>2476</v>
      </c>
      <c r="L630" s="12" t="s">
        <v>222</v>
      </c>
      <c r="M630" s="12" t="s">
        <v>1102</v>
      </c>
      <c r="N630" s="12" t="s">
        <v>452</v>
      </c>
    </row>
    <row r="631" customFormat="false" ht="36" hidden="false" customHeight="false" outlineLevel="0" collapsed="false">
      <c r="A631" s="20" t="s">
        <v>2477</v>
      </c>
      <c r="B631" s="15" t="s">
        <v>2478</v>
      </c>
      <c r="C631" s="20" t="s">
        <v>2477</v>
      </c>
      <c r="D631" s="9" t="n">
        <v>9</v>
      </c>
      <c r="E631" s="10" t="s">
        <v>113</v>
      </c>
      <c r="F631" s="10" t="s">
        <v>490</v>
      </c>
      <c r="G631" s="10" t="s">
        <v>490</v>
      </c>
      <c r="H631" s="16" t="n">
        <v>7</v>
      </c>
      <c r="I631" s="17" t="s">
        <v>2407</v>
      </c>
      <c r="J631" s="13" t="s">
        <v>2479</v>
      </c>
      <c r="K631" s="13" t="s">
        <v>2480</v>
      </c>
      <c r="L631" s="12" t="s">
        <v>222</v>
      </c>
      <c r="M631" s="12" t="s">
        <v>1758</v>
      </c>
      <c r="N631" s="12" t="s">
        <v>817</v>
      </c>
    </row>
    <row r="632" customFormat="false" ht="27.5" hidden="false" customHeight="false" outlineLevel="0" collapsed="false">
      <c r="A632" s="14" t="s">
        <v>2481</v>
      </c>
      <c r="B632" s="15" t="s">
        <v>2482</v>
      </c>
      <c r="C632" s="14" t="s">
        <v>2481</v>
      </c>
      <c r="D632" s="9" t="n">
        <v>9</v>
      </c>
      <c r="E632" s="10" t="s">
        <v>113</v>
      </c>
      <c r="F632" s="10" t="s">
        <v>490</v>
      </c>
      <c r="G632" s="10" t="s">
        <v>490</v>
      </c>
      <c r="H632" s="16" t="n">
        <v>7</v>
      </c>
      <c r="I632" s="17" t="s">
        <v>2407</v>
      </c>
      <c r="J632" s="18" t="s">
        <v>2483</v>
      </c>
      <c r="K632" s="13" t="s">
        <v>2484</v>
      </c>
      <c r="L632" s="12" t="s">
        <v>1676</v>
      </c>
      <c r="M632" s="12" t="s">
        <v>1102</v>
      </c>
      <c r="N632" s="12" t="s">
        <v>817</v>
      </c>
    </row>
    <row r="633" customFormat="false" ht="36" hidden="false" customHeight="false" outlineLevel="0" collapsed="false">
      <c r="A633" s="14" t="s">
        <v>2485</v>
      </c>
      <c r="B633" s="15" t="s">
        <v>2486</v>
      </c>
      <c r="C633" s="14" t="s">
        <v>2485</v>
      </c>
      <c r="D633" s="9" t="n">
        <v>9</v>
      </c>
      <c r="E633" s="10" t="s">
        <v>113</v>
      </c>
      <c r="F633" s="10" t="s">
        <v>490</v>
      </c>
      <c r="G633" s="10" t="s">
        <v>490</v>
      </c>
      <c r="H633" s="16" t="n">
        <v>7</v>
      </c>
      <c r="I633" s="17" t="s">
        <v>2407</v>
      </c>
      <c r="J633" s="18" t="s">
        <v>2487</v>
      </c>
      <c r="K633" s="13" t="s">
        <v>2488</v>
      </c>
      <c r="L633" s="12" t="s">
        <v>1903</v>
      </c>
      <c r="M633" s="12" t="s">
        <v>1824</v>
      </c>
      <c r="N633" s="12" t="s">
        <v>817</v>
      </c>
    </row>
    <row r="634" customFormat="false" ht="44.5" hidden="false" customHeight="false" outlineLevel="0" collapsed="false">
      <c r="A634" s="7" t="s">
        <v>2489</v>
      </c>
      <c r="B634" s="8" t="s">
        <v>2490</v>
      </c>
      <c r="C634" s="7" t="s">
        <v>2489</v>
      </c>
      <c r="D634" s="9" t="n">
        <v>20</v>
      </c>
      <c r="E634" s="9" t="s">
        <v>53</v>
      </c>
      <c r="F634" s="10" t="s">
        <v>510</v>
      </c>
      <c r="G634" s="10" t="s">
        <v>55</v>
      </c>
      <c r="H634" s="16" t="n">
        <v>7</v>
      </c>
      <c r="I634" s="17" t="s">
        <v>2407</v>
      </c>
      <c r="J634" s="12" t="s">
        <v>2491</v>
      </c>
      <c r="K634" s="12" t="s">
        <v>2492</v>
      </c>
      <c r="L634" s="12" t="s">
        <v>222</v>
      </c>
      <c r="M634" s="12" t="s">
        <v>1758</v>
      </c>
      <c r="N634" s="12" t="s">
        <v>817</v>
      </c>
    </row>
    <row r="635" customFormat="false" ht="27.5" hidden="false" customHeight="false" outlineLevel="0" collapsed="false">
      <c r="A635" s="14" t="s">
        <v>2493</v>
      </c>
      <c r="B635" s="15" t="s">
        <v>2494</v>
      </c>
      <c r="C635" s="14" t="s">
        <v>2493</v>
      </c>
      <c r="D635" s="9" t="n">
        <v>20</v>
      </c>
      <c r="E635" s="9" t="s">
        <v>55</v>
      </c>
      <c r="F635" s="10" t="s">
        <v>1755</v>
      </c>
      <c r="G635" s="10" t="s">
        <v>55</v>
      </c>
      <c r="H635" s="16" t="n">
        <v>7</v>
      </c>
      <c r="I635" s="17" t="s">
        <v>2407</v>
      </c>
      <c r="J635" s="18" t="s">
        <v>2495</v>
      </c>
      <c r="K635" s="18" t="s">
        <v>1757</v>
      </c>
      <c r="L635" s="12" t="s">
        <v>222</v>
      </c>
      <c r="M635" s="12" t="s">
        <v>1758</v>
      </c>
      <c r="N635" s="12" t="s">
        <v>817</v>
      </c>
    </row>
    <row r="636" customFormat="false" ht="27.5" hidden="false" customHeight="false" outlineLevel="0" collapsed="false">
      <c r="A636" s="14" t="s">
        <v>2496</v>
      </c>
      <c r="B636" s="15" t="s">
        <v>2497</v>
      </c>
      <c r="C636" s="14" t="s">
        <v>2496</v>
      </c>
      <c r="D636" s="9" t="n">
        <v>20</v>
      </c>
      <c r="E636" s="9" t="s">
        <v>55</v>
      </c>
      <c r="F636" s="10" t="s">
        <v>1755</v>
      </c>
      <c r="G636" s="10" t="s">
        <v>55</v>
      </c>
      <c r="H636" s="16" t="n">
        <v>7</v>
      </c>
      <c r="I636" s="17" t="s">
        <v>2407</v>
      </c>
      <c r="J636" s="18" t="s">
        <v>2498</v>
      </c>
      <c r="K636" s="12" t="s">
        <v>1757</v>
      </c>
      <c r="L636" s="12" t="s">
        <v>222</v>
      </c>
      <c r="M636" s="12" t="s">
        <v>1758</v>
      </c>
      <c r="N636" s="12" t="s">
        <v>817</v>
      </c>
    </row>
    <row r="637" customFormat="false" ht="27.5" hidden="false" customHeight="false" outlineLevel="0" collapsed="false">
      <c r="A637" s="14" t="s">
        <v>2499</v>
      </c>
      <c r="B637" s="15" t="s">
        <v>2500</v>
      </c>
      <c r="C637" s="14" t="s">
        <v>2499</v>
      </c>
      <c r="D637" s="9" t="n">
        <v>20</v>
      </c>
      <c r="E637" s="9" t="s">
        <v>55</v>
      </c>
      <c r="F637" s="10" t="s">
        <v>1755</v>
      </c>
      <c r="G637" s="10" t="s">
        <v>55</v>
      </c>
      <c r="H637" s="16" t="n">
        <v>7</v>
      </c>
      <c r="I637" s="17" t="s">
        <v>2407</v>
      </c>
      <c r="J637" s="21" t="s">
        <v>2498</v>
      </c>
      <c r="K637" s="12" t="s">
        <v>1757</v>
      </c>
      <c r="L637" s="12" t="s">
        <v>222</v>
      </c>
      <c r="M637" s="12" t="s">
        <v>1758</v>
      </c>
      <c r="N637" s="12" t="s">
        <v>817</v>
      </c>
    </row>
    <row r="638" customFormat="false" ht="27.5" hidden="false" customHeight="false" outlineLevel="0" collapsed="false">
      <c r="A638" s="14" t="s">
        <v>2501</v>
      </c>
      <c r="B638" s="15" t="s">
        <v>2502</v>
      </c>
      <c r="C638" s="14" t="s">
        <v>2501</v>
      </c>
      <c r="D638" s="9" t="n">
        <v>20</v>
      </c>
      <c r="E638" s="9" t="s">
        <v>55</v>
      </c>
      <c r="F638" s="10" t="s">
        <v>1755</v>
      </c>
      <c r="G638" s="10" t="s">
        <v>55</v>
      </c>
      <c r="H638" s="16" t="n">
        <v>7</v>
      </c>
      <c r="I638" s="17" t="s">
        <v>2407</v>
      </c>
      <c r="J638" s="18" t="s">
        <v>2495</v>
      </c>
      <c r="K638" s="12" t="s">
        <v>1757</v>
      </c>
      <c r="L638" s="12" t="s">
        <v>222</v>
      </c>
      <c r="M638" s="12" t="s">
        <v>1758</v>
      </c>
      <c r="N638" s="12" t="s">
        <v>817</v>
      </c>
    </row>
    <row r="639" customFormat="false" ht="36" hidden="false" customHeight="false" outlineLevel="0" collapsed="false">
      <c r="A639" s="20" t="s">
        <v>2503</v>
      </c>
      <c r="B639" s="15" t="s">
        <v>2504</v>
      </c>
      <c r="C639" s="20" t="s">
        <v>2503</v>
      </c>
      <c r="D639" s="9" t="n">
        <v>3</v>
      </c>
      <c r="E639" s="9" t="s">
        <v>39</v>
      </c>
      <c r="F639" s="10" t="s">
        <v>59</v>
      </c>
      <c r="G639" s="10" t="s">
        <v>59</v>
      </c>
      <c r="H639" s="16" t="n">
        <v>7</v>
      </c>
      <c r="I639" s="17" t="s">
        <v>2407</v>
      </c>
      <c r="J639" s="13" t="s">
        <v>2505</v>
      </c>
      <c r="K639" s="13" t="s">
        <v>2506</v>
      </c>
      <c r="L639" s="12" t="s">
        <v>222</v>
      </c>
      <c r="M639" s="12" t="s">
        <v>1102</v>
      </c>
      <c r="N639" s="12" t="s">
        <v>817</v>
      </c>
    </row>
    <row r="640" customFormat="false" ht="19" hidden="false" customHeight="false" outlineLevel="0" collapsed="false">
      <c r="A640" s="20" t="s">
        <v>2507</v>
      </c>
      <c r="B640" s="15" t="s">
        <v>2508</v>
      </c>
      <c r="C640" s="20" t="s">
        <v>2507</v>
      </c>
      <c r="D640" s="9" t="n">
        <v>6</v>
      </c>
      <c r="E640" s="9" t="s">
        <v>180</v>
      </c>
      <c r="F640" s="10" t="s">
        <v>251</v>
      </c>
      <c r="G640" s="10" t="s">
        <v>251</v>
      </c>
      <c r="H640" s="16" t="n">
        <v>7</v>
      </c>
      <c r="I640" s="17" t="s">
        <v>2407</v>
      </c>
      <c r="J640" s="13" t="s">
        <v>2509</v>
      </c>
      <c r="K640" s="13" t="s">
        <v>2510</v>
      </c>
      <c r="L640" s="12" t="s">
        <v>222</v>
      </c>
      <c r="M640" s="12" t="s">
        <v>1102</v>
      </c>
      <c r="N640" s="12" t="s">
        <v>817</v>
      </c>
    </row>
    <row r="641" customFormat="false" ht="27.5" hidden="false" customHeight="false" outlineLevel="0" collapsed="false">
      <c r="A641" s="20" t="s">
        <v>2511</v>
      </c>
      <c r="B641" s="15" t="s">
        <v>2512</v>
      </c>
      <c r="C641" s="20" t="s">
        <v>2511</v>
      </c>
      <c r="D641" s="9" t="n">
        <v>5</v>
      </c>
      <c r="E641" s="9" t="s">
        <v>63</v>
      </c>
      <c r="F641" s="10" t="s">
        <v>64</v>
      </c>
      <c r="G641" s="10" t="s">
        <v>1061</v>
      </c>
      <c r="H641" s="16" t="n">
        <v>7</v>
      </c>
      <c r="I641" s="17" t="s">
        <v>2407</v>
      </c>
      <c r="J641" s="13" t="s">
        <v>2513</v>
      </c>
      <c r="K641" s="13" t="s">
        <v>2514</v>
      </c>
      <c r="L641" s="12" t="s">
        <v>222</v>
      </c>
      <c r="M641" s="12" t="s">
        <v>1102</v>
      </c>
      <c r="N641" s="12" t="s">
        <v>306</v>
      </c>
    </row>
    <row r="642" customFormat="false" ht="27.5" hidden="false" customHeight="false" outlineLevel="0" collapsed="false">
      <c r="A642" s="20" t="s">
        <v>2515</v>
      </c>
      <c r="B642" s="15" t="s">
        <v>2516</v>
      </c>
      <c r="C642" s="20" t="s">
        <v>2515</v>
      </c>
      <c r="D642" s="9" t="n">
        <v>9</v>
      </c>
      <c r="E642" s="10" t="s">
        <v>113</v>
      </c>
      <c r="F642" s="10" t="s">
        <v>517</v>
      </c>
      <c r="G642" s="10" t="s">
        <v>518</v>
      </c>
      <c r="H642" s="16" t="n">
        <v>7</v>
      </c>
      <c r="I642" s="17" t="s">
        <v>2407</v>
      </c>
      <c r="J642" s="13" t="s">
        <v>2517</v>
      </c>
      <c r="K642" s="13" t="s">
        <v>2518</v>
      </c>
      <c r="L642" s="12" t="s">
        <v>222</v>
      </c>
      <c r="M642" s="12" t="s">
        <v>1758</v>
      </c>
      <c r="N642" s="12" t="s">
        <v>817</v>
      </c>
    </row>
    <row r="643" customFormat="false" ht="70" hidden="false" customHeight="false" outlineLevel="0" collapsed="false">
      <c r="A643" s="14" t="s">
        <v>2519</v>
      </c>
      <c r="B643" s="15" t="s">
        <v>2520</v>
      </c>
      <c r="C643" s="14" t="s">
        <v>2519</v>
      </c>
      <c r="D643" s="9" t="n">
        <v>6</v>
      </c>
      <c r="E643" s="9" t="s">
        <v>180</v>
      </c>
      <c r="F643" s="10" t="s">
        <v>1069</v>
      </c>
      <c r="G643" s="10" t="s">
        <v>1070</v>
      </c>
      <c r="H643" s="16" t="n">
        <v>7</v>
      </c>
      <c r="I643" s="17" t="s">
        <v>2407</v>
      </c>
      <c r="J643" s="18" t="s">
        <v>2521</v>
      </c>
      <c r="K643" s="13" t="s">
        <v>2522</v>
      </c>
      <c r="L643" s="12" t="s">
        <v>1676</v>
      </c>
      <c r="M643" s="12" t="s">
        <v>1102</v>
      </c>
      <c r="N643" s="12" t="s">
        <v>817</v>
      </c>
    </row>
    <row r="644" customFormat="false" ht="36" hidden="false" customHeight="false" outlineLevel="0" collapsed="false">
      <c r="A644" s="7" t="s">
        <v>2523</v>
      </c>
      <c r="B644" s="8" t="s">
        <v>2524</v>
      </c>
      <c r="C644" s="7" t="s">
        <v>2523</v>
      </c>
      <c r="D644" s="9" t="n">
        <v>6</v>
      </c>
      <c r="E644" s="10" t="s">
        <v>180</v>
      </c>
      <c r="F644" s="10" t="s">
        <v>1069</v>
      </c>
      <c r="G644" s="10" t="s">
        <v>1070</v>
      </c>
      <c r="H644" s="16" t="n">
        <v>7</v>
      </c>
      <c r="I644" s="17" t="s">
        <v>2407</v>
      </c>
      <c r="J644" s="12" t="s">
        <v>2525</v>
      </c>
      <c r="K644" s="12" t="s">
        <v>2526</v>
      </c>
      <c r="L644" s="12" t="s">
        <v>1676</v>
      </c>
      <c r="M644" s="12" t="s">
        <v>1526</v>
      </c>
      <c r="N644" s="12" t="s">
        <v>306</v>
      </c>
    </row>
    <row r="645" customFormat="false" ht="27.5" hidden="false" customHeight="false" outlineLevel="0" collapsed="false">
      <c r="A645" s="22" t="s">
        <v>2527</v>
      </c>
      <c r="B645" s="8" t="s">
        <v>2528</v>
      </c>
      <c r="C645" s="22" t="s">
        <v>2527</v>
      </c>
      <c r="D645" s="9" t="n">
        <v>27</v>
      </c>
      <c r="E645" s="10" t="s">
        <v>1083</v>
      </c>
      <c r="F645" s="10" t="s">
        <v>2529</v>
      </c>
      <c r="G645" s="10" t="s">
        <v>1084</v>
      </c>
      <c r="H645" s="16" t="n">
        <v>7</v>
      </c>
      <c r="I645" s="17" t="s">
        <v>2407</v>
      </c>
      <c r="J645" s="23" t="s">
        <v>2530</v>
      </c>
      <c r="K645" s="13" t="s">
        <v>2531</v>
      </c>
      <c r="L645" s="12" t="s">
        <v>222</v>
      </c>
      <c r="M645" s="12" t="s">
        <v>1526</v>
      </c>
      <c r="N645" s="12" t="s">
        <v>452</v>
      </c>
    </row>
    <row r="646" customFormat="false" ht="36" hidden="false" customHeight="false" outlineLevel="0" collapsed="false">
      <c r="A646" s="14" t="s">
        <v>2532</v>
      </c>
      <c r="B646" s="15" t="s">
        <v>2533</v>
      </c>
      <c r="C646" s="14" t="s">
        <v>2532</v>
      </c>
      <c r="D646" s="9" t="n">
        <v>15</v>
      </c>
      <c r="E646" s="9" t="s">
        <v>536</v>
      </c>
      <c r="F646" s="10" t="s">
        <v>537</v>
      </c>
      <c r="G646" s="10" t="s">
        <v>537</v>
      </c>
      <c r="H646" s="16" t="n">
        <v>7</v>
      </c>
      <c r="I646" s="17" t="s">
        <v>2407</v>
      </c>
      <c r="J646" s="21" t="s">
        <v>2534</v>
      </c>
      <c r="K646" s="12" t="s">
        <v>2535</v>
      </c>
      <c r="L646" s="12" t="s">
        <v>1676</v>
      </c>
      <c r="M646" s="12" t="s">
        <v>1526</v>
      </c>
      <c r="N646" s="12" t="s">
        <v>817</v>
      </c>
    </row>
    <row r="647" customFormat="false" ht="36" hidden="false" customHeight="false" outlineLevel="0" collapsed="false">
      <c r="A647" s="14" t="s">
        <v>2536</v>
      </c>
      <c r="B647" s="15" t="s">
        <v>2537</v>
      </c>
      <c r="C647" s="14" t="s">
        <v>2536</v>
      </c>
      <c r="D647" s="9" t="n">
        <v>15</v>
      </c>
      <c r="E647" s="9" t="s">
        <v>536</v>
      </c>
      <c r="F647" s="10" t="s">
        <v>537</v>
      </c>
      <c r="G647" s="10" t="s">
        <v>537</v>
      </c>
      <c r="H647" s="16" t="n">
        <v>7</v>
      </c>
      <c r="I647" s="17" t="s">
        <v>2407</v>
      </c>
      <c r="J647" s="21" t="s">
        <v>2538</v>
      </c>
      <c r="K647" s="12" t="s">
        <v>2535</v>
      </c>
      <c r="L647" s="12" t="s">
        <v>1676</v>
      </c>
      <c r="M647" s="12" t="s">
        <v>1526</v>
      </c>
      <c r="N647" s="12" t="s">
        <v>817</v>
      </c>
    </row>
    <row r="648" customFormat="false" ht="27.5" hidden="false" customHeight="false" outlineLevel="0" collapsed="false">
      <c r="A648" s="14" t="s">
        <v>2539</v>
      </c>
      <c r="B648" s="15" t="s">
        <v>2540</v>
      </c>
      <c r="C648" s="14" t="s">
        <v>2539</v>
      </c>
      <c r="D648" s="9" t="n">
        <v>15</v>
      </c>
      <c r="E648" s="9" t="s">
        <v>536</v>
      </c>
      <c r="F648" s="10" t="s">
        <v>537</v>
      </c>
      <c r="G648" s="10" t="s">
        <v>537</v>
      </c>
      <c r="H648" s="16" t="n">
        <v>7</v>
      </c>
      <c r="I648" s="17" t="s">
        <v>2407</v>
      </c>
      <c r="J648" s="21" t="s">
        <v>2541</v>
      </c>
      <c r="K648" s="12" t="s">
        <v>2535</v>
      </c>
      <c r="L648" s="12" t="s">
        <v>1676</v>
      </c>
      <c r="M648" s="12" t="s">
        <v>1526</v>
      </c>
      <c r="N648" s="12" t="s">
        <v>817</v>
      </c>
    </row>
    <row r="649" customFormat="false" ht="36" hidden="false" customHeight="false" outlineLevel="0" collapsed="false">
      <c r="A649" s="7" t="s">
        <v>2542</v>
      </c>
      <c r="B649" s="8" t="s">
        <v>2543</v>
      </c>
      <c r="C649" s="7" t="s">
        <v>2542</v>
      </c>
      <c r="D649" s="9" t="n">
        <v>1</v>
      </c>
      <c r="E649" s="10" t="s">
        <v>203</v>
      </c>
      <c r="F649" s="10" t="s">
        <v>2544</v>
      </c>
      <c r="G649" s="10" t="s">
        <v>2544</v>
      </c>
      <c r="H649" s="16" t="n">
        <v>7</v>
      </c>
      <c r="I649" s="17" t="s">
        <v>2407</v>
      </c>
      <c r="J649" s="12" t="s">
        <v>2545</v>
      </c>
      <c r="K649" s="12" t="s">
        <v>43</v>
      </c>
      <c r="L649" s="12" t="s">
        <v>1676</v>
      </c>
      <c r="M649" s="12" t="s">
        <v>969</v>
      </c>
      <c r="N649" s="12" t="s">
        <v>817</v>
      </c>
    </row>
    <row r="650" customFormat="false" ht="27.5" hidden="false" customHeight="false" outlineLevel="0" collapsed="false">
      <c r="A650" s="7" t="s">
        <v>2546</v>
      </c>
      <c r="B650" s="8" t="s">
        <v>2547</v>
      </c>
      <c r="C650" s="7" t="s">
        <v>2546</v>
      </c>
      <c r="D650" s="9" t="n">
        <v>26</v>
      </c>
      <c r="E650" s="10" t="s">
        <v>541</v>
      </c>
      <c r="F650" s="10" t="s">
        <v>1099</v>
      </c>
      <c r="G650" s="10" t="s">
        <v>542</v>
      </c>
      <c r="H650" s="16" t="n">
        <v>7</v>
      </c>
      <c r="I650" s="17" t="s">
        <v>2407</v>
      </c>
      <c r="J650" s="12" t="s">
        <v>2548</v>
      </c>
      <c r="K650" s="13" t="s">
        <v>2549</v>
      </c>
      <c r="L650" s="12" t="s">
        <v>222</v>
      </c>
      <c r="M650" s="12" t="s">
        <v>1102</v>
      </c>
      <c r="N650" s="12" t="s">
        <v>452</v>
      </c>
    </row>
    <row r="651" customFormat="false" ht="44.5" hidden="false" customHeight="false" outlineLevel="0" collapsed="false">
      <c r="A651" s="14" t="s">
        <v>2550</v>
      </c>
      <c r="B651" s="15" t="s">
        <v>2551</v>
      </c>
      <c r="C651" s="14" t="s">
        <v>2550</v>
      </c>
      <c r="D651" s="9" t="n">
        <v>26</v>
      </c>
      <c r="E651" s="10" t="s">
        <v>541</v>
      </c>
      <c r="F651" s="10" t="s">
        <v>1868</v>
      </c>
      <c r="G651" s="10" t="s">
        <v>542</v>
      </c>
      <c r="H651" s="16" t="n">
        <v>7</v>
      </c>
      <c r="I651" s="17" t="s">
        <v>2407</v>
      </c>
      <c r="J651" s="18" t="s">
        <v>2552</v>
      </c>
      <c r="K651" s="12" t="s">
        <v>551</v>
      </c>
      <c r="L651" s="12" t="s">
        <v>222</v>
      </c>
      <c r="M651" s="12" t="s">
        <v>969</v>
      </c>
      <c r="N651" s="12" t="s">
        <v>452</v>
      </c>
    </row>
    <row r="652" customFormat="false" ht="53" hidden="false" customHeight="false" outlineLevel="0" collapsed="false">
      <c r="A652" s="14" t="s">
        <v>2553</v>
      </c>
      <c r="B652" s="15" t="s">
        <v>2554</v>
      </c>
      <c r="C652" s="14" t="s">
        <v>2553</v>
      </c>
      <c r="D652" s="9" t="n">
        <v>26</v>
      </c>
      <c r="E652" s="10" t="s">
        <v>541</v>
      </c>
      <c r="F652" s="10" t="s">
        <v>2555</v>
      </c>
      <c r="G652" s="10" t="s">
        <v>542</v>
      </c>
      <c r="H652" s="16" t="n">
        <v>7</v>
      </c>
      <c r="I652" s="17" t="s">
        <v>2407</v>
      </c>
      <c r="J652" s="18" t="s">
        <v>2556</v>
      </c>
      <c r="K652" s="12" t="s">
        <v>2557</v>
      </c>
      <c r="L652" s="12" t="s">
        <v>1903</v>
      </c>
      <c r="M652" s="12" t="s">
        <v>1824</v>
      </c>
      <c r="N652" s="12" t="s">
        <v>452</v>
      </c>
    </row>
    <row r="653" customFormat="false" ht="36" hidden="false" customHeight="false" outlineLevel="0" collapsed="false">
      <c r="A653" s="14" t="s">
        <v>2558</v>
      </c>
      <c r="B653" s="15" t="s">
        <v>2559</v>
      </c>
      <c r="C653" s="14" t="s">
        <v>2558</v>
      </c>
      <c r="D653" s="9" t="n">
        <v>26</v>
      </c>
      <c r="E653" s="10" t="s">
        <v>541</v>
      </c>
      <c r="F653" s="10" t="s">
        <v>2560</v>
      </c>
      <c r="G653" s="10" t="s">
        <v>542</v>
      </c>
      <c r="H653" s="16" t="n">
        <v>7</v>
      </c>
      <c r="I653" s="17" t="s">
        <v>2407</v>
      </c>
      <c r="J653" s="18" t="s">
        <v>2561</v>
      </c>
      <c r="K653" s="12" t="s">
        <v>2562</v>
      </c>
      <c r="L653" s="12" t="s">
        <v>1903</v>
      </c>
      <c r="M653" s="12" t="s">
        <v>1824</v>
      </c>
      <c r="N653" s="12" t="s">
        <v>452</v>
      </c>
    </row>
    <row r="654" customFormat="false" ht="104" hidden="false" customHeight="false" outlineLevel="0" collapsed="false">
      <c r="A654" s="20" t="s">
        <v>2563</v>
      </c>
      <c r="B654" s="15" t="s">
        <v>2564</v>
      </c>
      <c r="C654" s="20" t="s">
        <v>2563</v>
      </c>
      <c r="D654" s="9" t="n">
        <v>22</v>
      </c>
      <c r="E654" s="9" t="s">
        <v>47</v>
      </c>
      <c r="F654" s="10" t="s">
        <v>554</v>
      </c>
      <c r="G654" s="10" t="s">
        <v>554</v>
      </c>
      <c r="H654" s="16" t="n">
        <v>7</v>
      </c>
      <c r="I654" s="17" t="s">
        <v>2407</v>
      </c>
      <c r="J654" s="13" t="s">
        <v>2565</v>
      </c>
      <c r="K654" s="13" t="s">
        <v>2566</v>
      </c>
      <c r="L654" s="12" t="s">
        <v>222</v>
      </c>
      <c r="M654" s="12" t="s">
        <v>1758</v>
      </c>
      <c r="N654" s="12" t="s">
        <v>452</v>
      </c>
    </row>
    <row r="655" customFormat="false" ht="53" hidden="false" customHeight="false" outlineLevel="0" collapsed="false">
      <c r="A655" s="20" t="s">
        <v>2567</v>
      </c>
      <c r="B655" s="15" t="s">
        <v>2568</v>
      </c>
      <c r="C655" s="20" t="s">
        <v>2567</v>
      </c>
      <c r="D655" s="9" t="n">
        <v>5</v>
      </c>
      <c r="E655" s="9" t="s">
        <v>63</v>
      </c>
      <c r="F655" s="10" t="s">
        <v>64</v>
      </c>
      <c r="G655" s="10" t="s">
        <v>65</v>
      </c>
      <c r="H655" s="16" t="n">
        <v>7</v>
      </c>
      <c r="I655" s="17" t="s">
        <v>2407</v>
      </c>
      <c r="J655" s="13" t="s">
        <v>2569</v>
      </c>
      <c r="K655" s="13" t="s">
        <v>2570</v>
      </c>
      <c r="L655" s="12" t="s">
        <v>222</v>
      </c>
      <c r="M655" s="12" t="s">
        <v>1758</v>
      </c>
      <c r="N655" s="12" t="s">
        <v>306</v>
      </c>
    </row>
    <row r="656" customFormat="false" ht="36" hidden="false" customHeight="false" outlineLevel="0" collapsed="false">
      <c r="A656" s="7" t="s">
        <v>2571</v>
      </c>
      <c r="B656" s="8" t="s">
        <v>2572</v>
      </c>
      <c r="C656" s="7" t="s">
        <v>2571</v>
      </c>
      <c r="D656" s="9" t="n">
        <v>10</v>
      </c>
      <c r="E656" s="10" t="s">
        <v>142</v>
      </c>
      <c r="F656" s="10" t="s">
        <v>561</v>
      </c>
      <c r="G656" s="10" t="s">
        <v>562</v>
      </c>
      <c r="H656" s="16" t="n">
        <v>7</v>
      </c>
      <c r="I656" s="17" t="s">
        <v>2407</v>
      </c>
      <c r="J656" s="12" t="s">
        <v>2573</v>
      </c>
      <c r="K656" s="13" t="s">
        <v>2574</v>
      </c>
      <c r="L656" s="12" t="s">
        <v>222</v>
      </c>
      <c r="M656" s="12" t="s">
        <v>1102</v>
      </c>
      <c r="N656" s="12" t="s">
        <v>817</v>
      </c>
    </row>
    <row r="657" customFormat="false" ht="36" hidden="false" customHeight="false" outlineLevel="0" collapsed="false">
      <c r="A657" s="20" t="s">
        <v>2575</v>
      </c>
      <c r="B657" s="15" t="s">
        <v>2576</v>
      </c>
      <c r="C657" s="20" t="s">
        <v>2575</v>
      </c>
      <c r="D657" s="9" t="n">
        <v>6</v>
      </c>
      <c r="E657" s="9" t="s">
        <v>180</v>
      </c>
      <c r="F657" s="10" t="s">
        <v>98</v>
      </c>
      <c r="G657" s="10" t="s">
        <v>181</v>
      </c>
      <c r="H657" s="16" t="n">
        <v>7</v>
      </c>
      <c r="I657" s="17" t="s">
        <v>2407</v>
      </c>
      <c r="J657" s="13" t="s">
        <v>2577</v>
      </c>
      <c r="K657" s="13" t="s">
        <v>2578</v>
      </c>
      <c r="L657" s="12" t="s">
        <v>222</v>
      </c>
      <c r="M657" s="12" t="s">
        <v>1102</v>
      </c>
      <c r="N657" s="12" t="s">
        <v>306</v>
      </c>
    </row>
    <row r="658" customFormat="false" ht="27.5" hidden="false" customHeight="false" outlineLevel="0" collapsed="false">
      <c r="A658" s="20" t="s">
        <v>2579</v>
      </c>
      <c r="B658" s="15" t="s">
        <v>2580</v>
      </c>
      <c r="C658" s="20" t="s">
        <v>2579</v>
      </c>
      <c r="D658" s="9" t="n">
        <v>22</v>
      </c>
      <c r="E658" s="9" t="s">
        <v>47</v>
      </c>
      <c r="F658" s="10" t="s">
        <v>48</v>
      </c>
      <c r="G658" s="10" t="s">
        <v>573</v>
      </c>
      <c r="H658" s="16" t="n">
        <v>7</v>
      </c>
      <c r="I658" s="17" t="s">
        <v>2407</v>
      </c>
      <c r="J658" s="13" t="s">
        <v>2581</v>
      </c>
      <c r="K658" s="13" t="s">
        <v>2582</v>
      </c>
      <c r="L658" s="12" t="s">
        <v>222</v>
      </c>
      <c r="M658" s="12" t="s">
        <v>1102</v>
      </c>
      <c r="N658" s="12" t="s">
        <v>817</v>
      </c>
    </row>
    <row r="659" customFormat="false" ht="44.5" hidden="false" customHeight="false" outlineLevel="0" collapsed="false">
      <c r="A659" s="20" t="s">
        <v>2583</v>
      </c>
      <c r="B659" s="15" t="s">
        <v>2584</v>
      </c>
      <c r="C659" s="20" t="s">
        <v>2583</v>
      </c>
      <c r="D659" s="9" t="n">
        <v>22</v>
      </c>
      <c r="E659" s="9" t="s">
        <v>47</v>
      </c>
      <c r="F659" s="10" t="s">
        <v>578</v>
      </c>
      <c r="G659" s="10" t="s">
        <v>579</v>
      </c>
      <c r="H659" s="16" t="n">
        <v>7</v>
      </c>
      <c r="I659" s="17" t="s">
        <v>2407</v>
      </c>
      <c r="J659" s="13" t="s">
        <v>2585</v>
      </c>
      <c r="K659" s="13" t="s">
        <v>2586</v>
      </c>
      <c r="L659" s="12" t="s">
        <v>222</v>
      </c>
      <c r="M659" s="12" t="s">
        <v>1102</v>
      </c>
      <c r="N659" s="12" t="s">
        <v>452</v>
      </c>
    </row>
    <row r="660" customFormat="false" ht="36" hidden="false" customHeight="false" outlineLevel="0" collapsed="false">
      <c r="A660" s="20" t="s">
        <v>2587</v>
      </c>
      <c r="B660" s="15" t="s">
        <v>2588</v>
      </c>
      <c r="C660" s="20" t="s">
        <v>2587</v>
      </c>
      <c r="D660" s="9" t="n">
        <v>22</v>
      </c>
      <c r="E660" s="9" t="s">
        <v>47</v>
      </c>
      <c r="F660" s="10" t="s">
        <v>554</v>
      </c>
      <c r="G660" s="10" t="s">
        <v>579</v>
      </c>
      <c r="H660" s="16" t="n">
        <v>7</v>
      </c>
      <c r="I660" s="17" t="s">
        <v>2407</v>
      </c>
      <c r="J660" s="13" t="s">
        <v>2589</v>
      </c>
      <c r="K660" s="13" t="s">
        <v>2590</v>
      </c>
      <c r="L660" s="12" t="s">
        <v>222</v>
      </c>
      <c r="M660" s="12" t="s">
        <v>1102</v>
      </c>
      <c r="N660" s="12" t="s">
        <v>452</v>
      </c>
    </row>
    <row r="661" customFormat="false" ht="44.5" hidden="false" customHeight="false" outlineLevel="0" collapsed="false">
      <c r="A661" s="20" t="s">
        <v>2591</v>
      </c>
      <c r="B661" s="15" t="s">
        <v>2592</v>
      </c>
      <c r="C661" s="20" t="s">
        <v>2591</v>
      </c>
      <c r="D661" s="9" t="n">
        <v>22</v>
      </c>
      <c r="E661" s="9" t="s">
        <v>47</v>
      </c>
      <c r="F661" s="10" t="s">
        <v>578</v>
      </c>
      <c r="G661" s="10" t="s">
        <v>578</v>
      </c>
      <c r="H661" s="16" t="n">
        <v>7</v>
      </c>
      <c r="I661" s="17" t="s">
        <v>2407</v>
      </c>
      <c r="J661" s="13" t="s">
        <v>2585</v>
      </c>
      <c r="K661" s="13" t="s">
        <v>2586</v>
      </c>
      <c r="L661" s="12" t="s">
        <v>222</v>
      </c>
      <c r="M661" s="12" t="s">
        <v>1102</v>
      </c>
      <c r="N661" s="12" t="s">
        <v>452</v>
      </c>
    </row>
    <row r="662" customFormat="false" ht="27.5" hidden="false" customHeight="false" outlineLevel="0" collapsed="false">
      <c r="A662" s="14" t="s">
        <v>2593</v>
      </c>
      <c r="B662" s="15" t="s">
        <v>2594</v>
      </c>
      <c r="C662" s="14" t="s">
        <v>2593</v>
      </c>
      <c r="D662" s="9" t="n">
        <v>22</v>
      </c>
      <c r="E662" s="10" t="s">
        <v>47</v>
      </c>
      <c r="F662" s="10" t="s">
        <v>1890</v>
      </c>
      <c r="G662" s="10" t="s">
        <v>1890</v>
      </c>
      <c r="H662" s="16" t="n">
        <v>7</v>
      </c>
      <c r="I662" s="17" t="s">
        <v>2407</v>
      </c>
      <c r="J662" s="21" t="s">
        <v>2595</v>
      </c>
      <c r="K662" s="13" t="s">
        <v>2596</v>
      </c>
      <c r="L662" s="12" t="s">
        <v>222</v>
      </c>
      <c r="M662" s="12" t="s">
        <v>1102</v>
      </c>
      <c r="N662" s="12" t="s">
        <v>452</v>
      </c>
    </row>
    <row r="663" customFormat="false" ht="44.5" hidden="false" customHeight="false" outlineLevel="0" collapsed="false">
      <c r="A663" s="14" t="s">
        <v>2597</v>
      </c>
      <c r="B663" s="15" t="s">
        <v>2598</v>
      </c>
      <c r="C663" s="14" t="s">
        <v>2597</v>
      </c>
      <c r="D663" s="9" t="n">
        <v>12</v>
      </c>
      <c r="E663" s="9" t="s">
        <v>185</v>
      </c>
      <c r="F663" s="10" t="s">
        <v>587</v>
      </c>
      <c r="G663" s="10" t="s">
        <v>587</v>
      </c>
      <c r="H663" s="16" t="n">
        <v>7</v>
      </c>
      <c r="I663" s="17" t="s">
        <v>2407</v>
      </c>
      <c r="J663" s="18" t="s">
        <v>2599</v>
      </c>
      <c r="K663" s="13" t="s">
        <v>2600</v>
      </c>
      <c r="L663" s="12" t="s">
        <v>222</v>
      </c>
      <c r="M663" s="12" t="s">
        <v>1102</v>
      </c>
      <c r="N663" s="12" t="s">
        <v>817</v>
      </c>
    </row>
    <row r="664" customFormat="false" ht="19" hidden="false" customHeight="false" outlineLevel="0" collapsed="false">
      <c r="A664" s="7" t="s">
        <v>2601</v>
      </c>
      <c r="B664" s="8" t="s">
        <v>2602</v>
      </c>
      <c r="C664" s="7" t="s">
        <v>2601</v>
      </c>
      <c r="D664" s="9" t="n">
        <v>12</v>
      </c>
      <c r="E664" s="10" t="s">
        <v>185</v>
      </c>
      <c r="F664" s="10" t="s">
        <v>587</v>
      </c>
      <c r="G664" s="10" t="s">
        <v>587</v>
      </c>
      <c r="H664" s="16" t="n">
        <v>7</v>
      </c>
      <c r="I664" s="17" t="s">
        <v>2407</v>
      </c>
      <c r="J664" s="18" t="s">
        <v>2603</v>
      </c>
      <c r="K664" s="13" t="s">
        <v>2604</v>
      </c>
      <c r="L664" s="12" t="s">
        <v>222</v>
      </c>
      <c r="M664" s="12" t="s">
        <v>1102</v>
      </c>
      <c r="N664" s="12" t="s">
        <v>306</v>
      </c>
    </row>
    <row r="665" customFormat="false" ht="27.5" hidden="false" customHeight="false" outlineLevel="0" collapsed="false">
      <c r="A665" s="7" t="s">
        <v>2605</v>
      </c>
      <c r="B665" s="8" t="s">
        <v>2606</v>
      </c>
      <c r="C665" s="7" t="s">
        <v>2605</v>
      </c>
      <c r="D665" s="9" t="n">
        <v>12</v>
      </c>
      <c r="E665" s="10" t="s">
        <v>185</v>
      </c>
      <c r="F665" s="10" t="s">
        <v>587</v>
      </c>
      <c r="G665" s="10" t="s">
        <v>587</v>
      </c>
      <c r="H665" s="16" t="n">
        <v>7</v>
      </c>
      <c r="I665" s="17" t="s">
        <v>2407</v>
      </c>
      <c r="J665" s="12" t="s">
        <v>2607</v>
      </c>
      <c r="K665" s="13" t="s">
        <v>2604</v>
      </c>
      <c r="L665" s="12" t="s">
        <v>222</v>
      </c>
      <c r="M665" s="12" t="s">
        <v>1102</v>
      </c>
      <c r="N665" s="12" t="s">
        <v>306</v>
      </c>
    </row>
    <row r="666" customFormat="false" ht="36" hidden="false" customHeight="false" outlineLevel="0" collapsed="false">
      <c r="A666" s="20" t="s">
        <v>2608</v>
      </c>
      <c r="B666" s="15" t="s">
        <v>2609</v>
      </c>
      <c r="C666" s="20" t="s">
        <v>2608</v>
      </c>
      <c r="D666" s="9" t="n">
        <v>9</v>
      </c>
      <c r="E666" s="10" t="s">
        <v>113</v>
      </c>
      <c r="F666" s="10" t="s">
        <v>591</v>
      </c>
      <c r="G666" s="10" t="s">
        <v>591</v>
      </c>
      <c r="H666" s="16" t="n">
        <v>7</v>
      </c>
      <c r="I666" s="17" t="s">
        <v>2407</v>
      </c>
      <c r="J666" s="13" t="s">
        <v>2610</v>
      </c>
      <c r="K666" s="13" t="s">
        <v>2611</v>
      </c>
      <c r="L666" s="12" t="s">
        <v>222</v>
      </c>
      <c r="M666" s="12" t="s">
        <v>1102</v>
      </c>
      <c r="N666" s="12" t="s">
        <v>452</v>
      </c>
    </row>
    <row r="667" customFormat="false" ht="36" hidden="false" customHeight="false" outlineLevel="0" collapsed="false">
      <c r="A667" s="20" t="s">
        <v>2612</v>
      </c>
      <c r="B667" s="15" t="s">
        <v>2613</v>
      </c>
      <c r="C667" s="20" t="s">
        <v>2612</v>
      </c>
      <c r="D667" s="9" t="n">
        <v>9</v>
      </c>
      <c r="E667" s="10" t="s">
        <v>113</v>
      </c>
      <c r="F667" s="10" t="s">
        <v>591</v>
      </c>
      <c r="G667" s="10" t="s">
        <v>591</v>
      </c>
      <c r="H667" s="16" t="n">
        <v>7</v>
      </c>
      <c r="I667" s="17" t="s">
        <v>2407</v>
      </c>
      <c r="J667" s="13" t="s">
        <v>2614</v>
      </c>
      <c r="K667" s="13" t="s">
        <v>2615</v>
      </c>
      <c r="L667" s="12" t="s">
        <v>222</v>
      </c>
      <c r="M667" s="12" t="s">
        <v>1102</v>
      </c>
      <c r="N667" s="12" t="s">
        <v>306</v>
      </c>
    </row>
    <row r="668" customFormat="false" ht="53" hidden="false" customHeight="false" outlineLevel="0" collapsed="false">
      <c r="A668" s="14" t="s">
        <v>2616</v>
      </c>
      <c r="B668" s="15" t="s">
        <v>2617</v>
      </c>
      <c r="C668" s="14" t="s">
        <v>2616</v>
      </c>
      <c r="D668" s="9" t="n">
        <v>9</v>
      </c>
      <c r="E668" s="10" t="s">
        <v>113</v>
      </c>
      <c r="F668" s="10" t="s">
        <v>591</v>
      </c>
      <c r="G668" s="10" t="s">
        <v>591</v>
      </c>
      <c r="H668" s="16" t="n">
        <v>7</v>
      </c>
      <c r="I668" s="17" t="s">
        <v>2407</v>
      </c>
      <c r="J668" s="18" t="s">
        <v>2618</v>
      </c>
      <c r="K668" s="13" t="s">
        <v>2611</v>
      </c>
      <c r="L668" s="12" t="s">
        <v>1676</v>
      </c>
      <c r="M668" s="12" t="s">
        <v>1102</v>
      </c>
      <c r="N668" s="12" t="s">
        <v>817</v>
      </c>
    </row>
    <row r="669" customFormat="false" ht="19" hidden="false" customHeight="false" outlineLevel="0" collapsed="false">
      <c r="A669" s="7" t="s">
        <v>2619</v>
      </c>
      <c r="B669" s="8" t="s">
        <v>2620</v>
      </c>
      <c r="C669" s="7" t="s">
        <v>2619</v>
      </c>
      <c r="D669" s="9" t="n">
        <v>1</v>
      </c>
      <c r="E669" s="10" t="s">
        <v>203</v>
      </c>
      <c r="F669" s="10" t="s">
        <v>596</v>
      </c>
      <c r="G669" s="10" t="s">
        <v>596</v>
      </c>
      <c r="H669" s="16" t="n">
        <v>7</v>
      </c>
      <c r="I669" s="17" t="s">
        <v>2407</v>
      </c>
      <c r="J669" s="12" t="s">
        <v>2621</v>
      </c>
      <c r="K669" s="13" t="s">
        <v>2622</v>
      </c>
      <c r="L669" s="12" t="s">
        <v>222</v>
      </c>
      <c r="M669" s="12" t="s">
        <v>1758</v>
      </c>
      <c r="N669" s="12" t="s">
        <v>817</v>
      </c>
    </row>
    <row r="670" customFormat="false" ht="38.25" hidden="false" customHeight="true" outlineLevel="0" collapsed="false">
      <c r="A670" s="14" t="s">
        <v>2623</v>
      </c>
      <c r="B670" s="15" t="s">
        <v>2624</v>
      </c>
      <c r="C670" s="14" t="s">
        <v>2623</v>
      </c>
      <c r="D670" s="9" t="n">
        <v>11</v>
      </c>
      <c r="E670" s="10" t="s">
        <v>69</v>
      </c>
      <c r="F670" s="10" t="s">
        <v>70</v>
      </c>
      <c r="G670" s="10" t="s">
        <v>70</v>
      </c>
      <c r="H670" s="16" t="n">
        <v>7</v>
      </c>
      <c r="I670" s="17" t="s">
        <v>2407</v>
      </c>
      <c r="J670" s="18" t="s">
        <v>2625</v>
      </c>
      <c r="K670" s="13" t="s">
        <v>2626</v>
      </c>
      <c r="L670" s="12" t="s">
        <v>222</v>
      </c>
      <c r="M670" s="12" t="s">
        <v>1102</v>
      </c>
      <c r="N670" s="12" t="s">
        <v>817</v>
      </c>
    </row>
    <row r="671" customFormat="false" ht="19" hidden="false" customHeight="false" outlineLevel="0" collapsed="false">
      <c r="A671" s="7" t="s">
        <v>2627</v>
      </c>
      <c r="B671" s="8" t="s">
        <v>2628</v>
      </c>
      <c r="C671" s="7" t="s">
        <v>2627</v>
      </c>
      <c r="D671" s="9" t="n">
        <v>11</v>
      </c>
      <c r="E671" s="10" t="s">
        <v>69</v>
      </c>
      <c r="F671" s="10" t="s">
        <v>70</v>
      </c>
      <c r="G671" s="10" t="s">
        <v>70</v>
      </c>
      <c r="H671" s="16" t="n">
        <v>7</v>
      </c>
      <c r="I671" s="17" t="s">
        <v>2407</v>
      </c>
      <c r="J671" s="12" t="s">
        <v>2629</v>
      </c>
      <c r="K671" s="12" t="s">
        <v>2020</v>
      </c>
      <c r="L671" s="12" t="s">
        <v>1676</v>
      </c>
      <c r="M671" s="12" t="s">
        <v>1526</v>
      </c>
      <c r="N671" s="12" t="s">
        <v>817</v>
      </c>
    </row>
    <row r="672" customFormat="false" ht="19" hidden="false" customHeight="false" outlineLevel="0" collapsed="false">
      <c r="A672" s="14" t="s">
        <v>2630</v>
      </c>
      <c r="B672" s="8" t="s">
        <v>2631</v>
      </c>
      <c r="C672" s="14" t="s">
        <v>2630</v>
      </c>
      <c r="D672" s="9" t="n">
        <v>1</v>
      </c>
      <c r="E672" s="10" t="s">
        <v>203</v>
      </c>
      <c r="F672" s="10" t="s">
        <v>1179</v>
      </c>
      <c r="G672" s="10" t="s">
        <v>1179</v>
      </c>
      <c r="H672" s="16" t="n">
        <v>7</v>
      </c>
      <c r="I672" s="17" t="s">
        <v>2407</v>
      </c>
      <c r="J672" s="12" t="s">
        <v>2621</v>
      </c>
      <c r="K672" s="13" t="s">
        <v>2632</v>
      </c>
      <c r="L672" s="12" t="s">
        <v>222</v>
      </c>
      <c r="M672" s="12" t="s">
        <v>1758</v>
      </c>
      <c r="N672" s="12" t="s">
        <v>817</v>
      </c>
    </row>
    <row r="673" customFormat="false" ht="19" hidden="false" customHeight="false" outlineLevel="0" collapsed="false">
      <c r="A673" s="7" t="s">
        <v>2633</v>
      </c>
      <c r="B673" s="8" t="s">
        <v>2634</v>
      </c>
      <c r="C673" s="7" t="s">
        <v>2633</v>
      </c>
      <c r="D673" s="9" t="n">
        <v>20</v>
      </c>
      <c r="E673" s="9" t="s">
        <v>53</v>
      </c>
      <c r="F673" s="10" t="s">
        <v>349</v>
      </c>
      <c r="G673" s="10" t="s">
        <v>611</v>
      </c>
      <c r="H673" s="16" t="n">
        <v>7</v>
      </c>
      <c r="I673" s="17" t="s">
        <v>2407</v>
      </c>
      <c r="J673" s="12" t="s">
        <v>2635</v>
      </c>
      <c r="K673" s="13" t="s">
        <v>2636</v>
      </c>
      <c r="L673" s="12" t="s">
        <v>222</v>
      </c>
      <c r="M673" s="12" t="s">
        <v>1758</v>
      </c>
      <c r="N673" s="12" t="s">
        <v>817</v>
      </c>
    </row>
    <row r="674" customFormat="false" ht="36" hidden="false" customHeight="false" outlineLevel="0" collapsed="false">
      <c r="A674" s="20" t="s">
        <v>2637</v>
      </c>
      <c r="B674" s="15" t="s">
        <v>2638</v>
      </c>
      <c r="C674" s="20" t="s">
        <v>2637</v>
      </c>
      <c r="D674" s="9" t="n">
        <v>5</v>
      </c>
      <c r="E674" s="9" t="s">
        <v>63</v>
      </c>
      <c r="F674" s="10" t="s">
        <v>611</v>
      </c>
      <c r="G674" s="10" t="s">
        <v>611</v>
      </c>
      <c r="H674" s="16" t="n">
        <v>7</v>
      </c>
      <c r="I674" s="17" t="s">
        <v>2407</v>
      </c>
      <c r="J674" s="13" t="s">
        <v>2639</v>
      </c>
      <c r="K674" s="13" t="s">
        <v>2640</v>
      </c>
      <c r="L674" s="12" t="s">
        <v>222</v>
      </c>
      <c r="M674" s="12" t="s">
        <v>1758</v>
      </c>
      <c r="N674" s="12" t="s">
        <v>817</v>
      </c>
    </row>
    <row r="675" customFormat="false" ht="27.5" hidden="false" customHeight="false" outlineLevel="0" collapsed="false">
      <c r="A675" s="20" t="s">
        <v>2641</v>
      </c>
      <c r="B675" s="15" t="s">
        <v>2642</v>
      </c>
      <c r="C675" s="20" t="s">
        <v>2641</v>
      </c>
      <c r="D675" s="9" t="n">
        <v>11</v>
      </c>
      <c r="E675" s="10" t="s">
        <v>69</v>
      </c>
      <c r="F675" s="10" t="s">
        <v>289</v>
      </c>
      <c r="G675" s="10" t="s">
        <v>290</v>
      </c>
      <c r="H675" s="16" t="n">
        <v>7</v>
      </c>
      <c r="I675" s="17" t="s">
        <v>2407</v>
      </c>
      <c r="J675" s="13" t="s">
        <v>2643</v>
      </c>
      <c r="K675" s="13" t="s">
        <v>2626</v>
      </c>
      <c r="L675" s="12" t="s">
        <v>222</v>
      </c>
      <c r="M675" s="12" t="s">
        <v>1102</v>
      </c>
      <c r="N675" s="12" t="s">
        <v>817</v>
      </c>
    </row>
    <row r="676" customFormat="false" ht="36" hidden="false" customHeight="false" outlineLevel="0" collapsed="false">
      <c r="A676" s="20" t="s">
        <v>2644</v>
      </c>
      <c r="B676" s="15" t="s">
        <v>2645</v>
      </c>
      <c r="C676" s="20" t="s">
        <v>2644</v>
      </c>
      <c r="D676" s="9" t="n">
        <v>10</v>
      </c>
      <c r="E676" s="9" t="s">
        <v>142</v>
      </c>
      <c r="F676" s="10" t="s">
        <v>621</v>
      </c>
      <c r="G676" s="10" t="s">
        <v>621</v>
      </c>
      <c r="H676" s="16" t="n">
        <v>7</v>
      </c>
      <c r="I676" s="17" t="s">
        <v>2407</v>
      </c>
      <c r="J676" s="13" t="s">
        <v>2646</v>
      </c>
      <c r="K676" s="13" t="s">
        <v>2647</v>
      </c>
      <c r="L676" s="12" t="s">
        <v>222</v>
      </c>
      <c r="M676" s="12" t="s">
        <v>1102</v>
      </c>
      <c r="N676" s="12" t="s">
        <v>306</v>
      </c>
    </row>
    <row r="677" customFormat="false" ht="36" hidden="false" customHeight="false" outlineLevel="0" collapsed="false">
      <c r="A677" s="14" t="s">
        <v>2648</v>
      </c>
      <c r="B677" s="15" t="s">
        <v>2649</v>
      </c>
      <c r="C677" s="14" t="s">
        <v>2648</v>
      </c>
      <c r="D677" s="9" t="n">
        <v>5</v>
      </c>
      <c r="E677" s="9" t="s">
        <v>63</v>
      </c>
      <c r="F677" s="10" t="s">
        <v>625</v>
      </c>
      <c r="G677" s="10" t="s">
        <v>626</v>
      </c>
      <c r="H677" s="16" t="n">
        <v>7</v>
      </c>
      <c r="I677" s="17" t="s">
        <v>2407</v>
      </c>
      <c r="J677" s="18" t="s">
        <v>2650</v>
      </c>
      <c r="K677" s="13" t="s">
        <v>2651</v>
      </c>
      <c r="L677" s="12" t="s">
        <v>222</v>
      </c>
      <c r="M677" s="12" t="s">
        <v>1758</v>
      </c>
      <c r="N677" s="12" t="s">
        <v>306</v>
      </c>
    </row>
    <row r="678" customFormat="false" ht="27.5" hidden="false" customHeight="false" outlineLevel="0" collapsed="false">
      <c r="A678" s="20" t="s">
        <v>2652</v>
      </c>
      <c r="B678" s="15" t="s">
        <v>2653</v>
      </c>
      <c r="C678" s="20" t="s">
        <v>2652</v>
      </c>
      <c r="D678" s="9" t="n">
        <v>22</v>
      </c>
      <c r="E678" s="9" t="s">
        <v>47</v>
      </c>
      <c r="F678" s="10" t="s">
        <v>237</v>
      </c>
      <c r="G678" s="10" t="s">
        <v>1936</v>
      </c>
      <c r="H678" s="16" t="n">
        <v>7</v>
      </c>
      <c r="I678" s="17" t="s">
        <v>2407</v>
      </c>
      <c r="J678" s="13" t="s">
        <v>2654</v>
      </c>
      <c r="K678" s="13" t="s">
        <v>2655</v>
      </c>
      <c r="L678" s="12" t="s">
        <v>222</v>
      </c>
      <c r="M678" s="12" t="s">
        <v>1102</v>
      </c>
      <c r="N678" s="12" t="s">
        <v>817</v>
      </c>
    </row>
    <row r="679" customFormat="false" ht="27.5" hidden="false" customHeight="false" outlineLevel="0" collapsed="false">
      <c r="A679" s="20" t="s">
        <v>2656</v>
      </c>
      <c r="B679" s="15" t="s">
        <v>2657</v>
      </c>
      <c r="C679" s="20" t="s">
        <v>2656</v>
      </c>
      <c r="D679" s="9" t="n">
        <v>22</v>
      </c>
      <c r="E679" s="9" t="s">
        <v>47</v>
      </c>
      <c r="F679" s="10" t="s">
        <v>1198</v>
      </c>
      <c r="G679" s="10" t="s">
        <v>1199</v>
      </c>
      <c r="H679" s="16" t="n">
        <v>7</v>
      </c>
      <c r="I679" s="17" t="s">
        <v>2407</v>
      </c>
      <c r="J679" s="13" t="s">
        <v>2658</v>
      </c>
      <c r="K679" s="13" t="s">
        <v>2659</v>
      </c>
      <c r="L679" s="12" t="s">
        <v>222</v>
      </c>
      <c r="M679" s="12" t="s">
        <v>1102</v>
      </c>
      <c r="N679" s="12" t="s">
        <v>817</v>
      </c>
    </row>
    <row r="680" customFormat="false" ht="27.5" hidden="false" customHeight="false" outlineLevel="0" collapsed="false">
      <c r="A680" s="7" t="s">
        <v>2660</v>
      </c>
      <c r="B680" s="8" t="s">
        <v>2661</v>
      </c>
      <c r="C680" s="7" t="s">
        <v>2660</v>
      </c>
      <c r="D680" s="9" t="n">
        <v>1</v>
      </c>
      <c r="E680" s="10" t="s">
        <v>203</v>
      </c>
      <c r="F680" s="10" t="s">
        <v>633</v>
      </c>
      <c r="G680" s="10" t="s">
        <v>634</v>
      </c>
      <c r="H680" s="16" t="n">
        <v>7</v>
      </c>
      <c r="I680" s="17" t="s">
        <v>2407</v>
      </c>
      <c r="J680" s="12" t="s">
        <v>2662</v>
      </c>
      <c r="K680" s="13" t="s">
        <v>2663</v>
      </c>
      <c r="L680" s="12" t="s">
        <v>222</v>
      </c>
      <c r="M680" s="12" t="s">
        <v>1102</v>
      </c>
      <c r="N680" s="12" t="s">
        <v>817</v>
      </c>
    </row>
    <row r="681" customFormat="false" ht="53" hidden="false" customHeight="false" outlineLevel="0" collapsed="false">
      <c r="A681" s="14" t="s">
        <v>2664</v>
      </c>
      <c r="B681" s="15" t="s">
        <v>2665</v>
      </c>
      <c r="C681" s="14" t="s">
        <v>2664</v>
      </c>
      <c r="D681" s="9" t="n">
        <v>9</v>
      </c>
      <c r="E681" s="10" t="s">
        <v>113</v>
      </c>
      <c r="F681" s="10" t="s">
        <v>296</v>
      </c>
      <c r="G681" s="10" t="s">
        <v>296</v>
      </c>
      <c r="H681" s="16" t="n">
        <v>7</v>
      </c>
      <c r="I681" s="17" t="s">
        <v>2407</v>
      </c>
      <c r="J681" s="18" t="s">
        <v>2666</v>
      </c>
      <c r="K681" s="18" t="s">
        <v>2667</v>
      </c>
      <c r="L681" s="12" t="s">
        <v>1903</v>
      </c>
      <c r="M681" s="12" t="s">
        <v>1824</v>
      </c>
      <c r="N681" s="12" t="s">
        <v>817</v>
      </c>
    </row>
    <row r="682" customFormat="false" ht="19" hidden="false" customHeight="false" outlineLevel="0" collapsed="false">
      <c r="A682" s="20" t="s">
        <v>2668</v>
      </c>
      <c r="B682" s="15" t="s">
        <v>2669</v>
      </c>
      <c r="C682" s="20" t="s">
        <v>2668</v>
      </c>
      <c r="D682" s="9" t="n">
        <v>13</v>
      </c>
      <c r="E682" s="9" t="s">
        <v>79</v>
      </c>
      <c r="F682" s="10" t="s">
        <v>79</v>
      </c>
      <c r="G682" s="10" t="s">
        <v>79</v>
      </c>
      <c r="H682" s="16" t="n">
        <v>7</v>
      </c>
      <c r="I682" s="17" t="s">
        <v>2407</v>
      </c>
      <c r="J682" s="13" t="s">
        <v>2670</v>
      </c>
      <c r="K682" s="13" t="s">
        <v>2671</v>
      </c>
      <c r="L682" s="12" t="s">
        <v>222</v>
      </c>
      <c r="M682" s="12" t="s">
        <v>1102</v>
      </c>
      <c r="N682" s="12" t="s">
        <v>452</v>
      </c>
    </row>
    <row r="683" customFormat="false" ht="61.5" hidden="false" customHeight="false" outlineLevel="0" collapsed="false">
      <c r="A683" s="14" t="s">
        <v>2672</v>
      </c>
      <c r="B683" s="15" t="s">
        <v>2673</v>
      </c>
      <c r="C683" s="14" t="s">
        <v>2672</v>
      </c>
      <c r="D683" s="9" t="n">
        <v>22</v>
      </c>
      <c r="E683" s="9" t="s">
        <v>47</v>
      </c>
      <c r="F683" s="10" t="s">
        <v>639</v>
      </c>
      <c r="G683" s="10" t="s">
        <v>639</v>
      </c>
      <c r="H683" s="16" t="n">
        <v>7</v>
      </c>
      <c r="I683" s="17" t="s">
        <v>2407</v>
      </c>
      <c r="J683" s="18" t="s">
        <v>2674</v>
      </c>
      <c r="K683" s="13" t="s">
        <v>1975</v>
      </c>
      <c r="L683" s="12" t="s">
        <v>2675</v>
      </c>
      <c r="M683" s="12" t="s">
        <v>969</v>
      </c>
      <c r="N683" s="12" t="s">
        <v>452</v>
      </c>
    </row>
    <row r="684" customFormat="false" ht="27.5" hidden="false" customHeight="false" outlineLevel="0" collapsed="false">
      <c r="A684" s="7" t="s">
        <v>2676</v>
      </c>
      <c r="B684" s="8" t="s">
        <v>2677</v>
      </c>
      <c r="C684" s="7" t="s">
        <v>2676</v>
      </c>
      <c r="D684" s="9" t="n">
        <v>22</v>
      </c>
      <c r="E684" s="9" t="s">
        <v>47</v>
      </c>
      <c r="F684" s="10" t="s">
        <v>639</v>
      </c>
      <c r="G684" s="10" t="s">
        <v>639</v>
      </c>
      <c r="H684" s="16" t="n">
        <v>7</v>
      </c>
      <c r="I684" s="17" t="s">
        <v>2407</v>
      </c>
      <c r="J684" s="12" t="s">
        <v>2678</v>
      </c>
      <c r="K684" s="12" t="s">
        <v>2679</v>
      </c>
      <c r="L684" s="12" t="s">
        <v>222</v>
      </c>
      <c r="M684" s="12" t="s">
        <v>1102</v>
      </c>
      <c r="N684" s="12" t="s">
        <v>452</v>
      </c>
    </row>
    <row r="685" customFormat="false" ht="36" hidden="false" customHeight="false" outlineLevel="0" collapsed="false">
      <c r="A685" s="7" t="s">
        <v>2680</v>
      </c>
      <c r="B685" s="8" t="s">
        <v>2681</v>
      </c>
      <c r="C685" s="7" t="s">
        <v>2680</v>
      </c>
      <c r="D685" s="9" t="n">
        <v>6</v>
      </c>
      <c r="E685" s="10" t="s">
        <v>180</v>
      </c>
      <c r="F685" s="10" t="s">
        <v>1985</v>
      </c>
      <c r="G685" s="10" t="s">
        <v>1985</v>
      </c>
      <c r="H685" s="16" t="n">
        <v>7</v>
      </c>
      <c r="I685" s="17" t="s">
        <v>2407</v>
      </c>
      <c r="J685" s="12" t="s">
        <v>2682</v>
      </c>
      <c r="K685" s="13" t="s">
        <v>2683</v>
      </c>
      <c r="L685" s="12" t="s">
        <v>222</v>
      </c>
      <c r="M685" s="12" t="s">
        <v>1102</v>
      </c>
      <c r="N685" s="12" t="s">
        <v>817</v>
      </c>
    </row>
    <row r="686" customFormat="false" ht="36" hidden="false" customHeight="false" outlineLevel="0" collapsed="false">
      <c r="A686" s="20" t="s">
        <v>2684</v>
      </c>
      <c r="B686" s="15" t="s">
        <v>2685</v>
      </c>
      <c r="C686" s="20" t="s">
        <v>2684</v>
      </c>
      <c r="D686" s="9" t="n">
        <v>22</v>
      </c>
      <c r="E686" s="9" t="s">
        <v>47</v>
      </c>
      <c r="F686" s="10" t="s">
        <v>648</v>
      </c>
      <c r="G686" s="10" t="s">
        <v>648</v>
      </c>
      <c r="H686" s="16" t="n">
        <v>7</v>
      </c>
      <c r="I686" s="17" t="s">
        <v>2407</v>
      </c>
      <c r="J686" s="13" t="s">
        <v>2686</v>
      </c>
      <c r="K686" s="13" t="s">
        <v>2687</v>
      </c>
      <c r="L686" s="12" t="s">
        <v>222</v>
      </c>
      <c r="M686" s="12" t="s">
        <v>1102</v>
      </c>
      <c r="N686" s="12" t="s">
        <v>452</v>
      </c>
    </row>
    <row r="687" customFormat="false" ht="36" hidden="false" customHeight="false" outlineLevel="0" collapsed="false">
      <c r="A687" s="20" t="s">
        <v>2688</v>
      </c>
      <c r="B687" s="15" t="s">
        <v>2689</v>
      </c>
      <c r="C687" s="20" t="s">
        <v>2688</v>
      </c>
      <c r="D687" s="9" t="n">
        <v>19</v>
      </c>
      <c r="E687" s="9" t="s">
        <v>83</v>
      </c>
      <c r="F687" s="10" t="s">
        <v>84</v>
      </c>
      <c r="G687" s="10" t="s">
        <v>85</v>
      </c>
      <c r="H687" s="16" t="n">
        <v>7</v>
      </c>
      <c r="I687" s="17" t="s">
        <v>2407</v>
      </c>
      <c r="J687" s="13" t="s">
        <v>2690</v>
      </c>
      <c r="K687" s="13" t="s">
        <v>2691</v>
      </c>
      <c r="L687" s="12" t="s">
        <v>222</v>
      </c>
      <c r="M687" s="12" t="s">
        <v>1102</v>
      </c>
      <c r="N687" s="12" t="s">
        <v>817</v>
      </c>
    </row>
    <row r="688" customFormat="false" ht="44.5" hidden="false" customHeight="false" outlineLevel="0" collapsed="false">
      <c r="A688" s="14" t="s">
        <v>2692</v>
      </c>
      <c r="B688" s="15" t="s">
        <v>2693</v>
      </c>
      <c r="C688" s="14" t="s">
        <v>2692</v>
      </c>
      <c r="D688" s="9" t="n">
        <v>12</v>
      </c>
      <c r="E688" s="9" t="s">
        <v>185</v>
      </c>
      <c r="F688" s="10" t="s">
        <v>186</v>
      </c>
      <c r="G688" s="10" t="s">
        <v>185</v>
      </c>
      <c r="H688" s="16" t="n">
        <v>7</v>
      </c>
      <c r="I688" s="17" t="s">
        <v>2407</v>
      </c>
      <c r="J688" s="18" t="s">
        <v>2694</v>
      </c>
      <c r="K688" s="13" t="s">
        <v>2695</v>
      </c>
      <c r="L688" s="12" t="s">
        <v>222</v>
      </c>
      <c r="M688" s="12" t="s">
        <v>1102</v>
      </c>
      <c r="N688" s="12" t="s">
        <v>817</v>
      </c>
    </row>
    <row r="689" customFormat="false" ht="27.5" hidden="false" customHeight="false" outlineLevel="0" collapsed="false">
      <c r="A689" s="20" t="s">
        <v>2696</v>
      </c>
      <c r="B689" s="15" t="s">
        <v>2697</v>
      </c>
      <c r="C689" s="20" t="s">
        <v>2696</v>
      </c>
      <c r="D689" s="9" t="n">
        <v>22</v>
      </c>
      <c r="E689" s="9" t="s">
        <v>47</v>
      </c>
      <c r="F689" s="10" t="s">
        <v>657</v>
      </c>
      <c r="G689" s="10" t="s">
        <v>657</v>
      </c>
      <c r="H689" s="16" t="n">
        <v>7</v>
      </c>
      <c r="I689" s="17" t="s">
        <v>2407</v>
      </c>
      <c r="J689" s="13" t="s">
        <v>2698</v>
      </c>
      <c r="K689" s="13" t="s">
        <v>2699</v>
      </c>
      <c r="L689" s="12" t="s">
        <v>222</v>
      </c>
      <c r="M689" s="12" t="s">
        <v>1102</v>
      </c>
      <c r="N689" s="12" t="s">
        <v>817</v>
      </c>
    </row>
    <row r="690" customFormat="false" ht="44.5" hidden="false" customHeight="false" outlineLevel="0" collapsed="false">
      <c r="A690" s="20" t="s">
        <v>2700</v>
      </c>
      <c r="B690" s="15" t="s">
        <v>2701</v>
      </c>
      <c r="C690" s="20" t="s">
        <v>2700</v>
      </c>
      <c r="D690" s="9" t="n">
        <v>22</v>
      </c>
      <c r="E690" s="9" t="s">
        <v>47</v>
      </c>
      <c r="F690" s="10" t="s">
        <v>657</v>
      </c>
      <c r="G690" s="10" t="s">
        <v>657</v>
      </c>
      <c r="H690" s="16" t="n">
        <v>7</v>
      </c>
      <c r="I690" s="17" t="s">
        <v>2407</v>
      </c>
      <c r="J690" s="13" t="s">
        <v>2702</v>
      </c>
      <c r="K690" s="13" t="s">
        <v>2703</v>
      </c>
      <c r="L690" s="12" t="s">
        <v>222</v>
      </c>
      <c r="M690" s="12" t="s">
        <v>1102</v>
      </c>
      <c r="N690" s="12" t="s">
        <v>817</v>
      </c>
    </row>
    <row r="691" customFormat="false" ht="53" hidden="false" customHeight="false" outlineLevel="0" collapsed="false">
      <c r="A691" s="20" t="s">
        <v>2704</v>
      </c>
      <c r="B691" s="15" t="s">
        <v>2705</v>
      </c>
      <c r="C691" s="20" t="s">
        <v>2704</v>
      </c>
      <c r="D691" s="9" t="n">
        <v>12</v>
      </c>
      <c r="E691" s="9" t="s">
        <v>185</v>
      </c>
      <c r="F691" s="10" t="s">
        <v>186</v>
      </c>
      <c r="G691" s="10" t="s">
        <v>186</v>
      </c>
      <c r="H691" s="16" t="n">
        <v>7</v>
      </c>
      <c r="I691" s="17" t="s">
        <v>2407</v>
      </c>
      <c r="J691" s="13" t="s">
        <v>2706</v>
      </c>
      <c r="K691" s="13" t="s">
        <v>2707</v>
      </c>
      <c r="L691" s="12" t="s">
        <v>222</v>
      </c>
      <c r="M691" s="12" t="s">
        <v>1758</v>
      </c>
      <c r="N691" s="12" t="s">
        <v>306</v>
      </c>
    </row>
    <row r="692" customFormat="false" ht="78.5" hidden="false" customHeight="false" outlineLevel="0" collapsed="false">
      <c r="A692" s="14" t="s">
        <v>2708</v>
      </c>
      <c r="B692" s="15" t="s">
        <v>2709</v>
      </c>
      <c r="C692" s="14" t="s">
        <v>2708</v>
      </c>
      <c r="D692" s="9" t="n">
        <v>11</v>
      </c>
      <c r="E692" s="10" t="s">
        <v>69</v>
      </c>
      <c r="F692" s="10" t="s">
        <v>455</v>
      </c>
      <c r="G692" s="10" t="s">
        <v>455</v>
      </c>
      <c r="H692" s="16" t="n">
        <v>7</v>
      </c>
      <c r="I692" s="17" t="s">
        <v>2407</v>
      </c>
      <c r="J692" s="18" t="s">
        <v>2710</v>
      </c>
      <c r="K692" s="13" t="s">
        <v>2711</v>
      </c>
      <c r="L692" s="12" t="s">
        <v>222</v>
      </c>
      <c r="M692" s="12" t="s">
        <v>1102</v>
      </c>
      <c r="N692" s="12" t="s">
        <v>817</v>
      </c>
    </row>
    <row r="693" customFormat="false" ht="44.5" hidden="false" customHeight="false" outlineLevel="0" collapsed="false">
      <c r="A693" s="14" t="s">
        <v>2712</v>
      </c>
      <c r="B693" s="15" t="s">
        <v>2310</v>
      </c>
      <c r="C693" s="14" t="s">
        <v>2712</v>
      </c>
      <c r="D693" s="9" t="n">
        <v>8</v>
      </c>
      <c r="E693" s="9" t="s">
        <v>89</v>
      </c>
      <c r="F693" s="10" t="s">
        <v>90</v>
      </c>
      <c r="G693" s="10" t="s">
        <v>90</v>
      </c>
      <c r="H693" s="16" t="n">
        <v>7</v>
      </c>
      <c r="I693" s="17" t="s">
        <v>2407</v>
      </c>
      <c r="J693" s="18" t="s">
        <v>2713</v>
      </c>
      <c r="K693" s="18" t="s">
        <v>2714</v>
      </c>
      <c r="L693" s="12" t="s">
        <v>222</v>
      </c>
      <c r="M693" s="12" t="s">
        <v>1102</v>
      </c>
      <c r="N693" s="12" t="s">
        <v>452</v>
      </c>
    </row>
    <row r="694" customFormat="false" ht="36" hidden="false" customHeight="false" outlineLevel="0" collapsed="false">
      <c r="A694" s="20" t="s">
        <v>2715</v>
      </c>
      <c r="B694" s="15" t="s">
        <v>2716</v>
      </c>
      <c r="C694" s="20" t="s">
        <v>2715</v>
      </c>
      <c r="D694" s="9" t="n">
        <v>11</v>
      </c>
      <c r="E694" s="10" t="s">
        <v>69</v>
      </c>
      <c r="F694" s="10" t="s">
        <v>747</v>
      </c>
      <c r="G694" s="10" t="s">
        <v>1272</v>
      </c>
      <c r="H694" s="16" t="n">
        <v>7</v>
      </c>
      <c r="I694" s="17" t="s">
        <v>2407</v>
      </c>
      <c r="J694" s="13" t="s">
        <v>2717</v>
      </c>
      <c r="K694" s="13" t="s">
        <v>1281</v>
      </c>
      <c r="L694" s="12" t="s">
        <v>222</v>
      </c>
      <c r="M694" s="12" t="s">
        <v>1102</v>
      </c>
      <c r="N694" s="12" t="s">
        <v>817</v>
      </c>
    </row>
    <row r="695" customFormat="false" ht="27.5" hidden="false" customHeight="false" outlineLevel="0" collapsed="false">
      <c r="A695" s="7" t="s">
        <v>2718</v>
      </c>
      <c r="B695" s="8" t="s">
        <v>2719</v>
      </c>
      <c r="C695" s="7" t="s">
        <v>2718</v>
      </c>
      <c r="D695" s="9" t="n">
        <v>7</v>
      </c>
      <c r="E695" s="10" t="s">
        <v>273</v>
      </c>
      <c r="F695" s="10" t="s">
        <v>98</v>
      </c>
      <c r="G695" s="10" t="s">
        <v>118</v>
      </c>
      <c r="H695" s="16" t="n">
        <v>7</v>
      </c>
      <c r="I695" s="17" t="s">
        <v>2407</v>
      </c>
      <c r="J695" s="12" t="s">
        <v>2720</v>
      </c>
      <c r="K695" s="13" t="s">
        <v>1907</v>
      </c>
      <c r="L695" s="12" t="s">
        <v>222</v>
      </c>
      <c r="M695" s="12" t="s">
        <v>1102</v>
      </c>
      <c r="N695" s="12" t="s">
        <v>306</v>
      </c>
    </row>
    <row r="696" customFormat="false" ht="27.5" hidden="false" customHeight="false" outlineLevel="0" collapsed="false">
      <c r="A696" s="7" t="s">
        <v>2721</v>
      </c>
      <c r="B696" s="8" t="s">
        <v>2722</v>
      </c>
      <c r="C696" s="7" t="s">
        <v>2721</v>
      </c>
      <c r="D696" s="9" t="n">
        <v>12</v>
      </c>
      <c r="E696" s="10" t="s">
        <v>185</v>
      </c>
      <c r="F696" s="10" t="s">
        <v>1287</v>
      </c>
      <c r="G696" s="10" t="s">
        <v>1287</v>
      </c>
      <c r="H696" s="16" t="n">
        <v>7</v>
      </c>
      <c r="I696" s="17" t="s">
        <v>2407</v>
      </c>
      <c r="J696" s="12" t="s">
        <v>2723</v>
      </c>
      <c r="K696" s="13" t="s">
        <v>2724</v>
      </c>
      <c r="L696" s="12" t="s">
        <v>222</v>
      </c>
      <c r="M696" s="12" t="s">
        <v>1102</v>
      </c>
      <c r="N696" s="12" t="s">
        <v>817</v>
      </c>
    </row>
    <row r="697" customFormat="false" ht="36" hidden="false" customHeight="false" outlineLevel="0" collapsed="false">
      <c r="A697" s="20" t="s">
        <v>2725</v>
      </c>
      <c r="B697" s="15" t="s">
        <v>2726</v>
      </c>
      <c r="C697" s="20" t="s">
        <v>2725</v>
      </c>
      <c r="D697" s="9" t="n">
        <v>5</v>
      </c>
      <c r="E697" s="9" t="s">
        <v>63</v>
      </c>
      <c r="F697" s="10" t="s">
        <v>94</v>
      </c>
      <c r="G697" s="10" t="s">
        <v>94</v>
      </c>
      <c r="H697" s="16" t="n">
        <v>7</v>
      </c>
      <c r="I697" s="17" t="s">
        <v>2407</v>
      </c>
      <c r="J697" s="13" t="s">
        <v>2727</v>
      </c>
      <c r="K697" s="13" t="s">
        <v>2728</v>
      </c>
      <c r="L697" s="12" t="s">
        <v>222</v>
      </c>
      <c r="M697" s="12" t="s">
        <v>1758</v>
      </c>
      <c r="N697" s="12" t="s">
        <v>23</v>
      </c>
    </row>
    <row r="698" customFormat="false" ht="44.5" hidden="false" customHeight="false" outlineLevel="0" collapsed="false">
      <c r="A698" s="14" t="s">
        <v>2729</v>
      </c>
      <c r="B698" s="15" t="s">
        <v>2730</v>
      </c>
      <c r="C698" s="14" t="s">
        <v>2729</v>
      </c>
      <c r="D698" s="9" t="n">
        <v>10</v>
      </c>
      <c r="E698" s="9" t="s">
        <v>142</v>
      </c>
      <c r="F698" s="10" t="s">
        <v>669</v>
      </c>
      <c r="G698" s="10" t="s">
        <v>689</v>
      </c>
      <c r="H698" s="16" t="n">
        <v>7</v>
      </c>
      <c r="I698" s="17" t="s">
        <v>2407</v>
      </c>
      <c r="J698" s="18" t="s">
        <v>2731</v>
      </c>
      <c r="K698" s="13" t="s">
        <v>2732</v>
      </c>
      <c r="L698" s="12" t="s">
        <v>222</v>
      </c>
      <c r="M698" s="12" t="s">
        <v>1102</v>
      </c>
      <c r="N698" s="12" t="s">
        <v>817</v>
      </c>
    </row>
    <row r="699" customFormat="false" ht="78.5" hidden="false" customHeight="false" outlineLevel="0" collapsed="false">
      <c r="A699" s="14" t="s">
        <v>2733</v>
      </c>
      <c r="B699" s="15" t="s">
        <v>2025</v>
      </c>
      <c r="C699" s="14" t="s">
        <v>2733</v>
      </c>
      <c r="D699" s="9" t="n">
        <v>7</v>
      </c>
      <c r="E699" s="9" t="s">
        <v>273</v>
      </c>
      <c r="F699" s="10" t="s">
        <v>274</v>
      </c>
      <c r="G699" s="10" t="s">
        <v>194</v>
      </c>
      <c r="H699" s="16" t="n">
        <v>7</v>
      </c>
      <c r="I699" s="17" t="s">
        <v>2407</v>
      </c>
      <c r="J699" s="18" t="s">
        <v>2734</v>
      </c>
      <c r="K699" s="13" t="s">
        <v>2735</v>
      </c>
      <c r="L699" s="12" t="s">
        <v>222</v>
      </c>
      <c r="M699" s="12" t="s">
        <v>1102</v>
      </c>
      <c r="N699" s="12" t="s">
        <v>306</v>
      </c>
    </row>
    <row r="700" customFormat="false" ht="36" hidden="false" customHeight="false" outlineLevel="0" collapsed="false">
      <c r="A700" s="20" t="s">
        <v>2736</v>
      </c>
      <c r="B700" s="15" t="s">
        <v>2737</v>
      </c>
      <c r="C700" s="20" t="s">
        <v>2736</v>
      </c>
      <c r="D700" s="9" t="n">
        <v>22</v>
      </c>
      <c r="E700" s="9" t="s">
        <v>47</v>
      </c>
      <c r="F700" s="10" t="s">
        <v>606</v>
      </c>
      <c r="G700" s="10" t="s">
        <v>237</v>
      </c>
      <c r="H700" s="16" t="n">
        <v>7</v>
      </c>
      <c r="I700" s="17" t="s">
        <v>2407</v>
      </c>
      <c r="J700" s="13" t="s">
        <v>2738</v>
      </c>
      <c r="K700" s="13" t="s">
        <v>2739</v>
      </c>
      <c r="L700" s="12" t="s">
        <v>222</v>
      </c>
      <c r="M700" s="12" t="s">
        <v>1102</v>
      </c>
      <c r="N700" s="12" t="s">
        <v>452</v>
      </c>
    </row>
    <row r="701" customFormat="false" ht="27.5" hidden="false" customHeight="false" outlineLevel="0" collapsed="false">
      <c r="A701" s="7" t="s">
        <v>2740</v>
      </c>
      <c r="B701" s="8" t="s">
        <v>2741</v>
      </c>
      <c r="C701" s="7" t="s">
        <v>2740</v>
      </c>
      <c r="D701" s="9" t="n">
        <v>5</v>
      </c>
      <c r="E701" s="10" t="s">
        <v>63</v>
      </c>
      <c r="F701" s="10" t="s">
        <v>706</v>
      </c>
      <c r="G701" s="10" t="s">
        <v>706</v>
      </c>
      <c r="H701" s="16" t="n">
        <v>7</v>
      </c>
      <c r="I701" s="17" t="s">
        <v>2407</v>
      </c>
      <c r="J701" s="12" t="s">
        <v>2742</v>
      </c>
      <c r="K701" s="13" t="s">
        <v>2743</v>
      </c>
      <c r="L701" s="12" t="s">
        <v>222</v>
      </c>
      <c r="M701" s="12" t="s">
        <v>1758</v>
      </c>
      <c r="N701" s="12" t="s">
        <v>817</v>
      </c>
    </row>
    <row r="702" customFormat="false" ht="36" hidden="false" customHeight="false" outlineLevel="0" collapsed="false">
      <c r="A702" s="14" t="s">
        <v>2744</v>
      </c>
      <c r="B702" s="15" t="s">
        <v>2745</v>
      </c>
      <c r="C702" s="14" t="s">
        <v>2744</v>
      </c>
      <c r="D702" s="9" t="n">
        <v>24</v>
      </c>
      <c r="E702" s="9" t="s">
        <v>1342</v>
      </c>
      <c r="F702" s="10" t="s">
        <v>1343</v>
      </c>
      <c r="G702" s="10" t="s">
        <v>1344</v>
      </c>
      <c r="H702" s="16" t="n">
        <v>7</v>
      </c>
      <c r="I702" s="17" t="s">
        <v>2407</v>
      </c>
      <c r="J702" s="18" t="s">
        <v>2746</v>
      </c>
      <c r="K702" s="13" t="s">
        <v>2747</v>
      </c>
      <c r="L702" s="12" t="s">
        <v>1676</v>
      </c>
      <c r="M702" s="12" t="s">
        <v>1102</v>
      </c>
      <c r="N702" s="12" t="s">
        <v>817</v>
      </c>
    </row>
    <row r="703" customFormat="false" ht="36" hidden="false" customHeight="false" outlineLevel="0" collapsed="false">
      <c r="A703" s="14" t="s">
        <v>2748</v>
      </c>
      <c r="B703" s="15" t="s">
        <v>2749</v>
      </c>
      <c r="C703" s="14" t="s">
        <v>2748</v>
      </c>
      <c r="D703" s="9" t="n">
        <v>24</v>
      </c>
      <c r="E703" s="9" t="s">
        <v>1342</v>
      </c>
      <c r="F703" s="10" t="s">
        <v>1343</v>
      </c>
      <c r="G703" s="10" t="s">
        <v>1344</v>
      </c>
      <c r="H703" s="16" t="n">
        <v>7</v>
      </c>
      <c r="I703" s="17" t="s">
        <v>2407</v>
      </c>
      <c r="J703" s="18" t="s">
        <v>2750</v>
      </c>
      <c r="K703" s="13" t="s">
        <v>2751</v>
      </c>
      <c r="L703" s="12" t="s">
        <v>1676</v>
      </c>
      <c r="M703" s="12" t="s">
        <v>1102</v>
      </c>
      <c r="N703" s="12" t="s">
        <v>817</v>
      </c>
    </row>
    <row r="704" customFormat="false" ht="44.5" hidden="false" customHeight="false" outlineLevel="0" collapsed="false">
      <c r="A704" s="14" t="s">
        <v>2752</v>
      </c>
      <c r="B704" s="15" t="s">
        <v>2139</v>
      </c>
      <c r="C704" s="14" t="s">
        <v>2752</v>
      </c>
      <c r="D704" s="9" t="n">
        <v>24</v>
      </c>
      <c r="E704" s="9" t="s">
        <v>1342</v>
      </c>
      <c r="F704" s="10" t="s">
        <v>2140</v>
      </c>
      <c r="G704" s="10" t="s">
        <v>1344</v>
      </c>
      <c r="H704" s="16" t="n">
        <v>7</v>
      </c>
      <c r="I704" s="17" t="s">
        <v>2407</v>
      </c>
      <c r="J704" s="18" t="s">
        <v>2753</v>
      </c>
      <c r="K704" s="13" t="s">
        <v>2754</v>
      </c>
      <c r="L704" s="12" t="s">
        <v>222</v>
      </c>
      <c r="M704" s="12" t="s">
        <v>1102</v>
      </c>
      <c r="N704" s="12" t="s">
        <v>306</v>
      </c>
    </row>
    <row r="705" customFormat="false" ht="36" hidden="false" customHeight="false" outlineLevel="0" collapsed="false">
      <c r="A705" s="14" t="s">
        <v>2755</v>
      </c>
      <c r="B705" s="15" t="s">
        <v>2756</v>
      </c>
      <c r="C705" s="14" t="s">
        <v>2755</v>
      </c>
      <c r="D705" s="9" t="n">
        <v>15</v>
      </c>
      <c r="E705" s="9" t="s">
        <v>536</v>
      </c>
      <c r="F705" s="10" t="s">
        <v>2054</v>
      </c>
      <c r="G705" s="10" t="s">
        <v>2055</v>
      </c>
      <c r="H705" s="16" t="n">
        <v>7</v>
      </c>
      <c r="I705" s="17" t="s">
        <v>2407</v>
      </c>
      <c r="J705" s="21" t="s">
        <v>2757</v>
      </c>
      <c r="K705" s="13" t="s">
        <v>2758</v>
      </c>
      <c r="L705" s="12" t="s">
        <v>222</v>
      </c>
      <c r="M705" s="12" t="s">
        <v>1102</v>
      </c>
      <c r="N705" s="12" t="s">
        <v>306</v>
      </c>
    </row>
    <row r="706" customFormat="false" ht="27.5" hidden="false" customHeight="false" outlineLevel="0" collapsed="false">
      <c r="A706" s="14" t="s">
        <v>2759</v>
      </c>
      <c r="B706" s="15" t="s">
        <v>2760</v>
      </c>
      <c r="C706" s="14" t="s">
        <v>2759</v>
      </c>
      <c r="D706" s="9" t="n">
        <v>15</v>
      </c>
      <c r="E706" s="9" t="s">
        <v>536</v>
      </c>
      <c r="F706" s="10" t="s">
        <v>2054</v>
      </c>
      <c r="G706" s="10" t="s">
        <v>2055</v>
      </c>
      <c r="H706" s="16" t="n">
        <v>7</v>
      </c>
      <c r="I706" s="17" t="s">
        <v>2407</v>
      </c>
      <c r="J706" s="21" t="s">
        <v>2761</v>
      </c>
      <c r="K706" s="12" t="s">
        <v>2070</v>
      </c>
      <c r="L706" s="12" t="s">
        <v>1676</v>
      </c>
      <c r="M706" s="12" t="s">
        <v>1526</v>
      </c>
      <c r="N706" s="12" t="s">
        <v>817</v>
      </c>
    </row>
    <row r="707" customFormat="false" ht="27.5" hidden="false" customHeight="false" outlineLevel="0" collapsed="false">
      <c r="A707" s="14" t="s">
        <v>2762</v>
      </c>
      <c r="B707" s="15" t="s">
        <v>2763</v>
      </c>
      <c r="C707" s="14" t="s">
        <v>2762</v>
      </c>
      <c r="D707" s="9" t="n">
        <v>15</v>
      </c>
      <c r="E707" s="9" t="s">
        <v>536</v>
      </c>
      <c r="F707" s="10" t="s">
        <v>2054</v>
      </c>
      <c r="G707" s="10" t="s">
        <v>2055</v>
      </c>
      <c r="H707" s="16" t="n">
        <v>7</v>
      </c>
      <c r="I707" s="17" t="s">
        <v>2407</v>
      </c>
      <c r="J707" s="21" t="s">
        <v>2764</v>
      </c>
      <c r="K707" s="12" t="s">
        <v>2070</v>
      </c>
      <c r="L707" s="12" t="s">
        <v>1676</v>
      </c>
      <c r="M707" s="12" t="s">
        <v>1526</v>
      </c>
      <c r="N707" s="12" t="s">
        <v>817</v>
      </c>
    </row>
    <row r="708" customFormat="false" ht="36" hidden="false" customHeight="false" outlineLevel="0" collapsed="false">
      <c r="A708" s="20" t="s">
        <v>2765</v>
      </c>
      <c r="B708" s="15" t="s">
        <v>2766</v>
      </c>
      <c r="C708" s="20" t="s">
        <v>2765</v>
      </c>
      <c r="D708" s="9" t="n">
        <v>10</v>
      </c>
      <c r="E708" s="9" t="s">
        <v>142</v>
      </c>
      <c r="F708" s="10" t="s">
        <v>98</v>
      </c>
      <c r="G708" s="10" t="s">
        <v>98</v>
      </c>
      <c r="H708" s="16" t="n">
        <v>7</v>
      </c>
      <c r="I708" s="17" t="s">
        <v>2407</v>
      </c>
      <c r="J708" s="13" t="s">
        <v>2767</v>
      </c>
      <c r="K708" s="13" t="s">
        <v>2768</v>
      </c>
      <c r="L708" s="12" t="s">
        <v>222</v>
      </c>
      <c r="M708" s="12" t="s">
        <v>1102</v>
      </c>
      <c r="N708" s="12" t="s">
        <v>817</v>
      </c>
    </row>
    <row r="709" customFormat="false" ht="27.5" hidden="false" customHeight="false" outlineLevel="0" collapsed="false">
      <c r="A709" s="20" t="s">
        <v>2769</v>
      </c>
      <c r="B709" s="15" t="s">
        <v>2770</v>
      </c>
      <c r="C709" s="20" t="s">
        <v>2769</v>
      </c>
      <c r="D709" s="9" t="n">
        <v>1</v>
      </c>
      <c r="E709" s="9" t="s">
        <v>203</v>
      </c>
      <c r="F709" s="10" t="s">
        <v>98</v>
      </c>
      <c r="G709" s="10" t="s">
        <v>98</v>
      </c>
      <c r="H709" s="16" t="n">
        <v>7</v>
      </c>
      <c r="I709" s="17" t="s">
        <v>2407</v>
      </c>
      <c r="J709" s="13" t="s">
        <v>2771</v>
      </c>
      <c r="K709" s="13" t="s">
        <v>2772</v>
      </c>
      <c r="L709" s="12" t="s">
        <v>222</v>
      </c>
      <c r="M709" s="12" t="s">
        <v>1102</v>
      </c>
      <c r="N709" s="12" t="s">
        <v>817</v>
      </c>
    </row>
    <row r="710" customFormat="false" ht="27.5" hidden="false" customHeight="false" outlineLevel="0" collapsed="false">
      <c r="A710" s="7" t="s">
        <v>2773</v>
      </c>
      <c r="B710" s="8" t="s">
        <v>2774</v>
      </c>
      <c r="C710" s="7" t="s">
        <v>2773</v>
      </c>
      <c r="D710" s="9" t="n">
        <v>5</v>
      </c>
      <c r="E710" s="10" t="s">
        <v>63</v>
      </c>
      <c r="F710" s="10" t="s">
        <v>98</v>
      </c>
      <c r="G710" s="10" t="s">
        <v>98</v>
      </c>
      <c r="H710" s="16" t="n">
        <v>7</v>
      </c>
      <c r="I710" s="17" t="s">
        <v>2407</v>
      </c>
      <c r="J710" s="12" t="s">
        <v>2775</v>
      </c>
      <c r="K710" s="13" t="s">
        <v>2776</v>
      </c>
      <c r="L710" s="12" t="s">
        <v>222</v>
      </c>
      <c r="M710" s="12" t="s">
        <v>1758</v>
      </c>
      <c r="N710" s="12" t="s">
        <v>306</v>
      </c>
    </row>
    <row r="711" customFormat="false" ht="44.5" hidden="false" customHeight="false" outlineLevel="0" collapsed="false">
      <c r="A711" s="14" t="s">
        <v>2777</v>
      </c>
      <c r="B711" s="15" t="s">
        <v>2669</v>
      </c>
      <c r="C711" s="14" t="s">
        <v>2777</v>
      </c>
      <c r="D711" s="9" t="n">
        <v>22</v>
      </c>
      <c r="E711" s="9" t="s">
        <v>47</v>
      </c>
      <c r="F711" s="10" t="s">
        <v>79</v>
      </c>
      <c r="G711" s="10" t="s">
        <v>98</v>
      </c>
      <c r="H711" s="16" t="n">
        <v>7</v>
      </c>
      <c r="I711" s="17" t="s">
        <v>2407</v>
      </c>
      <c r="J711" s="21" t="s">
        <v>2778</v>
      </c>
      <c r="K711" s="13" t="s">
        <v>2779</v>
      </c>
      <c r="L711" s="12" t="s">
        <v>222</v>
      </c>
      <c r="M711" s="12" t="s">
        <v>1102</v>
      </c>
      <c r="N711" s="12" t="s">
        <v>817</v>
      </c>
    </row>
    <row r="712" customFormat="false" ht="36" hidden="false" customHeight="false" outlineLevel="0" collapsed="false">
      <c r="A712" s="7" t="s">
        <v>2780</v>
      </c>
      <c r="B712" s="8" t="s">
        <v>2781</v>
      </c>
      <c r="C712" s="7" t="s">
        <v>2780</v>
      </c>
      <c r="D712" s="9" t="n">
        <v>1</v>
      </c>
      <c r="E712" s="10" t="s">
        <v>203</v>
      </c>
      <c r="F712" s="10" t="s">
        <v>98</v>
      </c>
      <c r="G712" s="10" t="s">
        <v>98</v>
      </c>
      <c r="H712" s="16" t="n">
        <v>7</v>
      </c>
      <c r="I712" s="17" t="s">
        <v>2407</v>
      </c>
      <c r="J712" s="12" t="s">
        <v>2782</v>
      </c>
      <c r="K712" s="13" t="s">
        <v>2783</v>
      </c>
      <c r="L712" s="12" t="s">
        <v>1676</v>
      </c>
      <c r="M712" s="12" t="s">
        <v>1102</v>
      </c>
      <c r="N712" s="12" t="s">
        <v>817</v>
      </c>
    </row>
    <row r="713" customFormat="false" ht="61.5" hidden="false" customHeight="false" outlineLevel="0" collapsed="false">
      <c r="A713" s="14" t="s">
        <v>2784</v>
      </c>
      <c r="B713" s="15" t="s">
        <v>2785</v>
      </c>
      <c r="C713" s="14" t="s">
        <v>2784</v>
      </c>
      <c r="D713" s="9" t="n">
        <v>10</v>
      </c>
      <c r="E713" s="9" t="s">
        <v>142</v>
      </c>
      <c r="F713" s="10" t="s">
        <v>98</v>
      </c>
      <c r="G713" s="10" t="s">
        <v>98</v>
      </c>
      <c r="H713" s="16" t="n">
        <v>7</v>
      </c>
      <c r="I713" s="17" t="s">
        <v>2407</v>
      </c>
      <c r="J713" s="18" t="s">
        <v>2786</v>
      </c>
      <c r="K713" s="13" t="s">
        <v>2787</v>
      </c>
      <c r="L713" s="12" t="s">
        <v>1676</v>
      </c>
      <c r="M713" s="12" t="s">
        <v>1102</v>
      </c>
      <c r="N713" s="12" t="s">
        <v>817</v>
      </c>
    </row>
    <row r="714" customFormat="false" ht="36" hidden="false" customHeight="false" outlineLevel="0" collapsed="false">
      <c r="A714" s="20" t="s">
        <v>2788</v>
      </c>
      <c r="B714" s="15" t="s">
        <v>2789</v>
      </c>
      <c r="C714" s="20" t="s">
        <v>2788</v>
      </c>
      <c r="D714" s="9" t="n">
        <v>21</v>
      </c>
      <c r="E714" s="10" t="s">
        <v>117</v>
      </c>
      <c r="F714" s="10" t="s">
        <v>362</v>
      </c>
      <c r="G714" s="10" t="s">
        <v>119</v>
      </c>
      <c r="H714" s="16" t="n">
        <v>7</v>
      </c>
      <c r="I714" s="17" t="s">
        <v>2407</v>
      </c>
      <c r="J714" s="13" t="s">
        <v>2790</v>
      </c>
      <c r="K714" s="13" t="s">
        <v>2791</v>
      </c>
      <c r="L714" s="12" t="s">
        <v>222</v>
      </c>
      <c r="M714" s="12" t="s">
        <v>1102</v>
      </c>
      <c r="N714" s="12" t="s">
        <v>452</v>
      </c>
    </row>
    <row r="715" customFormat="false" ht="53" hidden="false" customHeight="false" outlineLevel="0" collapsed="false">
      <c r="A715" s="14" t="s">
        <v>2792</v>
      </c>
      <c r="B715" s="15" t="s">
        <v>2793</v>
      </c>
      <c r="C715" s="14" t="s">
        <v>2792</v>
      </c>
      <c r="D715" s="9" t="n">
        <v>21</v>
      </c>
      <c r="E715" s="10" t="s">
        <v>117</v>
      </c>
      <c r="F715" s="10" t="s">
        <v>210</v>
      </c>
      <c r="G715" s="10" t="s">
        <v>748</v>
      </c>
      <c r="H715" s="16" t="n">
        <v>7</v>
      </c>
      <c r="I715" s="17" t="s">
        <v>2407</v>
      </c>
      <c r="J715" s="18" t="s">
        <v>2794</v>
      </c>
      <c r="K715" s="13" t="s">
        <v>2795</v>
      </c>
      <c r="L715" s="12" t="s">
        <v>222</v>
      </c>
      <c r="M715" s="12" t="s">
        <v>1102</v>
      </c>
      <c r="N715" s="12" t="s">
        <v>306</v>
      </c>
    </row>
    <row r="716" customFormat="false" ht="53" hidden="false" customHeight="false" outlineLevel="0" collapsed="false">
      <c r="A716" s="14" t="s">
        <v>2796</v>
      </c>
      <c r="B716" s="15" t="s">
        <v>2797</v>
      </c>
      <c r="C716" s="14" t="s">
        <v>2796</v>
      </c>
      <c r="D716" s="9" t="n">
        <v>6</v>
      </c>
      <c r="E716" s="9" t="s">
        <v>180</v>
      </c>
      <c r="F716" s="10" t="s">
        <v>764</v>
      </c>
      <c r="G716" s="10" t="s">
        <v>764</v>
      </c>
      <c r="H716" s="16" t="n">
        <v>7</v>
      </c>
      <c r="I716" s="17" t="s">
        <v>2407</v>
      </c>
      <c r="J716" s="18" t="s">
        <v>2798</v>
      </c>
      <c r="K716" s="11" t="s">
        <v>2799</v>
      </c>
      <c r="L716" s="12" t="s">
        <v>222</v>
      </c>
      <c r="M716" s="12" t="s">
        <v>1102</v>
      </c>
      <c r="N716" s="12" t="s">
        <v>306</v>
      </c>
    </row>
    <row r="717" customFormat="false" ht="61.5" hidden="false" customHeight="false" outlineLevel="0" collapsed="false">
      <c r="A717" s="14" t="s">
        <v>2800</v>
      </c>
      <c r="B717" s="15" t="s">
        <v>2801</v>
      </c>
      <c r="C717" s="14" t="s">
        <v>2800</v>
      </c>
      <c r="D717" s="9" t="n">
        <v>10</v>
      </c>
      <c r="E717" s="9" t="s">
        <v>142</v>
      </c>
      <c r="F717" s="10" t="s">
        <v>768</v>
      </c>
      <c r="G717" s="10" t="s">
        <v>769</v>
      </c>
      <c r="H717" s="16" t="n">
        <v>7</v>
      </c>
      <c r="I717" s="17" t="s">
        <v>2407</v>
      </c>
      <c r="J717" s="18" t="s">
        <v>2802</v>
      </c>
      <c r="K717" s="13" t="s">
        <v>2803</v>
      </c>
      <c r="L717" s="12" t="s">
        <v>222</v>
      </c>
      <c r="M717" s="12" t="s">
        <v>1102</v>
      </c>
      <c r="N717" s="12" t="s">
        <v>817</v>
      </c>
    </row>
    <row r="718" customFormat="false" ht="27.5" hidden="false" customHeight="false" outlineLevel="0" collapsed="false">
      <c r="A718" s="20" t="s">
        <v>2804</v>
      </c>
      <c r="B718" s="15" t="s">
        <v>2805</v>
      </c>
      <c r="C718" s="20" t="s">
        <v>2804</v>
      </c>
      <c r="D718" s="9" t="n">
        <v>10</v>
      </c>
      <c r="E718" s="9" t="s">
        <v>142</v>
      </c>
      <c r="F718" s="10" t="s">
        <v>768</v>
      </c>
      <c r="G718" s="10" t="s">
        <v>769</v>
      </c>
      <c r="H718" s="16" t="n">
        <v>7</v>
      </c>
      <c r="I718" s="17" t="s">
        <v>2407</v>
      </c>
      <c r="J718" s="13" t="s">
        <v>2806</v>
      </c>
      <c r="K718" s="13" t="s">
        <v>2807</v>
      </c>
      <c r="L718" s="12" t="s">
        <v>222</v>
      </c>
      <c r="M718" s="12" t="s">
        <v>1102</v>
      </c>
      <c r="N718" s="12" t="s">
        <v>817</v>
      </c>
    </row>
    <row r="719" customFormat="false" ht="36" hidden="false" customHeight="false" outlineLevel="0" collapsed="false">
      <c r="A719" s="7" t="s">
        <v>2808</v>
      </c>
      <c r="B719" s="8" t="s">
        <v>2809</v>
      </c>
      <c r="C719" s="7" t="s">
        <v>2808</v>
      </c>
      <c r="D719" s="9" t="n">
        <v>9</v>
      </c>
      <c r="E719" s="10" t="s">
        <v>113</v>
      </c>
      <c r="F719" s="10" t="s">
        <v>774</v>
      </c>
      <c r="G719" s="10" t="s">
        <v>774</v>
      </c>
      <c r="H719" s="16" t="n">
        <v>7</v>
      </c>
      <c r="I719" s="17" t="s">
        <v>2407</v>
      </c>
      <c r="J719" s="12" t="s">
        <v>2810</v>
      </c>
      <c r="K719" s="13" t="s">
        <v>2811</v>
      </c>
      <c r="L719" s="12" t="s">
        <v>222</v>
      </c>
      <c r="M719" s="12" t="s">
        <v>1102</v>
      </c>
      <c r="N719" s="12" t="s">
        <v>817</v>
      </c>
    </row>
    <row r="720" customFormat="false" ht="27.5" hidden="false" customHeight="false" outlineLevel="0" collapsed="false">
      <c r="A720" s="7" t="s">
        <v>2812</v>
      </c>
      <c r="B720" s="8" t="s">
        <v>2813</v>
      </c>
      <c r="C720" s="7" t="s">
        <v>2812</v>
      </c>
      <c r="D720" s="9" t="n">
        <v>9</v>
      </c>
      <c r="E720" s="10" t="s">
        <v>113</v>
      </c>
      <c r="F720" s="10" t="s">
        <v>774</v>
      </c>
      <c r="G720" s="10" t="s">
        <v>774</v>
      </c>
      <c r="H720" s="16" t="n">
        <v>7</v>
      </c>
      <c r="I720" s="17" t="s">
        <v>2407</v>
      </c>
      <c r="J720" s="13" t="s">
        <v>2814</v>
      </c>
      <c r="K720" s="13" t="s">
        <v>2815</v>
      </c>
      <c r="L720" s="12" t="s">
        <v>222</v>
      </c>
      <c r="M720" s="12" t="s">
        <v>1102</v>
      </c>
      <c r="N720" s="12" t="s">
        <v>817</v>
      </c>
    </row>
    <row r="721" customFormat="false" ht="27.5" hidden="false" customHeight="false" outlineLevel="0" collapsed="false">
      <c r="A721" s="20" t="s">
        <v>2816</v>
      </c>
      <c r="B721" s="15" t="s">
        <v>2813</v>
      </c>
      <c r="C721" s="20" t="s">
        <v>2816</v>
      </c>
      <c r="D721" s="9" t="n">
        <v>9</v>
      </c>
      <c r="E721" s="10" t="s">
        <v>113</v>
      </c>
      <c r="F721" s="10" t="s">
        <v>774</v>
      </c>
      <c r="G721" s="10" t="s">
        <v>774</v>
      </c>
      <c r="H721" s="16" t="n">
        <v>7</v>
      </c>
      <c r="I721" s="17" t="s">
        <v>2407</v>
      </c>
      <c r="J721" s="13" t="s">
        <v>2814</v>
      </c>
      <c r="K721" s="13" t="s">
        <v>2815</v>
      </c>
      <c r="L721" s="12" t="s">
        <v>222</v>
      </c>
      <c r="M721" s="12" t="s">
        <v>1102</v>
      </c>
      <c r="N721" s="12" t="s">
        <v>817</v>
      </c>
    </row>
    <row r="722" customFormat="false" ht="27.5" hidden="false" customHeight="false" outlineLevel="0" collapsed="false">
      <c r="A722" s="7" t="s">
        <v>2817</v>
      </c>
      <c r="B722" s="8" t="s">
        <v>2818</v>
      </c>
      <c r="C722" s="7" t="s">
        <v>2817</v>
      </c>
      <c r="D722" s="9" t="n">
        <v>9</v>
      </c>
      <c r="E722" s="10" t="s">
        <v>113</v>
      </c>
      <c r="F722" s="10" t="s">
        <v>774</v>
      </c>
      <c r="G722" s="10" t="s">
        <v>774</v>
      </c>
      <c r="H722" s="16" t="n">
        <v>7</v>
      </c>
      <c r="I722" s="17" t="s">
        <v>2407</v>
      </c>
      <c r="J722" s="12" t="s">
        <v>2819</v>
      </c>
      <c r="K722" s="12" t="s">
        <v>2820</v>
      </c>
      <c r="L722" s="12" t="s">
        <v>222</v>
      </c>
      <c r="M722" s="12" t="s">
        <v>1102</v>
      </c>
      <c r="N722" s="12" t="s">
        <v>817</v>
      </c>
    </row>
    <row r="723" customFormat="false" ht="27.5" hidden="false" customHeight="false" outlineLevel="0" collapsed="false">
      <c r="A723" s="20" t="s">
        <v>2821</v>
      </c>
      <c r="B723" s="15" t="s">
        <v>2822</v>
      </c>
      <c r="C723" s="20" t="s">
        <v>2821</v>
      </c>
      <c r="D723" s="9" t="n">
        <v>3</v>
      </c>
      <c r="E723" s="9" t="s">
        <v>39</v>
      </c>
      <c r="F723" s="10" t="s">
        <v>127</v>
      </c>
      <c r="G723" s="10" t="s">
        <v>127</v>
      </c>
      <c r="H723" s="16" t="n">
        <v>7</v>
      </c>
      <c r="I723" s="17" t="s">
        <v>2407</v>
      </c>
      <c r="J723" s="13" t="s">
        <v>2823</v>
      </c>
      <c r="K723" s="13" t="s">
        <v>2824</v>
      </c>
      <c r="L723" s="12" t="s">
        <v>222</v>
      </c>
      <c r="M723" s="12" t="s">
        <v>1102</v>
      </c>
      <c r="N723" s="12" t="s">
        <v>23</v>
      </c>
    </row>
    <row r="724" customFormat="false" ht="36" hidden="false" customHeight="false" outlineLevel="0" collapsed="false">
      <c r="A724" s="14" t="s">
        <v>2825</v>
      </c>
      <c r="B724" s="15" t="s">
        <v>2826</v>
      </c>
      <c r="C724" s="14" t="s">
        <v>2825</v>
      </c>
      <c r="D724" s="9" t="n">
        <v>2</v>
      </c>
      <c r="E724" s="9" t="s">
        <v>226</v>
      </c>
      <c r="F724" s="10" t="s">
        <v>1427</v>
      </c>
      <c r="G724" s="10" t="s">
        <v>1428</v>
      </c>
      <c r="H724" s="16" t="n">
        <v>7</v>
      </c>
      <c r="I724" s="17" t="s">
        <v>2407</v>
      </c>
      <c r="J724" s="18" t="s">
        <v>2827</v>
      </c>
      <c r="K724" s="13" t="s">
        <v>2828</v>
      </c>
      <c r="L724" s="12" t="s">
        <v>222</v>
      </c>
      <c r="M724" s="12" t="s">
        <v>1758</v>
      </c>
      <c r="N724" s="12" t="s">
        <v>817</v>
      </c>
    </row>
    <row r="725" customFormat="false" ht="27.5" hidden="false" customHeight="false" outlineLevel="0" collapsed="false">
      <c r="A725" s="20" t="s">
        <v>2829</v>
      </c>
      <c r="B725" s="15" t="s">
        <v>2830</v>
      </c>
      <c r="C725" s="20" t="s">
        <v>2829</v>
      </c>
      <c r="D725" s="9" t="n">
        <v>5</v>
      </c>
      <c r="E725" s="9" t="s">
        <v>63</v>
      </c>
      <c r="F725" s="10" t="s">
        <v>134</v>
      </c>
      <c r="G725" s="10" t="s">
        <v>2168</v>
      </c>
      <c r="H725" s="16" t="n">
        <v>7</v>
      </c>
      <c r="I725" s="17" t="s">
        <v>2407</v>
      </c>
      <c r="J725" s="13" t="s">
        <v>2831</v>
      </c>
      <c r="K725" s="13" t="s">
        <v>2832</v>
      </c>
      <c r="L725" s="12" t="s">
        <v>222</v>
      </c>
      <c r="M725" s="12" t="s">
        <v>1102</v>
      </c>
      <c r="N725" s="12" t="s">
        <v>817</v>
      </c>
    </row>
    <row r="726" customFormat="false" ht="27.5" hidden="false" customHeight="false" outlineLevel="0" collapsed="false">
      <c r="A726" s="20" t="s">
        <v>2833</v>
      </c>
      <c r="B726" s="15" t="s">
        <v>2834</v>
      </c>
      <c r="C726" s="20" t="s">
        <v>2833</v>
      </c>
      <c r="D726" s="9" t="n">
        <v>5</v>
      </c>
      <c r="E726" s="9" t="s">
        <v>63</v>
      </c>
      <c r="F726" s="10" t="s">
        <v>134</v>
      </c>
      <c r="G726" s="10" t="s">
        <v>2168</v>
      </c>
      <c r="H726" s="16" t="n">
        <v>7</v>
      </c>
      <c r="I726" s="17" t="s">
        <v>2407</v>
      </c>
      <c r="J726" s="13" t="s">
        <v>2835</v>
      </c>
      <c r="K726" s="13" t="s">
        <v>2836</v>
      </c>
      <c r="L726" s="12" t="s">
        <v>222</v>
      </c>
      <c r="M726" s="12" t="s">
        <v>1102</v>
      </c>
      <c r="N726" s="12" t="s">
        <v>817</v>
      </c>
    </row>
    <row r="727" customFormat="false" ht="36" hidden="false" customHeight="false" outlineLevel="0" collapsed="false">
      <c r="A727" s="7" t="s">
        <v>2837</v>
      </c>
      <c r="B727" s="8" t="s">
        <v>2838</v>
      </c>
      <c r="C727" s="7" t="s">
        <v>2837</v>
      </c>
      <c r="D727" s="9" t="n">
        <v>5</v>
      </c>
      <c r="E727" s="10" t="s">
        <v>63</v>
      </c>
      <c r="F727" s="10" t="s">
        <v>134</v>
      </c>
      <c r="G727" s="10" t="s">
        <v>134</v>
      </c>
      <c r="H727" s="16" t="n">
        <v>7</v>
      </c>
      <c r="I727" s="17" t="s">
        <v>2407</v>
      </c>
      <c r="J727" s="12" t="s">
        <v>2839</v>
      </c>
      <c r="K727" s="13" t="s">
        <v>2840</v>
      </c>
      <c r="L727" s="12" t="s">
        <v>222</v>
      </c>
      <c r="M727" s="12" t="s">
        <v>1758</v>
      </c>
      <c r="N727" s="12" t="s">
        <v>817</v>
      </c>
    </row>
    <row r="728" customFormat="false" ht="27.5" hidden="false" customHeight="false" outlineLevel="0" collapsed="false">
      <c r="A728" s="20" t="s">
        <v>2841</v>
      </c>
      <c r="B728" s="15" t="s">
        <v>2842</v>
      </c>
      <c r="C728" s="20" t="s">
        <v>2841</v>
      </c>
      <c r="D728" s="9" t="n">
        <v>5</v>
      </c>
      <c r="E728" s="9" t="s">
        <v>63</v>
      </c>
      <c r="F728" s="10" t="s">
        <v>134</v>
      </c>
      <c r="G728" s="10" t="s">
        <v>134</v>
      </c>
      <c r="H728" s="16" t="n">
        <v>7</v>
      </c>
      <c r="I728" s="17" t="s">
        <v>2407</v>
      </c>
      <c r="J728" s="13" t="s">
        <v>2843</v>
      </c>
      <c r="K728" s="13" t="s">
        <v>2840</v>
      </c>
      <c r="L728" s="12" t="s">
        <v>222</v>
      </c>
      <c r="M728" s="12" t="s">
        <v>1102</v>
      </c>
      <c r="N728" s="12" t="s">
        <v>817</v>
      </c>
    </row>
    <row r="729" customFormat="false" ht="19" hidden="false" customHeight="false" outlineLevel="0" collapsed="false">
      <c r="A729" s="7" t="s">
        <v>2844</v>
      </c>
      <c r="B729" s="8" t="s">
        <v>2845</v>
      </c>
      <c r="C729" s="7" t="s">
        <v>2844</v>
      </c>
      <c r="D729" s="9" t="n">
        <v>20</v>
      </c>
      <c r="E729" s="9" t="s">
        <v>53</v>
      </c>
      <c r="F729" s="10" t="s">
        <v>349</v>
      </c>
      <c r="G729" s="10" t="s">
        <v>134</v>
      </c>
      <c r="H729" s="16" t="n">
        <v>7</v>
      </c>
      <c r="I729" s="17" t="s">
        <v>2407</v>
      </c>
      <c r="J729" s="12" t="s">
        <v>2846</v>
      </c>
      <c r="K729" s="13" t="s">
        <v>2847</v>
      </c>
      <c r="L729" s="12" t="s">
        <v>222</v>
      </c>
      <c r="M729" s="12" t="s">
        <v>1102</v>
      </c>
      <c r="N729" s="12" t="s">
        <v>452</v>
      </c>
    </row>
    <row r="730" customFormat="false" ht="78.5" hidden="false" customHeight="false" outlineLevel="0" collapsed="false">
      <c r="A730" s="14" t="s">
        <v>2848</v>
      </c>
      <c r="B730" s="15" t="s">
        <v>2849</v>
      </c>
      <c r="C730" s="14" t="s">
        <v>2848</v>
      </c>
      <c r="D730" s="9" t="n">
        <v>22</v>
      </c>
      <c r="E730" s="9" t="s">
        <v>47</v>
      </c>
      <c r="F730" s="10" t="s">
        <v>781</v>
      </c>
      <c r="G730" s="10" t="s">
        <v>782</v>
      </c>
      <c r="H730" s="16" t="n">
        <v>7</v>
      </c>
      <c r="I730" s="17" t="s">
        <v>2407</v>
      </c>
      <c r="J730" s="21" t="s">
        <v>2850</v>
      </c>
      <c r="K730" s="13" t="s">
        <v>2851</v>
      </c>
      <c r="L730" s="12" t="s">
        <v>222</v>
      </c>
      <c r="M730" s="12" t="s">
        <v>1102</v>
      </c>
      <c r="N730" s="12" t="s">
        <v>817</v>
      </c>
    </row>
    <row r="731" customFormat="false" ht="78.5" hidden="false" customHeight="false" outlineLevel="0" collapsed="false">
      <c r="A731" s="14" t="s">
        <v>2852</v>
      </c>
      <c r="B731" s="15" t="s">
        <v>2853</v>
      </c>
      <c r="C731" s="14" t="s">
        <v>2852</v>
      </c>
      <c r="D731" s="9" t="n">
        <v>22</v>
      </c>
      <c r="E731" s="9" t="s">
        <v>47</v>
      </c>
      <c r="F731" s="10" t="s">
        <v>781</v>
      </c>
      <c r="G731" s="10" t="s">
        <v>782</v>
      </c>
      <c r="H731" s="16" t="n">
        <v>7</v>
      </c>
      <c r="I731" s="17" t="s">
        <v>2407</v>
      </c>
      <c r="J731" s="21" t="s">
        <v>2854</v>
      </c>
      <c r="K731" s="13" t="s">
        <v>2851</v>
      </c>
      <c r="L731" s="12" t="s">
        <v>222</v>
      </c>
      <c r="M731" s="12" t="s">
        <v>1102</v>
      </c>
      <c r="N731" s="12" t="s">
        <v>306</v>
      </c>
    </row>
    <row r="732" customFormat="false" ht="78.5" hidden="false" customHeight="false" outlineLevel="0" collapsed="false">
      <c r="A732" s="14" t="s">
        <v>2855</v>
      </c>
      <c r="B732" s="15" t="s">
        <v>2856</v>
      </c>
      <c r="C732" s="14" t="s">
        <v>2855</v>
      </c>
      <c r="D732" s="9" t="n">
        <v>22</v>
      </c>
      <c r="E732" s="9" t="s">
        <v>47</v>
      </c>
      <c r="F732" s="10" t="s">
        <v>781</v>
      </c>
      <c r="G732" s="10" t="s">
        <v>786</v>
      </c>
      <c r="H732" s="16" t="n">
        <v>7</v>
      </c>
      <c r="I732" s="17" t="s">
        <v>2407</v>
      </c>
      <c r="J732" s="21" t="s">
        <v>2857</v>
      </c>
      <c r="K732" s="13" t="s">
        <v>2858</v>
      </c>
      <c r="L732" s="12" t="s">
        <v>222</v>
      </c>
      <c r="M732" s="12" t="s">
        <v>1102</v>
      </c>
      <c r="N732" s="12" t="s">
        <v>817</v>
      </c>
    </row>
    <row r="733" customFormat="false" ht="78.5" hidden="false" customHeight="false" outlineLevel="0" collapsed="false">
      <c r="A733" s="14" t="s">
        <v>2859</v>
      </c>
      <c r="B733" s="15" t="s">
        <v>2860</v>
      </c>
      <c r="C733" s="14" t="s">
        <v>2859</v>
      </c>
      <c r="D733" s="9" t="n">
        <v>22</v>
      </c>
      <c r="E733" s="9" t="s">
        <v>47</v>
      </c>
      <c r="F733" s="10" t="s">
        <v>781</v>
      </c>
      <c r="G733" s="10" t="s">
        <v>786</v>
      </c>
      <c r="H733" s="16" t="n">
        <v>7</v>
      </c>
      <c r="I733" s="17" t="s">
        <v>2407</v>
      </c>
      <c r="J733" s="21" t="s">
        <v>2861</v>
      </c>
      <c r="K733" s="13" t="s">
        <v>2858</v>
      </c>
      <c r="L733" s="12" t="s">
        <v>222</v>
      </c>
      <c r="M733" s="12" t="s">
        <v>1102</v>
      </c>
      <c r="N733" s="12" t="s">
        <v>306</v>
      </c>
    </row>
    <row r="734" customFormat="false" ht="19" hidden="false" customHeight="false" outlineLevel="0" collapsed="false">
      <c r="A734" s="7" t="s">
        <v>2862</v>
      </c>
      <c r="B734" s="8" t="s">
        <v>2863</v>
      </c>
      <c r="C734" s="7" t="s">
        <v>2862</v>
      </c>
      <c r="D734" s="9" t="n">
        <v>5</v>
      </c>
      <c r="E734" s="10" t="s">
        <v>63</v>
      </c>
      <c r="F734" s="10" t="s">
        <v>791</v>
      </c>
      <c r="G734" s="10" t="s">
        <v>791</v>
      </c>
      <c r="H734" s="16" t="n">
        <v>7</v>
      </c>
      <c r="I734" s="17" t="s">
        <v>2407</v>
      </c>
      <c r="J734" s="12" t="s">
        <v>2864</v>
      </c>
      <c r="K734" s="13" t="s">
        <v>2865</v>
      </c>
      <c r="L734" s="12" t="s">
        <v>222</v>
      </c>
      <c r="M734" s="12" t="s">
        <v>1758</v>
      </c>
      <c r="N734" s="12" t="s">
        <v>817</v>
      </c>
    </row>
    <row r="735" customFormat="false" ht="36" hidden="false" customHeight="false" outlineLevel="0" collapsed="false">
      <c r="A735" s="14" t="s">
        <v>2866</v>
      </c>
      <c r="B735" s="15" t="s">
        <v>2867</v>
      </c>
      <c r="C735" s="14" t="s">
        <v>2866</v>
      </c>
      <c r="D735" s="9" t="n">
        <v>20</v>
      </c>
      <c r="E735" s="9" t="s">
        <v>55</v>
      </c>
      <c r="F735" s="10" t="s">
        <v>1452</v>
      </c>
      <c r="G735" s="10" t="s">
        <v>1453</v>
      </c>
      <c r="H735" s="16" t="n">
        <v>7</v>
      </c>
      <c r="I735" s="17" t="s">
        <v>2407</v>
      </c>
      <c r="J735" s="18" t="s">
        <v>2868</v>
      </c>
      <c r="K735" s="13" t="s">
        <v>2869</v>
      </c>
      <c r="L735" s="12" t="s">
        <v>1676</v>
      </c>
      <c r="M735" s="12" t="s">
        <v>1102</v>
      </c>
      <c r="N735" s="12" t="s">
        <v>817</v>
      </c>
    </row>
    <row r="736" customFormat="false" ht="27.5" hidden="false" customHeight="false" outlineLevel="0" collapsed="false">
      <c r="A736" s="7" t="s">
        <v>2870</v>
      </c>
      <c r="B736" s="8" t="s">
        <v>2871</v>
      </c>
      <c r="C736" s="7" t="s">
        <v>2870</v>
      </c>
      <c r="D736" s="9" t="n">
        <v>4</v>
      </c>
      <c r="E736" s="10" t="s">
        <v>15</v>
      </c>
      <c r="F736" s="10" t="s">
        <v>138</v>
      </c>
      <c r="G736" s="10" t="s">
        <v>15</v>
      </c>
      <c r="H736" s="16" t="n">
        <v>7</v>
      </c>
      <c r="I736" s="17" t="s">
        <v>2407</v>
      </c>
      <c r="J736" s="12" t="s">
        <v>2872</v>
      </c>
      <c r="K736" s="13" t="s">
        <v>2873</v>
      </c>
      <c r="L736" s="12" t="s">
        <v>222</v>
      </c>
      <c r="M736" s="12" t="s">
        <v>1102</v>
      </c>
      <c r="N736" s="12" t="s">
        <v>306</v>
      </c>
    </row>
    <row r="737" customFormat="false" ht="36" hidden="false" customHeight="false" outlineLevel="0" collapsed="false">
      <c r="A737" s="20" t="s">
        <v>2874</v>
      </c>
      <c r="B737" s="15" t="s">
        <v>2875</v>
      </c>
      <c r="C737" s="20" t="s">
        <v>2874</v>
      </c>
      <c r="D737" s="9" t="n">
        <v>22</v>
      </c>
      <c r="E737" s="9" t="s">
        <v>47</v>
      </c>
      <c r="F737" s="10" t="s">
        <v>855</v>
      </c>
      <c r="G737" s="10" t="s">
        <v>855</v>
      </c>
      <c r="H737" s="16" t="n">
        <v>7</v>
      </c>
      <c r="I737" s="17" t="s">
        <v>2407</v>
      </c>
      <c r="J737" s="13" t="s">
        <v>2876</v>
      </c>
      <c r="K737" s="13" t="s">
        <v>2877</v>
      </c>
      <c r="L737" s="12" t="s">
        <v>222</v>
      </c>
      <c r="M737" s="12" t="s">
        <v>1102</v>
      </c>
      <c r="N737" s="12" t="s">
        <v>452</v>
      </c>
    </row>
    <row r="738" customFormat="false" ht="53" hidden="false" customHeight="false" outlineLevel="0" collapsed="false">
      <c r="A738" s="7" t="s">
        <v>2878</v>
      </c>
      <c r="B738" s="8" t="s">
        <v>2879</v>
      </c>
      <c r="C738" s="7" t="s">
        <v>2878</v>
      </c>
      <c r="D738" s="9" t="n">
        <v>21</v>
      </c>
      <c r="E738" s="10" t="s">
        <v>117</v>
      </c>
      <c r="F738" s="10" t="s">
        <v>747</v>
      </c>
      <c r="G738" s="10" t="s">
        <v>2880</v>
      </c>
      <c r="H738" s="16" t="n">
        <v>7</v>
      </c>
      <c r="I738" s="17" t="s">
        <v>2407</v>
      </c>
      <c r="J738" s="12" t="s">
        <v>2881</v>
      </c>
      <c r="K738" s="13" t="s">
        <v>2882</v>
      </c>
      <c r="L738" s="12" t="s">
        <v>222</v>
      </c>
      <c r="M738" s="12" t="s">
        <v>1102</v>
      </c>
      <c r="N738" s="12" t="s">
        <v>817</v>
      </c>
    </row>
    <row r="739" customFormat="false" ht="44.5" hidden="false" customHeight="false" outlineLevel="0" collapsed="false">
      <c r="A739" s="14" t="s">
        <v>2883</v>
      </c>
      <c r="B739" s="15" t="s">
        <v>2884</v>
      </c>
      <c r="C739" s="14" t="s">
        <v>2883</v>
      </c>
      <c r="D739" s="9" t="n">
        <v>21</v>
      </c>
      <c r="E739" s="10" t="s">
        <v>117</v>
      </c>
      <c r="F739" s="10" t="s">
        <v>747</v>
      </c>
      <c r="G739" s="10" t="s">
        <v>2880</v>
      </c>
      <c r="H739" s="16" t="n">
        <v>7</v>
      </c>
      <c r="I739" s="17" t="s">
        <v>2407</v>
      </c>
      <c r="J739" s="18" t="s">
        <v>2885</v>
      </c>
      <c r="K739" s="13" t="s">
        <v>2886</v>
      </c>
      <c r="L739" s="12" t="s">
        <v>222</v>
      </c>
      <c r="M739" s="12" t="s">
        <v>1102</v>
      </c>
      <c r="N739" s="12" t="s">
        <v>817</v>
      </c>
    </row>
    <row r="740" customFormat="false" ht="112.5" hidden="false" customHeight="false" outlineLevel="0" collapsed="false">
      <c r="A740" s="20" t="s">
        <v>2887</v>
      </c>
      <c r="B740" s="15" t="s">
        <v>2888</v>
      </c>
      <c r="C740" s="20" t="s">
        <v>2887</v>
      </c>
      <c r="D740" s="9" t="n">
        <v>22</v>
      </c>
      <c r="E740" s="9" t="s">
        <v>47</v>
      </c>
      <c r="F740" s="10" t="s">
        <v>801</v>
      </c>
      <c r="G740" s="10" t="s">
        <v>801</v>
      </c>
      <c r="H740" s="16" t="n">
        <v>7</v>
      </c>
      <c r="I740" s="17" t="s">
        <v>2407</v>
      </c>
      <c r="J740" s="13" t="s">
        <v>2889</v>
      </c>
      <c r="K740" s="13" t="s">
        <v>2890</v>
      </c>
      <c r="L740" s="12" t="s">
        <v>222</v>
      </c>
      <c r="M740" s="12" t="s">
        <v>1758</v>
      </c>
      <c r="N740" s="12" t="s">
        <v>817</v>
      </c>
    </row>
    <row r="741" customFormat="false" ht="27.5" hidden="false" customHeight="false" outlineLevel="0" collapsed="false">
      <c r="A741" s="7" t="s">
        <v>2891</v>
      </c>
      <c r="B741" s="8" t="s">
        <v>2892</v>
      </c>
      <c r="C741" s="7" t="s">
        <v>2891</v>
      </c>
      <c r="D741" s="9" t="n">
        <v>5</v>
      </c>
      <c r="E741" s="10" t="s">
        <v>63</v>
      </c>
      <c r="F741" s="10" t="s">
        <v>805</v>
      </c>
      <c r="G741" s="10" t="s">
        <v>805</v>
      </c>
      <c r="H741" s="16" t="n">
        <v>7</v>
      </c>
      <c r="I741" s="17" t="s">
        <v>2407</v>
      </c>
      <c r="J741" s="12" t="s">
        <v>2893</v>
      </c>
      <c r="K741" s="13" t="s">
        <v>2894</v>
      </c>
      <c r="L741" s="12" t="s">
        <v>222</v>
      </c>
      <c r="M741" s="12" t="s">
        <v>1102</v>
      </c>
      <c r="N741" s="12" t="s">
        <v>817</v>
      </c>
    </row>
    <row r="742" customFormat="false" ht="27.5" hidden="false" customHeight="false" outlineLevel="0" collapsed="false">
      <c r="A742" s="20" t="s">
        <v>2895</v>
      </c>
      <c r="B742" s="15" t="s">
        <v>2896</v>
      </c>
      <c r="C742" s="20" t="s">
        <v>2895</v>
      </c>
      <c r="D742" s="9" t="n">
        <v>6</v>
      </c>
      <c r="E742" s="9" t="s">
        <v>180</v>
      </c>
      <c r="F742" s="10" t="s">
        <v>820</v>
      </c>
      <c r="G742" s="10" t="s">
        <v>821</v>
      </c>
      <c r="H742" s="16" t="n">
        <v>7</v>
      </c>
      <c r="I742" s="17" t="s">
        <v>2407</v>
      </c>
      <c r="J742" s="13" t="s">
        <v>2897</v>
      </c>
      <c r="K742" s="13" t="s">
        <v>2898</v>
      </c>
      <c r="L742" s="12" t="s">
        <v>222</v>
      </c>
      <c r="M742" s="12" t="s">
        <v>1102</v>
      </c>
      <c r="N742" s="12" t="s">
        <v>306</v>
      </c>
    </row>
    <row r="743" customFormat="false" ht="27.5" hidden="false" customHeight="false" outlineLevel="0" collapsed="false">
      <c r="A743" s="20" t="s">
        <v>2899</v>
      </c>
      <c r="B743" s="15" t="s">
        <v>2900</v>
      </c>
      <c r="C743" s="20" t="s">
        <v>2899</v>
      </c>
      <c r="D743" s="9" t="n">
        <v>10</v>
      </c>
      <c r="E743" s="9" t="s">
        <v>142</v>
      </c>
      <c r="F743" s="10" t="s">
        <v>826</v>
      </c>
      <c r="G743" s="10" t="s">
        <v>826</v>
      </c>
      <c r="H743" s="16" t="n">
        <v>7</v>
      </c>
      <c r="I743" s="17" t="s">
        <v>2407</v>
      </c>
      <c r="J743" s="13" t="s">
        <v>2901</v>
      </c>
      <c r="K743" s="13" t="s">
        <v>2902</v>
      </c>
      <c r="L743" s="12" t="s">
        <v>222</v>
      </c>
      <c r="M743" s="12" t="s">
        <v>1758</v>
      </c>
      <c r="N743" s="12" t="s">
        <v>306</v>
      </c>
    </row>
    <row r="744" customFormat="false" ht="19" hidden="false" customHeight="false" outlineLevel="0" collapsed="false">
      <c r="A744" s="7" t="s">
        <v>2903</v>
      </c>
      <c r="B744" s="8" t="s">
        <v>2904</v>
      </c>
      <c r="C744" s="7" t="s">
        <v>2903</v>
      </c>
      <c r="D744" s="9" t="n">
        <v>10</v>
      </c>
      <c r="E744" s="10" t="s">
        <v>142</v>
      </c>
      <c r="F744" s="10" t="s">
        <v>826</v>
      </c>
      <c r="G744" s="10" t="s">
        <v>826</v>
      </c>
      <c r="H744" s="16" t="n">
        <v>7</v>
      </c>
      <c r="I744" s="17" t="s">
        <v>2407</v>
      </c>
      <c r="J744" s="12" t="s">
        <v>2905</v>
      </c>
      <c r="K744" s="13" t="s">
        <v>2195</v>
      </c>
      <c r="L744" s="12" t="s">
        <v>222</v>
      </c>
      <c r="M744" s="12" t="s">
        <v>1102</v>
      </c>
      <c r="N744" s="12" t="s">
        <v>306</v>
      </c>
    </row>
    <row r="745" customFormat="false" ht="19" hidden="false" customHeight="false" outlineLevel="0" collapsed="false">
      <c r="A745" s="7" t="s">
        <v>2906</v>
      </c>
      <c r="B745" s="8" t="s">
        <v>2907</v>
      </c>
      <c r="C745" s="7" t="s">
        <v>2906</v>
      </c>
      <c r="D745" s="9" t="n">
        <v>10</v>
      </c>
      <c r="E745" s="10" t="s">
        <v>142</v>
      </c>
      <c r="F745" s="10" t="s">
        <v>826</v>
      </c>
      <c r="G745" s="10" t="s">
        <v>826</v>
      </c>
      <c r="H745" s="16" t="n">
        <v>7</v>
      </c>
      <c r="I745" s="17" t="s">
        <v>2407</v>
      </c>
      <c r="J745" s="12" t="s">
        <v>2908</v>
      </c>
      <c r="K745" s="13" t="s">
        <v>2195</v>
      </c>
      <c r="L745" s="12" t="s">
        <v>1676</v>
      </c>
      <c r="M745" s="12" t="s">
        <v>1102</v>
      </c>
      <c r="N745" s="12" t="s">
        <v>306</v>
      </c>
    </row>
    <row r="746" customFormat="false" ht="36" hidden="false" customHeight="false" outlineLevel="0" collapsed="false">
      <c r="A746" s="20" t="s">
        <v>2909</v>
      </c>
      <c r="B746" s="15" t="s">
        <v>2910</v>
      </c>
      <c r="C746" s="20" t="s">
        <v>2909</v>
      </c>
      <c r="D746" s="9" t="n">
        <v>6</v>
      </c>
      <c r="E746" s="9" t="s">
        <v>180</v>
      </c>
      <c r="F746" s="10" t="s">
        <v>830</v>
      </c>
      <c r="G746" s="10" t="s">
        <v>830</v>
      </c>
      <c r="H746" s="16" t="n">
        <v>7</v>
      </c>
      <c r="I746" s="17" t="s">
        <v>2407</v>
      </c>
      <c r="J746" s="13" t="s">
        <v>2911</v>
      </c>
      <c r="K746" s="13" t="s">
        <v>2912</v>
      </c>
      <c r="L746" s="12" t="s">
        <v>222</v>
      </c>
      <c r="M746" s="12" t="s">
        <v>1102</v>
      </c>
      <c r="N746" s="12" t="s">
        <v>306</v>
      </c>
    </row>
    <row r="747" customFormat="false" ht="27.5" hidden="false" customHeight="false" outlineLevel="0" collapsed="false">
      <c r="A747" s="7" t="s">
        <v>2913</v>
      </c>
      <c r="B747" s="8" t="s">
        <v>2914</v>
      </c>
      <c r="C747" s="7" t="s">
        <v>2913</v>
      </c>
      <c r="D747" s="9" t="n">
        <v>6</v>
      </c>
      <c r="E747" s="10" t="s">
        <v>180</v>
      </c>
      <c r="F747" s="10" t="s">
        <v>830</v>
      </c>
      <c r="G747" s="10" t="s">
        <v>830</v>
      </c>
      <c r="H747" s="16" t="n">
        <v>7</v>
      </c>
      <c r="I747" s="17" t="s">
        <v>2407</v>
      </c>
      <c r="J747" s="12" t="s">
        <v>2915</v>
      </c>
      <c r="K747" s="13" t="s">
        <v>2683</v>
      </c>
      <c r="L747" s="12" t="s">
        <v>1676</v>
      </c>
      <c r="M747" s="12" t="s">
        <v>1102</v>
      </c>
      <c r="N747" s="12" t="s">
        <v>817</v>
      </c>
    </row>
    <row r="748" customFormat="false" ht="36" hidden="false" customHeight="false" outlineLevel="0" collapsed="false">
      <c r="A748" s="7" t="s">
        <v>2916</v>
      </c>
      <c r="B748" s="8" t="s">
        <v>2917</v>
      </c>
      <c r="C748" s="7" t="s">
        <v>2916</v>
      </c>
      <c r="D748" s="9" t="n">
        <v>10</v>
      </c>
      <c r="E748" s="10" t="s">
        <v>142</v>
      </c>
      <c r="F748" s="10" t="s">
        <v>143</v>
      </c>
      <c r="G748" s="10" t="s">
        <v>143</v>
      </c>
      <c r="H748" s="16" t="n">
        <v>7</v>
      </c>
      <c r="I748" s="17" t="s">
        <v>2407</v>
      </c>
      <c r="J748" s="12" t="s">
        <v>2918</v>
      </c>
      <c r="K748" s="13" t="s">
        <v>2919</v>
      </c>
      <c r="L748" s="12" t="s">
        <v>222</v>
      </c>
      <c r="M748" s="12" t="s">
        <v>1102</v>
      </c>
      <c r="N748" s="12" t="s">
        <v>306</v>
      </c>
    </row>
    <row r="749" customFormat="false" ht="36" hidden="false" customHeight="false" outlineLevel="0" collapsed="false">
      <c r="A749" s="7" t="s">
        <v>2920</v>
      </c>
      <c r="B749" s="8" t="s">
        <v>2921</v>
      </c>
      <c r="C749" s="7" t="s">
        <v>2920</v>
      </c>
      <c r="D749" s="9" t="n">
        <v>10</v>
      </c>
      <c r="E749" s="10" t="s">
        <v>142</v>
      </c>
      <c r="F749" s="10" t="s">
        <v>143</v>
      </c>
      <c r="G749" s="10" t="s">
        <v>143</v>
      </c>
      <c r="H749" s="16" t="n">
        <v>7</v>
      </c>
      <c r="I749" s="17" t="s">
        <v>2407</v>
      </c>
      <c r="J749" s="12" t="s">
        <v>2922</v>
      </c>
      <c r="K749" s="13" t="s">
        <v>2923</v>
      </c>
      <c r="L749" s="12" t="s">
        <v>222</v>
      </c>
      <c r="M749" s="12" t="s">
        <v>1102</v>
      </c>
      <c r="N749" s="12" t="s">
        <v>306</v>
      </c>
    </row>
    <row r="750" customFormat="false" ht="27.5" hidden="false" customHeight="false" outlineLevel="0" collapsed="false">
      <c r="A750" s="7" t="s">
        <v>2924</v>
      </c>
      <c r="B750" s="8" t="s">
        <v>2925</v>
      </c>
      <c r="C750" s="7" t="s">
        <v>2924</v>
      </c>
      <c r="D750" s="9" t="n">
        <v>10</v>
      </c>
      <c r="E750" s="10" t="s">
        <v>142</v>
      </c>
      <c r="F750" s="10" t="s">
        <v>143</v>
      </c>
      <c r="G750" s="10" t="s">
        <v>143</v>
      </c>
      <c r="H750" s="16" t="n">
        <v>7</v>
      </c>
      <c r="I750" s="17" t="s">
        <v>2407</v>
      </c>
      <c r="J750" s="12" t="s">
        <v>2926</v>
      </c>
      <c r="K750" s="13" t="s">
        <v>2927</v>
      </c>
      <c r="L750" s="12" t="s">
        <v>222</v>
      </c>
      <c r="M750" s="12" t="s">
        <v>1102</v>
      </c>
      <c r="N750" s="12" t="s">
        <v>306</v>
      </c>
    </row>
    <row r="751" customFormat="false" ht="78.5" hidden="false" customHeight="false" outlineLevel="0" collapsed="false">
      <c r="A751" s="20" t="s">
        <v>2928</v>
      </c>
      <c r="B751" s="15" t="s">
        <v>2929</v>
      </c>
      <c r="C751" s="20" t="s">
        <v>2928</v>
      </c>
      <c r="D751" s="9" t="n">
        <v>22</v>
      </c>
      <c r="E751" s="9" t="s">
        <v>47</v>
      </c>
      <c r="F751" s="10" t="s">
        <v>147</v>
      </c>
      <c r="G751" s="10" t="s">
        <v>147</v>
      </c>
      <c r="H751" s="16" t="n">
        <v>7</v>
      </c>
      <c r="I751" s="17" t="s">
        <v>2407</v>
      </c>
      <c r="J751" s="13" t="s">
        <v>2930</v>
      </c>
      <c r="K751" s="13" t="s">
        <v>2931</v>
      </c>
      <c r="L751" s="12" t="s">
        <v>222</v>
      </c>
      <c r="M751" s="12" t="s">
        <v>1102</v>
      </c>
      <c r="N751" s="12" t="s">
        <v>306</v>
      </c>
    </row>
    <row r="752" customFormat="false" ht="27.5" hidden="false" customHeight="false" outlineLevel="0" collapsed="false">
      <c r="A752" s="20" t="s">
        <v>2932</v>
      </c>
      <c r="B752" s="15" t="s">
        <v>2933</v>
      </c>
      <c r="C752" s="20" t="s">
        <v>2932</v>
      </c>
      <c r="D752" s="9" t="n">
        <v>22</v>
      </c>
      <c r="E752" s="9" t="s">
        <v>47</v>
      </c>
      <c r="F752" s="10" t="s">
        <v>863</v>
      </c>
      <c r="G752" s="10" t="s">
        <v>863</v>
      </c>
      <c r="H752" s="16" t="n">
        <v>7</v>
      </c>
      <c r="I752" s="17" t="s">
        <v>2407</v>
      </c>
      <c r="J752" s="13" t="s">
        <v>2934</v>
      </c>
      <c r="K752" s="13" t="s">
        <v>2935</v>
      </c>
      <c r="L752" s="12" t="s">
        <v>222</v>
      </c>
      <c r="M752" s="12" t="s">
        <v>1102</v>
      </c>
      <c r="N752" s="12" t="s">
        <v>452</v>
      </c>
    </row>
    <row r="753" customFormat="false" ht="27.5" hidden="false" customHeight="false" outlineLevel="0" collapsed="false">
      <c r="A753" s="7" t="s">
        <v>2936</v>
      </c>
      <c r="B753" s="8" t="s">
        <v>2937</v>
      </c>
      <c r="C753" s="7" t="s">
        <v>2936</v>
      </c>
      <c r="D753" s="9" t="n">
        <v>5</v>
      </c>
      <c r="E753" s="10" t="s">
        <v>63</v>
      </c>
      <c r="F753" s="10" t="s">
        <v>1514</v>
      </c>
      <c r="G753" s="10" t="s">
        <v>1514</v>
      </c>
      <c r="H753" s="16" t="n">
        <v>7</v>
      </c>
      <c r="I753" s="17" t="s">
        <v>2407</v>
      </c>
      <c r="J753" s="12" t="s">
        <v>1433</v>
      </c>
      <c r="K753" s="12" t="s">
        <v>2938</v>
      </c>
      <c r="L753" s="12" t="s">
        <v>222</v>
      </c>
      <c r="M753" s="12" t="s">
        <v>1758</v>
      </c>
      <c r="N753" s="12" t="s">
        <v>817</v>
      </c>
    </row>
    <row r="754" customFormat="false" ht="36" hidden="false" customHeight="false" outlineLevel="0" collapsed="false">
      <c r="A754" s="20" t="s">
        <v>2939</v>
      </c>
      <c r="B754" s="15" t="s">
        <v>2940</v>
      </c>
      <c r="C754" s="20" t="s">
        <v>2939</v>
      </c>
      <c r="D754" s="9" t="n">
        <v>3</v>
      </c>
      <c r="E754" s="9" t="s">
        <v>39</v>
      </c>
      <c r="F754" s="10" t="s">
        <v>867</v>
      </c>
      <c r="G754" s="10" t="s">
        <v>867</v>
      </c>
      <c r="H754" s="16" t="n">
        <v>7</v>
      </c>
      <c r="I754" s="17" t="s">
        <v>2407</v>
      </c>
      <c r="J754" s="13" t="s">
        <v>2941</v>
      </c>
      <c r="K754" s="12" t="s">
        <v>2942</v>
      </c>
      <c r="L754" s="12" t="s">
        <v>222</v>
      </c>
      <c r="M754" s="12" t="s">
        <v>1102</v>
      </c>
      <c r="N754" s="12" t="s">
        <v>817</v>
      </c>
    </row>
    <row r="755" customFormat="false" ht="44.5" hidden="false" customHeight="false" outlineLevel="0" collapsed="false">
      <c r="A755" s="14" t="s">
        <v>2943</v>
      </c>
      <c r="B755" s="15" t="s">
        <v>2944</v>
      </c>
      <c r="C755" s="14" t="s">
        <v>2943</v>
      </c>
      <c r="D755" s="9" t="n">
        <v>23</v>
      </c>
      <c r="E755" s="10" t="s">
        <v>441</v>
      </c>
      <c r="F755" s="10" t="s">
        <v>455</v>
      </c>
      <c r="G755" s="10" t="s">
        <v>1523</v>
      </c>
      <c r="H755" s="16" t="n">
        <v>7</v>
      </c>
      <c r="I755" s="17" t="s">
        <v>2407</v>
      </c>
      <c r="J755" s="18" t="s">
        <v>2945</v>
      </c>
      <c r="K755" s="13" t="s">
        <v>2946</v>
      </c>
      <c r="L755" s="12" t="s">
        <v>1903</v>
      </c>
      <c r="M755" s="12" t="s">
        <v>1824</v>
      </c>
      <c r="N755" s="12" t="s">
        <v>817</v>
      </c>
    </row>
    <row r="756" customFormat="false" ht="36" hidden="false" customHeight="false" outlineLevel="0" collapsed="false">
      <c r="A756" s="14" t="s">
        <v>2947</v>
      </c>
      <c r="B756" s="15" t="s">
        <v>2948</v>
      </c>
      <c r="C756" s="14" t="s">
        <v>2947</v>
      </c>
      <c r="D756" s="9" t="n">
        <v>23</v>
      </c>
      <c r="E756" s="10" t="s">
        <v>441</v>
      </c>
      <c r="F756" s="10" t="s">
        <v>455</v>
      </c>
      <c r="G756" s="10" t="s">
        <v>1523</v>
      </c>
      <c r="H756" s="16" t="n">
        <v>7</v>
      </c>
      <c r="I756" s="17" t="s">
        <v>2407</v>
      </c>
      <c r="J756" s="18" t="s">
        <v>2949</v>
      </c>
      <c r="K756" s="13" t="s">
        <v>2946</v>
      </c>
      <c r="L756" s="12" t="s">
        <v>1903</v>
      </c>
      <c r="M756" s="12" t="s">
        <v>1824</v>
      </c>
      <c r="N756" s="12" t="s">
        <v>817</v>
      </c>
    </row>
    <row r="757" customFormat="false" ht="36" hidden="false" customHeight="false" outlineLevel="0" collapsed="false">
      <c r="A757" s="14" t="s">
        <v>2950</v>
      </c>
      <c r="B757" s="15" t="s">
        <v>2951</v>
      </c>
      <c r="C757" s="14" t="s">
        <v>2950</v>
      </c>
      <c r="D757" s="9" t="n">
        <v>23</v>
      </c>
      <c r="E757" s="10" t="s">
        <v>441</v>
      </c>
      <c r="F757" s="10" t="s">
        <v>459</v>
      </c>
      <c r="G757" s="10" t="s">
        <v>1523</v>
      </c>
      <c r="H757" s="16" t="n">
        <v>7</v>
      </c>
      <c r="I757" s="17" t="s">
        <v>2407</v>
      </c>
      <c r="J757" s="18" t="s">
        <v>2952</v>
      </c>
      <c r="K757" s="13" t="s">
        <v>2953</v>
      </c>
      <c r="L757" s="12" t="s">
        <v>1903</v>
      </c>
      <c r="M757" s="12" t="s">
        <v>1824</v>
      </c>
      <c r="N757" s="12" t="s">
        <v>817</v>
      </c>
    </row>
    <row r="758" customFormat="false" ht="36" hidden="false" customHeight="false" outlineLevel="0" collapsed="false">
      <c r="A758" s="14" t="s">
        <v>2954</v>
      </c>
      <c r="B758" s="15" t="s">
        <v>2955</v>
      </c>
      <c r="C758" s="14" t="s">
        <v>2954</v>
      </c>
      <c r="D758" s="9" t="n">
        <v>23</v>
      </c>
      <c r="E758" s="10" t="s">
        <v>441</v>
      </c>
      <c r="F758" s="10" t="s">
        <v>455</v>
      </c>
      <c r="G758" s="10" t="s">
        <v>1523</v>
      </c>
      <c r="H758" s="16" t="n">
        <v>7</v>
      </c>
      <c r="I758" s="17" t="s">
        <v>2407</v>
      </c>
      <c r="J758" s="18" t="s">
        <v>2956</v>
      </c>
      <c r="K758" s="13" t="s">
        <v>2946</v>
      </c>
      <c r="L758" s="12" t="s">
        <v>1903</v>
      </c>
      <c r="M758" s="12" t="s">
        <v>1824</v>
      </c>
      <c r="N758" s="12" t="s">
        <v>817</v>
      </c>
    </row>
    <row r="759" customFormat="false" ht="53" hidden="false" customHeight="false" outlineLevel="0" collapsed="false">
      <c r="A759" s="14" t="s">
        <v>2957</v>
      </c>
      <c r="B759" s="15" t="s">
        <v>2958</v>
      </c>
      <c r="C759" s="14" t="s">
        <v>2957</v>
      </c>
      <c r="D759" s="9" t="n">
        <v>23</v>
      </c>
      <c r="E759" s="10" t="s">
        <v>441</v>
      </c>
      <c r="F759" s="10" t="s">
        <v>70</v>
      </c>
      <c r="G759" s="10" t="s">
        <v>1523</v>
      </c>
      <c r="H759" s="16" t="n">
        <v>7</v>
      </c>
      <c r="I759" s="17" t="s">
        <v>2407</v>
      </c>
      <c r="J759" s="18" t="s">
        <v>2959</v>
      </c>
      <c r="K759" s="12" t="s">
        <v>2960</v>
      </c>
      <c r="L759" s="12" t="s">
        <v>1676</v>
      </c>
      <c r="M759" s="12" t="s">
        <v>1102</v>
      </c>
      <c r="N759" s="12" t="s">
        <v>817</v>
      </c>
    </row>
    <row r="760" customFormat="false" ht="19" hidden="false" customHeight="false" outlineLevel="0" collapsed="false">
      <c r="A760" s="20" t="s">
        <v>2961</v>
      </c>
      <c r="B760" s="15" t="s">
        <v>2962</v>
      </c>
      <c r="C760" s="20" t="s">
        <v>2961</v>
      </c>
      <c r="D760" s="9" t="n">
        <v>3</v>
      </c>
      <c r="E760" s="9" t="s">
        <v>39</v>
      </c>
      <c r="F760" s="10" t="s">
        <v>59</v>
      </c>
      <c r="G760" s="10" t="s">
        <v>407</v>
      </c>
      <c r="H760" s="16" t="n">
        <v>7</v>
      </c>
      <c r="I760" s="17" t="s">
        <v>2407</v>
      </c>
      <c r="J760" s="13" t="s">
        <v>2963</v>
      </c>
      <c r="K760" s="13" t="s">
        <v>2964</v>
      </c>
      <c r="L760" s="12" t="s">
        <v>222</v>
      </c>
      <c r="M760" s="12" t="s">
        <v>1102</v>
      </c>
      <c r="N760" s="12" t="s">
        <v>817</v>
      </c>
    </row>
    <row r="761" customFormat="false" ht="27.5" hidden="false" customHeight="false" outlineLevel="0" collapsed="false">
      <c r="A761" s="20" t="s">
        <v>2965</v>
      </c>
      <c r="B761" s="15" t="s">
        <v>2966</v>
      </c>
      <c r="C761" s="20" t="s">
        <v>2965</v>
      </c>
      <c r="D761" s="9" t="n">
        <v>3</v>
      </c>
      <c r="E761" s="9" t="s">
        <v>39</v>
      </c>
      <c r="F761" s="10" t="s">
        <v>59</v>
      </c>
      <c r="G761" s="10" t="s">
        <v>407</v>
      </c>
      <c r="H761" s="16" t="n">
        <v>7</v>
      </c>
      <c r="I761" s="17" t="s">
        <v>2407</v>
      </c>
      <c r="J761" s="13" t="s">
        <v>2967</v>
      </c>
      <c r="K761" s="13" t="s">
        <v>2964</v>
      </c>
      <c r="L761" s="12" t="s">
        <v>222</v>
      </c>
      <c r="M761" s="12" t="s">
        <v>1102</v>
      </c>
      <c r="N761" s="12" t="s">
        <v>817</v>
      </c>
    </row>
    <row r="762" customFormat="false" ht="27.5" hidden="false" customHeight="false" outlineLevel="0" collapsed="false">
      <c r="A762" s="7" t="s">
        <v>2968</v>
      </c>
      <c r="B762" s="8" t="s">
        <v>2969</v>
      </c>
      <c r="C762" s="7" t="s">
        <v>2968</v>
      </c>
      <c r="D762" s="9" t="n">
        <v>10</v>
      </c>
      <c r="E762" s="10" t="s">
        <v>142</v>
      </c>
      <c r="F762" s="10" t="s">
        <v>669</v>
      </c>
      <c r="G762" s="10" t="s">
        <v>1532</v>
      </c>
      <c r="H762" s="16" t="n">
        <v>7</v>
      </c>
      <c r="I762" s="17" t="s">
        <v>2407</v>
      </c>
      <c r="J762" s="12" t="s">
        <v>2970</v>
      </c>
      <c r="K762" s="12" t="s">
        <v>2278</v>
      </c>
      <c r="L762" s="12" t="s">
        <v>1676</v>
      </c>
      <c r="M762" s="12" t="s">
        <v>1526</v>
      </c>
      <c r="N762" s="12" t="s">
        <v>817</v>
      </c>
    </row>
    <row r="763" customFormat="false" ht="36" hidden="false" customHeight="false" outlineLevel="0" collapsed="false">
      <c r="A763" s="14" t="s">
        <v>2971</v>
      </c>
      <c r="B763" s="15" t="s">
        <v>2972</v>
      </c>
      <c r="C763" s="14" t="s">
        <v>2971</v>
      </c>
      <c r="D763" s="9" t="n">
        <v>6</v>
      </c>
      <c r="E763" s="9" t="s">
        <v>180</v>
      </c>
      <c r="F763" s="10" t="s">
        <v>1069</v>
      </c>
      <c r="G763" s="10" t="s">
        <v>1536</v>
      </c>
      <c r="H763" s="16" t="n">
        <v>7</v>
      </c>
      <c r="I763" s="17" t="s">
        <v>2407</v>
      </c>
      <c r="J763" s="18" t="s">
        <v>2973</v>
      </c>
      <c r="K763" s="13" t="s">
        <v>2974</v>
      </c>
      <c r="L763" s="12" t="s">
        <v>1676</v>
      </c>
      <c r="M763" s="12" t="s">
        <v>1102</v>
      </c>
      <c r="N763" s="12" t="s">
        <v>817</v>
      </c>
    </row>
    <row r="764" customFormat="false" ht="44.5" hidden="false" customHeight="false" outlineLevel="0" collapsed="false">
      <c r="A764" s="14" t="s">
        <v>2975</v>
      </c>
      <c r="B764" s="15" t="s">
        <v>2976</v>
      </c>
      <c r="C764" s="14" t="s">
        <v>2975</v>
      </c>
      <c r="D764" s="9" t="n">
        <v>26</v>
      </c>
      <c r="E764" s="10" t="s">
        <v>541</v>
      </c>
      <c r="F764" s="10" t="s">
        <v>2977</v>
      </c>
      <c r="G764" s="10" t="s">
        <v>1536</v>
      </c>
      <c r="H764" s="16" t="n">
        <v>7</v>
      </c>
      <c r="I764" s="17" t="s">
        <v>2407</v>
      </c>
      <c r="J764" s="18" t="s">
        <v>2978</v>
      </c>
      <c r="K764" s="13" t="s">
        <v>2979</v>
      </c>
      <c r="L764" s="12" t="s">
        <v>222</v>
      </c>
      <c r="M764" s="12" t="s">
        <v>1102</v>
      </c>
      <c r="N764" s="12" t="s">
        <v>452</v>
      </c>
    </row>
    <row r="765" customFormat="false" ht="44.5" hidden="false" customHeight="false" outlineLevel="0" collapsed="false">
      <c r="A765" s="14" t="s">
        <v>2980</v>
      </c>
      <c r="B765" s="15" t="s">
        <v>2981</v>
      </c>
      <c r="C765" s="14" t="s">
        <v>2980</v>
      </c>
      <c r="D765" s="9" t="n">
        <v>20</v>
      </c>
      <c r="E765" s="9" t="s">
        <v>55</v>
      </c>
      <c r="F765" s="10" t="s">
        <v>1536</v>
      </c>
      <c r="G765" s="10" t="s">
        <v>1536</v>
      </c>
      <c r="H765" s="16" t="n">
        <v>7</v>
      </c>
      <c r="I765" s="17" t="s">
        <v>2407</v>
      </c>
      <c r="J765" s="18" t="s">
        <v>2982</v>
      </c>
      <c r="K765" s="13" t="s">
        <v>2983</v>
      </c>
      <c r="L765" s="12" t="s">
        <v>222</v>
      </c>
      <c r="M765" s="12" t="s">
        <v>1102</v>
      </c>
      <c r="N765" s="12" t="s">
        <v>23</v>
      </c>
    </row>
    <row r="766" customFormat="false" ht="36" hidden="false" customHeight="false" outlineLevel="0" collapsed="false">
      <c r="A766" s="14" t="s">
        <v>2984</v>
      </c>
      <c r="B766" s="15" t="s">
        <v>2985</v>
      </c>
      <c r="C766" s="14" t="s">
        <v>2984</v>
      </c>
      <c r="D766" s="9" t="n">
        <v>26</v>
      </c>
      <c r="E766" s="10" t="s">
        <v>541</v>
      </c>
      <c r="F766" s="10" t="s">
        <v>2977</v>
      </c>
      <c r="G766" s="10" t="s">
        <v>1536</v>
      </c>
      <c r="H766" s="16" t="n">
        <v>7</v>
      </c>
      <c r="I766" s="17" t="s">
        <v>2407</v>
      </c>
      <c r="J766" s="18" t="s">
        <v>2986</v>
      </c>
      <c r="K766" s="12" t="s">
        <v>2987</v>
      </c>
      <c r="L766" s="12" t="s">
        <v>1676</v>
      </c>
      <c r="M766" s="12" t="s">
        <v>1102</v>
      </c>
      <c r="N766" s="12" t="s">
        <v>452</v>
      </c>
    </row>
    <row r="767" customFormat="false" ht="27.5" hidden="false" customHeight="false" outlineLevel="0" collapsed="false">
      <c r="A767" s="20" t="s">
        <v>2988</v>
      </c>
      <c r="B767" s="15" t="s">
        <v>2989</v>
      </c>
      <c r="C767" s="20" t="s">
        <v>2988</v>
      </c>
      <c r="D767" s="9" t="n">
        <v>22</v>
      </c>
      <c r="E767" s="9" t="s">
        <v>47</v>
      </c>
      <c r="F767" s="10" t="s">
        <v>872</v>
      </c>
      <c r="G767" s="10" t="s">
        <v>873</v>
      </c>
      <c r="H767" s="16" t="n">
        <v>7</v>
      </c>
      <c r="I767" s="17" t="s">
        <v>2407</v>
      </c>
      <c r="J767" s="13" t="s">
        <v>2990</v>
      </c>
      <c r="K767" s="13" t="s">
        <v>2991</v>
      </c>
      <c r="L767" s="12" t="s">
        <v>222</v>
      </c>
      <c r="M767" s="12" t="s">
        <v>1102</v>
      </c>
      <c r="N767" s="12" t="s">
        <v>452</v>
      </c>
    </row>
    <row r="768" customFormat="false" ht="36" hidden="false" customHeight="false" outlineLevel="0" collapsed="false">
      <c r="A768" s="20" t="s">
        <v>2992</v>
      </c>
      <c r="B768" s="15" t="s">
        <v>2993</v>
      </c>
      <c r="C768" s="20" t="s">
        <v>2992</v>
      </c>
      <c r="D768" s="9" t="n">
        <v>22</v>
      </c>
      <c r="E768" s="9" t="s">
        <v>47</v>
      </c>
      <c r="F768" s="10" t="s">
        <v>1550</v>
      </c>
      <c r="G768" s="10" t="s">
        <v>1550</v>
      </c>
      <c r="H768" s="16" t="n">
        <v>7</v>
      </c>
      <c r="I768" s="17" t="s">
        <v>2407</v>
      </c>
      <c r="J768" s="13" t="s">
        <v>2994</v>
      </c>
      <c r="K768" s="13" t="s">
        <v>2995</v>
      </c>
      <c r="L768" s="12" t="s">
        <v>222</v>
      </c>
      <c r="M768" s="12" t="s">
        <v>1102</v>
      </c>
      <c r="N768" s="12" t="s">
        <v>452</v>
      </c>
    </row>
    <row r="769" customFormat="false" ht="27.5" hidden="false" customHeight="false" outlineLevel="0" collapsed="false">
      <c r="A769" s="20" t="s">
        <v>2996</v>
      </c>
      <c r="B769" s="15" t="s">
        <v>2997</v>
      </c>
      <c r="C769" s="20" t="s">
        <v>2996</v>
      </c>
      <c r="D769" s="9" t="n">
        <v>22</v>
      </c>
      <c r="E769" s="9" t="s">
        <v>47</v>
      </c>
      <c r="F769" s="10" t="s">
        <v>1550</v>
      </c>
      <c r="G769" s="10" t="s">
        <v>1550</v>
      </c>
      <c r="H769" s="16" t="n">
        <v>7</v>
      </c>
      <c r="I769" s="17" t="s">
        <v>2407</v>
      </c>
      <c r="J769" s="13" t="s">
        <v>2998</v>
      </c>
      <c r="K769" s="13" t="s">
        <v>2995</v>
      </c>
      <c r="L769" s="12" t="s">
        <v>222</v>
      </c>
      <c r="M769" s="12" t="s">
        <v>1102</v>
      </c>
      <c r="N769" s="12" t="s">
        <v>817</v>
      </c>
    </row>
    <row r="770" customFormat="false" ht="36" hidden="false" customHeight="false" outlineLevel="0" collapsed="false">
      <c r="A770" s="20" t="s">
        <v>2999</v>
      </c>
      <c r="B770" s="15" t="s">
        <v>3000</v>
      </c>
      <c r="C770" s="20" t="s">
        <v>2999</v>
      </c>
      <c r="D770" s="9" t="n">
        <v>22</v>
      </c>
      <c r="E770" s="9" t="s">
        <v>47</v>
      </c>
      <c r="F770" s="10" t="s">
        <v>1550</v>
      </c>
      <c r="G770" s="10" t="s">
        <v>1550</v>
      </c>
      <c r="H770" s="16" t="n">
        <v>7</v>
      </c>
      <c r="I770" s="17" t="s">
        <v>2407</v>
      </c>
      <c r="J770" s="13" t="s">
        <v>3001</v>
      </c>
      <c r="K770" s="13" t="s">
        <v>2995</v>
      </c>
      <c r="L770" s="12" t="s">
        <v>222</v>
      </c>
      <c r="M770" s="12" t="s">
        <v>1102</v>
      </c>
      <c r="N770" s="12" t="s">
        <v>452</v>
      </c>
    </row>
    <row r="771" customFormat="false" ht="27.5" hidden="false" customHeight="false" outlineLevel="0" collapsed="false">
      <c r="A771" s="20" t="s">
        <v>3002</v>
      </c>
      <c r="B771" s="15" t="s">
        <v>3003</v>
      </c>
      <c r="C771" s="20" t="s">
        <v>3002</v>
      </c>
      <c r="D771" s="9" t="n">
        <v>17</v>
      </c>
      <c r="E771" s="9" t="s">
        <v>415</v>
      </c>
      <c r="F771" s="10" t="s">
        <v>59</v>
      </c>
      <c r="G771" s="10" t="s">
        <v>417</v>
      </c>
      <c r="H771" s="16" t="n">
        <v>7</v>
      </c>
      <c r="I771" s="17" t="s">
        <v>2407</v>
      </c>
      <c r="J771" s="13" t="s">
        <v>3004</v>
      </c>
      <c r="K771" s="13" t="s">
        <v>3005</v>
      </c>
      <c r="L771" s="12" t="s">
        <v>222</v>
      </c>
      <c r="M771" s="12" t="s">
        <v>1102</v>
      </c>
      <c r="N771" s="12" t="s">
        <v>817</v>
      </c>
    </row>
    <row r="772" customFormat="false" ht="36" hidden="false" customHeight="false" outlineLevel="0" collapsed="false">
      <c r="A772" s="20" t="s">
        <v>3006</v>
      </c>
      <c r="B772" s="15" t="s">
        <v>3007</v>
      </c>
      <c r="C772" s="20" t="s">
        <v>3006</v>
      </c>
      <c r="D772" s="9" t="n">
        <v>17</v>
      </c>
      <c r="E772" s="9" t="s">
        <v>415</v>
      </c>
      <c r="F772" s="10" t="s">
        <v>3008</v>
      </c>
      <c r="G772" s="10" t="s">
        <v>417</v>
      </c>
      <c r="H772" s="16" t="n">
        <v>7</v>
      </c>
      <c r="I772" s="17" t="s">
        <v>2407</v>
      </c>
      <c r="J772" s="13" t="s">
        <v>3009</v>
      </c>
      <c r="K772" s="13" t="s">
        <v>3010</v>
      </c>
      <c r="L772" s="12" t="s">
        <v>222</v>
      </c>
      <c r="M772" s="12" t="s">
        <v>1102</v>
      </c>
      <c r="N772" s="12" t="s">
        <v>452</v>
      </c>
    </row>
    <row r="773" customFormat="false" ht="27.5" hidden="false" customHeight="false" outlineLevel="0" collapsed="false">
      <c r="A773" s="20" t="s">
        <v>3011</v>
      </c>
      <c r="B773" s="15" t="s">
        <v>3012</v>
      </c>
      <c r="C773" s="20" t="s">
        <v>3011</v>
      </c>
      <c r="D773" s="9" t="n">
        <v>4</v>
      </c>
      <c r="E773" s="9" t="s">
        <v>15</v>
      </c>
      <c r="F773" s="10" t="s">
        <v>1472</v>
      </c>
      <c r="G773" s="10" t="s">
        <v>1472</v>
      </c>
      <c r="H773" s="16" t="n">
        <v>7</v>
      </c>
      <c r="I773" s="17" t="s">
        <v>2407</v>
      </c>
      <c r="J773" s="13" t="s">
        <v>1563</v>
      </c>
      <c r="K773" s="13" t="s">
        <v>3013</v>
      </c>
      <c r="L773" s="12" t="s">
        <v>222</v>
      </c>
      <c r="M773" s="12" t="s">
        <v>1102</v>
      </c>
      <c r="N773" s="12" t="s">
        <v>23</v>
      </c>
    </row>
    <row r="774" customFormat="false" ht="19" hidden="false" customHeight="false" outlineLevel="0" collapsed="false">
      <c r="A774" s="7" t="s">
        <v>3014</v>
      </c>
      <c r="B774" s="8" t="s">
        <v>3015</v>
      </c>
      <c r="C774" s="7" t="s">
        <v>3014</v>
      </c>
      <c r="D774" s="9" t="n">
        <v>11</v>
      </c>
      <c r="E774" s="10" t="s">
        <v>69</v>
      </c>
      <c r="F774" s="10" t="s">
        <v>432</v>
      </c>
      <c r="G774" s="10" t="s">
        <v>432</v>
      </c>
      <c r="H774" s="16" t="n">
        <v>7</v>
      </c>
      <c r="I774" s="17" t="s">
        <v>2407</v>
      </c>
      <c r="J774" s="12" t="s">
        <v>3016</v>
      </c>
      <c r="K774" s="13" t="s">
        <v>2319</v>
      </c>
      <c r="L774" s="12" t="s">
        <v>222</v>
      </c>
      <c r="M774" s="12" t="s">
        <v>1102</v>
      </c>
      <c r="N774" s="12" t="s">
        <v>817</v>
      </c>
    </row>
    <row r="775" customFormat="false" ht="36" hidden="false" customHeight="false" outlineLevel="0" collapsed="false">
      <c r="A775" s="7" t="s">
        <v>3017</v>
      </c>
      <c r="B775" s="8" t="s">
        <v>3018</v>
      </c>
      <c r="C775" s="7" t="s">
        <v>3017</v>
      </c>
      <c r="D775" s="9" t="n">
        <v>4</v>
      </c>
      <c r="E775" s="10" t="s">
        <v>15</v>
      </c>
      <c r="F775" s="10" t="s">
        <v>3019</v>
      </c>
      <c r="G775" s="10" t="s">
        <v>3019</v>
      </c>
      <c r="H775" s="16" t="n">
        <v>7</v>
      </c>
      <c r="I775" s="17" t="s">
        <v>2407</v>
      </c>
      <c r="J775" s="12" t="s">
        <v>3020</v>
      </c>
      <c r="K775" s="13" t="s">
        <v>50</v>
      </c>
      <c r="L775" s="12" t="s">
        <v>222</v>
      </c>
      <c r="M775" s="12" t="s">
        <v>1102</v>
      </c>
      <c r="N775" s="12" t="s">
        <v>23</v>
      </c>
    </row>
    <row r="776" customFormat="false" ht="27.5" hidden="false" customHeight="false" outlineLevel="0" collapsed="false">
      <c r="A776" s="7" t="s">
        <v>3021</v>
      </c>
      <c r="B776" s="8" t="s">
        <v>3022</v>
      </c>
      <c r="C776" s="7" t="s">
        <v>3021</v>
      </c>
      <c r="D776" s="9" t="n">
        <v>11</v>
      </c>
      <c r="E776" s="10" t="s">
        <v>69</v>
      </c>
      <c r="F776" s="10" t="s">
        <v>747</v>
      </c>
      <c r="G776" s="10" t="s">
        <v>885</v>
      </c>
      <c r="H776" s="16" t="n">
        <v>7</v>
      </c>
      <c r="I776" s="17" t="s">
        <v>2407</v>
      </c>
      <c r="J776" s="12" t="s">
        <v>3023</v>
      </c>
      <c r="K776" s="12" t="s">
        <v>3024</v>
      </c>
      <c r="L776" s="12" t="s">
        <v>222</v>
      </c>
      <c r="M776" s="12" t="s">
        <v>1102</v>
      </c>
      <c r="N776" s="12" t="s">
        <v>817</v>
      </c>
    </row>
    <row r="777" customFormat="false" ht="27.5" hidden="false" customHeight="false" outlineLevel="0" collapsed="false">
      <c r="A777" s="7" t="s">
        <v>3025</v>
      </c>
      <c r="B777" s="8" t="s">
        <v>3026</v>
      </c>
      <c r="C777" s="7" t="s">
        <v>3025</v>
      </c>
      <c r="D777" s="9" t="n">
        <v>11</v>
      </c>
      <c r="E777" s="10" t="s">
        <v>69</v>
      </c>
      <c r="F777" s="10" t="s">
        <v>747</v>
      </c>
      <c r="G777" s="10" t="s">
        <v>885</v>
      </c>
      <c r="H777" s="16" t="n">
        <v>7</v>
      </c>
      <c r="I777" s="17" t="s">
        <v>2407</v>
      </c>
      <c r="J777" s="12" t="s">
        <v>3027</v>
      </c>
      <c r="K777" s="13" t="s">
        <v>2323</v>
      </c>
      <c r="L777" s="12" t="s">
        <v>222</v>
      </c>
      <c r="M777" s="12" t="s">
        <v>1102</v>
      </c>
      <c r="N777" s="12" t="s">
        <v>817</v>
      </c>
    </row>
    <row r="778" customFormat="false" ht="61.5" hidden="false" customHeight="false" outlineLevel="0" collapsed="false">
      <c r="A778" s="14" t="s">
        <v>3028</v>
      </c>
      <c r="B778" s="15" t="s">
        <v>3029</v>
      </c>
      <c r="C778" s="14" t="s">
        <v>3028</v>
      </c>
      <c r="D778" s="9" t="n">
        <v>11</v>
      </c>
      <c r="E778" s="10" t="s">
        <v>69</v>
      </c>
      <c r="F778" s="10" t="s">
        <v>747</v>
      </c>
      <c r="G778" s="10" t="s">
        <v>885</v>
      </c>
      <c r="H778" s="16" t="n">
        <v>7</v>
      </c>
      <c r="I778" s="17" t="s">
        <v>2407</v>
      </c>
      <c r="J778" s="18" t="s">
        <v>3030</v>
      </c>
      <c r="K778" s="13" t="s">
        <v>3031</v>
      </c>
      <c r="L778" s="12" t="s">
        <v>1676</v>
      </c>
      <c r="M778" s="12" t="s">
        <v>1102</v>
      </c>
      <c r="N778" s="12" t="s">
        <v>817</v>
      </c>
    </row>
    <row r="779" customFormat="false" ht="36" hidden="false" customHeight="false" outlineLevel="0" collapsed="false">
      <c r="A779" s="20" t="s">
        <v>3032</v>
      </c>
      <c r="B779" s="15" t="s">
        <v>3033</v>
      </c>
      <c r="C779" s="20" t="s">
        <v>3032</v>
      </c>
      <c r="D779" s="9" t="n">
        <v>16</v>
      </c>
      <c r="E779" s="10" t="s">
        <v>155</v>
      </c>
      <c r="F779" s="10" t="s">
        <v>3034</v>
      </c>
      <c r="G779" s="10" t="s">
        <v>157</v>
      </c>
      <c r="H779" s="16" t="n">
        <v>7</v>
      </c>
      <c r="I779" s="17" t="s">
        <v>2407</v>
      </c>
      <c r="J779" s="13" t="s">
        <v>3035</v>
      </c>
      <c r="K779" s="13" t="s">
        <v>3036</v>
      </c>
      <c r="L779" s="12" t="s">
        <v>222</v>
      </c>
      <c r="M779" s="12" t="s">
        <v>1102</v>
      </c>
      <c r="N779" s="12" t="s">
        <v>452</v>
      </c>
    </row>
    <row r="780" customFormat="false" ht="36" hidden="false" customHeight="false" outlineLevel="0" collapsed="false">
      <c r="A780" s="20" t="s">
        <v>3037</v>
      </c>
      <c r="B780" s="15" t="s">
        <v>3038</v>
      </c>
      <c r="C780" s="20" t="s">
        <v>3037</v>
      </c>
      <c r="D780" s="9" t="n">
        <v>16</v>
      </c>
      <c r="E780" s="10" t="s">
        <v>155</v>
      </c>
      <c r="F780" s="10" t="s">
        <v>40</v>
      </c>
      <c r="G780" s="10" t="s">
        <v>157</v>
      </c>
      <c r="H780" s="16" t="n">
        <v>7</v>
      </c>
      <c r="I780" s="17" t="s">
        <v>2407</v>
      </c>
      <c r="J780" s="13" t="s">
        <v>3039</v>
      </c>
      <c r="K780" s="13" t="s">
        <v>3040</v>
      </c>
      <c r="L780" s="12" t="s">
        <v>222</v>
      </c>
      <c r="M780" s="12" t="s">
        <v>1102</v>
      </c>
      <c r="N780" s="12" t="s">
        <v>23</v>
      </c>
    </row>
    <row r="781" customFormat="false" ht="27.5" hidden="false" customHeight="false" outlineLevel="0" collapsed="false">
      <c r="A781" s="20" t="s">
        <v>3041</v>
      </c>
      <c r="B781" s="15" t="s">
        <v>3042</v>
      </c>
      <c r="C781" s="20" t="s">
        <v>3041</v>
      </c>
      <c r="D781" s="9" t="n">
        <v>6</v>
      </c>
      <c r="E781" s="9" t="s">
        <v>180</v>
      </c>
      <c r="F781" s="10" t="s">
        <v>1590</v>
      </c>
      <c r="G781" s="10" t="s">
        <v>1591</v>
      </c>
      <c r="H781" s="16" t="n">
        <v>7</v>
      </c>
      <c r="I781" s="17" t="s">
        <v>2407</v>
      </c>
      <c r="J781" s="13" t="s">
        <v>3043</v>
      </c>
      <c r="K781" s="11" t="s">
        <v>2578</v>
      </c>
      <c r="L781" s="12" t="s">
        <v>222</v>
      </c>
      <c r="M781" s="12" t="s">
        <v>1102</v>
      </c>
      <c r="N781" s="12" t="s">
        <v>817</v>
      </c>
    </row>
    <row r="782" customFormat="false" ht="36" hidden="false" customHeight="false" outlineLevel="0" collapsed="false">
      <c r="A782" s="20" t="s">
        <v>3044</v>
      </c>
      <c r="B782" s="15" t="s">
        <v>3045</v>
      </c>
      <c r="C782" s="20" t="s">
        <v>3044</v>
      </c>
      <c r="D782" s="9" t="n">
        <v>3</v>
      </c>
      <c r="E782" s="9" t="s">
        <v>39</v>
      </c>
      <c r="F782" s="10" t="s">
        <v>436</v>
      </c>
      <c r="G782" s="10" t="s">
        <v>436</v>
      </c>
      <c r="H782" s="16" t="n">
        <v>7</v>
      </c>
      <c r="I782" s="17" t="s">
        <v>2407</v>
      </c>
      <c r="J782" s="13" t="s">
        <v>3046</v>
      </c>
      <c r="K782" s="13" t="s">
        <v>3047</v>
      </c>
      <c r="L782" s="12" t="s">
        <v>222</v>
      </c>
      <c r="M782" s="12" t="s">
        <v>1102</v>
      </c>
      <c r="N782" s="12" t="s">
        <v>817</v>
      </c>
    </row>
    <row r="783" customFormat="false" ht="36" hidden="false" customHeight="false" outlineLevel="0" collapsed="false">
      <c r="A783" s="20" t="s">
        <v>3048</v>
      </c>
      <c r="B783" s="15" t="s">
        <v>3049</v>
      </c>
      <c r="C783" s="20" t="s">
        <v>3048</v>
      </c>
      <c r="D783" s="9" t="n">
        <v>3</v>
      </c>
      <c r="E783" s="9" t="s">
        <v>39</v>
      </c>
      <c r="F783" s="10" t="s">
        <v>436</v>
      </c>
      <c r="G783" s="10" t="s">
        <v>436</v>
      </c>
      <c r="H783" s="16" t="n">
        <v>7</v>
      </c>
      <c r="I783" s="17" t="s">
        <v>2407</v>
      </c>
      <c r="J783" s="13" t="s">
        <v>3050</v>
      </c>
      <c r="K783" s="13" t="s">
        <v>3047</v>
      </c>
      <c r="L783" s="12" t="s">
        <v>222</v>
      </c>
      <c r="M783" s="12" t="s">
        <v>1102</v>
      </c>
      <c r="N783" s="12" t="s">
        <v>817</v>
      </c>
    </row>
    <row r="784" customFormat="false" ht="19" hidden="false" customHeight="false" outlineLevel="0" collapsed="false">
      <c r="A784" s="7" t="s">
        <v>3051</v>
      </c>
      <c r="B784" s="8" t="s">
        <v>3052</v>
      </c>
      <c r="C784" s="7" t="s">
        <v>3051</v>
      </c>
      <c r="D784" s="9" t="n">
        <v>3</v>
      </c>
      <c r="E784" s="10" t="s">
        <v>39</v>
      </c>
      <c r="F784" s="10" t="s">
        <v>40</v>
      </c>
      <c r="G784" s="10" t="s">
        <v>3053</v>
      </c>
      <c r="H784" s="16" t="n">
        <v>7</v>
      </c>
      <c r="I784" s="17" t="s">
        <v>2407</v>
      </c>
      <c r="J784" s="12" t="s">
        <v>3054</v>
      </c>
      <c r="K784" s="13" t="s">
        <v>3055</v>
      </c>
      <c r="L784" s="12" t="s">
        <v>222</v>
      </c>
      <c r="M784" s="12" t="s">
        <v>1102</v>
      </c>
      <c r="N784" s="12" t="s">
        <v>817</v>
      </c>
    </row>
    <row r="785" customFormat="false" ht="36" hidden="false" customHeight="false" outlineLevel="0" collapsed="false">
      <c r="A785" s="7" t="s">
        <v>3056</v>
      </c>
      <c r="B785" s="8" t="s">
        <v>3057</v>
      </c>
      <c r="C785" s="7" t="s">
        <v>3056</v>
      </c>
      <c r="D785" s="9" t="n">
        <v>25</v>
      </c>
      <c r="E785" s="10" t="s">
        <v>915</v>
      </c>
      <c r="F785" s="10" t="s">
        <v>916</v>
      </c>
      <c r="G785" s="10" t="n">
        <v>0</v>
      </c>
      <c r="H785" s="16" t="n">
        <v>7</v>
      </c>
      <c r="I785" s="17" t="s">
        <v>2407</v>
      </c>
      <c r="J785" s="12" t="s">
        <v>3058</v>
      </c>
      <c r="K785" s="13" t="s">
        <v>1697</v>
      </c>
      <c r="L785" s="12" t="s">
        <v>222</v>
      </c>
      <c r="M785" s="12" t="s">
        <v>1102</v>
      </c>
      <c r="N785" s="12" t="s">
        <v>452</v>
      </c>
    </row>
    <row r="786" customFormat="false" ht="44.5" hidden="false" customHeight="false" outlineLevel="0" collapsed="false">
      <c r="A786" s="20" t="s">
        <v>3059</v>
      </c>
      <c r="B786" s="15" t="s">
        <v>3060</v>
      </c>
      <c r="C786" s="20" t="s">
        <v>3059</v>
      </c>
      <c r="D786" s="9" t="n">
        <v>21</v>
      </c>
      <c r="E786" s="10" t="s">
        <v>117</v>
      </c>
      <c r="F786" s="10" t="s">
        <v>118</v>
      </c>
      <c r="G786" s="10" t="n">
        <v>0</v>
      </c>
      <c r="H786" s="16" t="n">
        <v>7</v>
      </c>
      <c r="I786" s="17" t="s">
        <v>2407</v>
      </c>
      <c r="J786" s="13" t="s">
        <v>3061</v>
      </c>
      <c r="K786" s="13" t="s">
        <v>3062</v>
      </c>
      <c r="L786" s="12" t="s">
        <v>222</v>
      </c>
      <c r="M786" s="12" t="s">
        <v>1102</v>
      </c>
      <c r="N786" s="12" t="s">
        <v>817</v>
      </c>
    </row>
    <row r="787" customFormat="false" ht="27.5" hidden="false" customHeight="false" outlineLevel="0" collapsed="false">
      <c r="A787" s="20" t="s">
        <v>3063</v>
      </c>
      <c r="B787" s="15" t="s">
        <v>3064</v>
      </c>
      <c r="C787" s="20" t="s">
        <v>3063</v>
      </c>
      <c r="D787" s="9" t="n">
        <v>22</v>
      </c>
      <c r="E787" s="9" t="s">
        <v>47</v>
      </c>
      <c r="F787" s="10" t="s">
        <v>582</v>
      </c>
      <c r="G787" s="10" t="n">
        <v>0</v>
      </c>
      <c r="H787" s="16" t="n">
        <v>7</v>
      </c>
      <c r="I787" s="17" t="s">
        <v>2407</v>
      </c>
      <c r="J787" s="13" t="s">
        <v>3065</v>
      </c>
      <c r="K787" s="13" t="s">
        <v>3066</v>
      </c>
      <c r="L787" s="12" t="s">
        <v>222</v>
      </c>
      <c r="M787" s="12" t="s">
        <v>1758</v>
      </c>
      <c r="N787" s="12" t="s">
        <v>817</v>
      </c>
    </row>
    <row r="788" customFormat="false" ht="19" hidden="false" customHeight="false" outlineLevel="0" collapsed="false">
      <c r="A788" s="7" t="s">
        <v>3067</v>
      </c>
      <c r="B788" s="8" t="s">
        <v>3068</v>
      </c>
      <c r="C788" s="7" t="s">
        <v>3067</v>
      </c>
      <c r="D788" s="9" t="n">
        <v>25</v>
      </c>
      <c r="E788" s="10" t="s">
        <v>915</v>
      </c>
      <c r="F788" s="10" t="s">
        <v>70</v>
      </c>
      <c r="G788" s="10" t="n">
        <v>0</v>
      </c>
      <c r="H788" s="16" t="n">
        <v>7</v>
      </c>
      <c r="I788" s="17" t="s">
        <v>2407</v>
      </c>
      <c r="J788" s="12" t="s">
        <v>3069</v>
      </c>
      <c r="K788" s="13" t="s">
        <v>3070</v>
      </c>
      <c r="L788" s="12" t="s">
        <v>222</v>
      </c>
      <c r="M788" s="12" t="s">
        <v>1102</v>
      </c>
      <c r="N788" s="12" t="s">
        <v>306</v>
      </c>
    </row>
    <row r="789" customFormat="false" ht="61.5" hidden="false" customHeight="false" outlineLevel="0" collapsed="false">
      <c r="A789" s="7" t="s">
        <v>3071</v>
      </c>
      <c r="B789" s="8" t="s">
        <v>3072</v>
      </c>
      <c r="C789" s="7" t="s">
        <v>3071</v>
      </c>
      <c r="D789" s="9" t="n">
        <v>25</v>
      </c>
      <c r="E789" s="10" t="s">
        <v>915</v>
      </c>
      <c r="F789" s="10" t="s">
        <v>916</v>
      </c>
      <c r="G789" s="10" t="n">
        <v>0</v>
      </c>
      <c r="H789" s="16" t="n">
        <v>7</v>
      </c>
      <c r="I789" s="17" t="s">
        <v>2407</v>
      </c>
      <c r="J789" s="12" t="s">
        <v>3073</v>
      </c>
      <c r="K789" s="13" t="s">
        <v>3074</v>
      </c>
      <c r="L789" s="12" t="s">
        <v>222</v>
      </c>
      <c r="M789" s="12" t="s">
        <v>1102</v>
      </c>
      <c r="N789" s="12" t="s">
        <v>306</v>
      </c>
    </row>
    <row r="790" customFormat="false" ht="36" hidden="false" customHeight="false" outlineLevel="0" collapsed="false">
      <c r="A790" s="7" t="s">
        <v>3075</v>
      </c>
      <c r="B790" s="8" t="s">
        <v>3076</v>
      </c>
      <c r="C790" s="7" t="s">
        <v>3075</v>
      </c>
      <c r="D790" s="9" t="n">
        <v>25</v>
      </c>
      <c r="E790" s="10" t="s">
        <v>915</v>
      </c>
      <c r="F790" s="10" t="s">
        <v>916</v>
      </c>
      <c r="G790" s="10" t="n">
        <v>0</v>
      </c>
      <c r="H790" s="16" t="n">
        <v>7</v>
      </c>
      <c r="I790" s="17" t="s">
        <v>2407</v>
      </c>
      <c r="J790" s="12" t="s">
        <v>3077</v>
      </c>
      <c r="K790" s="12" t="s">
        <v>3078</v>
      </c>
      <c r="L790" s="12" t="s">
        <v>222</v>
      </c>
      <c r="M790" s="12" t="s">
        <v>1102</v>
      </c>
      <c r="N790" s="12" t="s">
        <v>452</v>
      </c>
    </row>
    <row r="791" customFormat="false" ht="36" hidden="false" customHeight="false" outlineLevel="0" collapsed="false">
      <c r="A791" s="7" t="s">
        <v>3079</v>
      </c>
      <c r="B791" s="8" t="s">
        <v>3080</v>
      </c>
      <c r="C791" s="7" t="s">
        <v>3079</v>
      </c>
      <c r="D791" s="9" t="n">
        <v>25</v>
      </c>
      <c r="E791" s="10" t="s">
        <v>915</v>
      </c>
      <c r="F791" s="10" t="s">
        <v>916</v>
      </c>
      <c r="G791" s="10" t="n">
        <v>0</v>
      </c>
      <c r="H791" s="16" t="n">
        <v>7</v>
      </c>
      <c r="I791" s="17" t="s">
        <v>2407</v>
      </c>
      <c r="J791" s="12" t="s">
        <v>3081</v>
      </c>
      <c r="K791" s="12" t="s">
        <v>2468</v>
      </c>
      <c r="L791" s="12" t="s">
        <v>222</v>
      </c>
      <c r="M791" s="12" t="s">
        <v>1102</v>
      </c>
      <c r="N791" s="12" t="s">
        <v>817</v>
      </c>
    </row>
    <row r="792" customFormat="false" ht="27.5" hidden="false" customHeight="false" outlineLevel="0" collapsed="false">
      <c r="A792" s="7" t="s">
        <v>3082</v>
      </c>
      <c r="B792" s="8" t="s">
        <v>3083</v>
      </c>
      <c r="C792" s="7" t="s">
        <v>3082</v>
      </c>
      <c r="D792" s="9" t="n">
        <v>24</v>
      </c>
      <c r="E792" s="10" t="s">
        <v>1342</v>
      </c>
      <c r="F792" s="10" t="s">
        <v>1343</v>
      </c>
      <c r="G792" s="10" t="n">
        <v>0</v>
      </c>
      <c r="H792" s="16" t="n">
        <v>7</v>
      </c>
      <c r="I792" s="17" t="s">
        <v>2407</v>
      </c>
      <c r="J792" s="12" t="s">
        <v>3084</v>
      </c>
      <c r="K792" s="12" t="s">
        <v>3085</v>
      </c>
      <c r="L792" s="12" t="s">
        <v>222</v>
      </c>
      <c r="M792" s="12" t="s">
        <v>1102</v>
      </c>
      <c r="N792" s="12" t="s">
        <v>452</v>
      </c>
    </row>
    <row r="793" customFormat="false" ht="27.5" hidden="false" customHeight="false" outlineLevel="0" collapsed="false">
      <c r="A793" s="7" t="s">
        <v>3086</v>
      </c>
      <c r="B793" s="8" t="s">
        <v>3087</v>
      </c>
      <c r="C793" s="7" t="s">
        <v>3086</v>
      </c>
      <c r="D793" s="9" t="n">
        <v>24</v>
      </c>
      <c r="E793" s="10" t="s">
        <v>1342</v>
      </c>
      <c r="F793" s="10" t="s">
        <v>1609</v>
      </c>
      <c r="G793" s="10" t="n">
        <v>0</v>
      </c>
      <c r="H793" s="16" t="n">
        <v>7</v>
      </c>
      <c r="I793" s="17" t="s">
        <v>2407</v>
      </c>
      <c r="J793" s="12" t="s">
        <v>3088</v>
      </c>
      <c r="K793" s="12" t="s">
        <v>3089</v>
      </c>
      <c r="L793" s="12" t="s">
        <v>1903</v>
      </c>
      <c r="M793" s="12" t="s">
        <v>1824</v>
      </c>
      <c r="N793" s="12" t="s">
        <v>306</v>
      </c>
    </row>
    <row r="794" customFormat="false" ht="36" hidden="false" customHeight="false" outlineLevel="0" collapsed="false">
      <c r="A794" s="14" t="s">
        <v>3090</v>
      </c>
      <c r="B794" s="15" t="s">
        <v>3091</v>
      </c>
      <c r="C794" s="14" t="s">
        <v>3090</v>
      </c>
      <c r="D794" s="9" t="n">
        <v>23</v>
      </c>
      <c r="E794" s="10" t="s">
        <v>441</v>
      </c>
      <c r="F794" s="10" t="s">
        <v>203</v>
      </c>
      <c r="G794" s="10" t="n">
        <v>0</v>
      </c>
      <c r="H794" s="16" t="n">
        <v>7</v>
      </c>
      <c r="I794" s="17" t="s">
        <v>2407</v>
      </c>
      <c r="J794" s="18" t="s">
        <v>3092</v>
      </c>
      <c r="K794" s="13" t="s">
        <v>3093</v>
      </c>
      <c r="L794" s="12" t="s">
        <v>222</v>
      </c>
      <c r="M794" s="12" t="s">
        <v>1102</v>
      </c>
      <c r="N794" s="12" t="s">
        <v>452</v>
      </c>
    </row>
    <row r="795" customFormat="false" ht="36" hidden="false" customHeight="false" outlineLevel="0" collapsed="false">
      <c r="A795" s="7" t="s">
        <v>3094</v>
      </c>
      <c r="B795" s="8" t="s">
        <v>3095</v>
      </c>
      <c r="C795" s="7" t="s">
        <v>3094</v>
      </c>
      <c r="D795" s="10" t="n">
        <v>3</v>
      </c>
      <c r="E795" s="10" t="s">
        <v>39</v>
      </c>
      <c r="F795" s="10" t="s">
        <v>40</v>
      </c>
      <c r="G795" s="10" t="s">
        <v>40</v>
      </c>
      <c r="H795" s="8" t="n">
        <v>8</v>
      </c>
      <c r="I795" s="11" t="s">
        <v>3096</v>
      </c>
      <c r="J795" s="12" t="s">
        <v>3097</v>
      </c>
      <c r="K795" s="12" t="s">
        <v>3098</v>
      </c>
      <c r="L795" s="12" t="s">
        <v>222</v>
      </c>
      <c r="M795" s="12" t="s">
        <v>1102</v>
      </c>
      <c r="N795" s="12" t="s">
        <v>817</v>
      </c>
    </row>
    <row r="796" customFormat="false" ht="19" hidden="false" customHeight="false" outlineLevel="0" collapsed="false">
      <c r="A796" s="7" t="s">
        <v>3099</v>
      </c>
      <c r="B796" s="8" t="s">
        <v>3100</v>
      </c>
      <c r="C796" s="7" t="s">
        <v>3099</v>
      </c>
      <c r="D796" s="9" t="n">
        <v>3</v>
      </c>
      <c r="E796" s="10" t="s">
        <v>39</v>
      </c>
      <c r="F796" s="10" t="s">
        <v>40</v>
      </c>
      <c r="G796" s="10" t="s">
        <v>40</v>
      </c>
      <c r="H796" s="8" t="n">
        <v>8</v>
      </c>
      <c r="I796" s="11" t="s">
        <v>3096</v>
      </c>
      <c r="J796" s="12" t="s">
        <v>3101</v>
      </c>
      <c r="K796" s="13" t="s">
        <v>3102</v>
      </c>
      <c r="L796" s="12" t="s">
        <v>2675</v>
      </c>
      <c r="M796" s="12" t="s">
        <v>1102</v>
      </c>
      <c r="N796" s="12" t="s">
        <v>817</v>
      </c>
    </row>
    <row r="797" customFormat="false" ht="19" hidden="false" customHeight="false" outlineLevel="0" collapsed="false">
      <c r="A797" s="7" t="s">
        <v>3103</v>
      </c>
      <c r="B797" s="8" t="s">
        <v>3104</v>
      </c>
      <c r="C797" s="7" t="s">
        <v>3103</v>
      </c>
      <c r="D797" s="9" t="n">
        <v>3</v>
      </c>
      <c r="E797" s="10" t="s">
        <v>39</v>
      </c>
      <c r="F797" s="10" t="s">
        <v>40</v>
      </c>
      <c r="G797" s="10" t="s">
        <v>40</v>
      </c>
      <c r="H797" s="8" t="n">
        <v>8</v>
      </c>
      <c r="I797" s="11" t="s">
        <v>3096</v>
      </c>
      <c r="J797" s="12" t="s">
        <v>3105</v>
      </c>
      <c r="K797" s="12" t="s">
        <v>3106</v>
      </c>
      <c r="L797" s="12" t="s">
        <v>2675</v>
      </c>
      <c r="M797" s="12" t="s">
        <v>1102</v>
      </c>
      <c r="N797" s="12" t="s">
        <v>817</v>
      </c>
    </row>
    <row r="798" customFormat="false" ht="19" hidden="false" customHeight="false" outlineLevel="0" collapsed="false">
      <c r="A798" s="7" t="s">
        <v>3107</v>
      </c>
      <c r="B798" s="8" t="s">
        <v>3108</v>
      </c>
      <c r="C798" s="7" t="s">
        <v>3107</v>
      </c>
      <c r="D798" s="9" t="n">
        <v>3</v>
      </c>
      <c r="E798" s="10" t="s">
        <v>39</v>
      </c>
      <c r="F798" s="10" t="s">
        <v>40</v>
      </c>
      <c r="G798" s="10" t="s">
        <v>40</v>
      </c>
      <c r="H798" s="8" t="n">
        <v>8</v>
      </c>
      <c r="I798" s="11" t="s">
        <v>3096</v>
      </c>
      <c r="J798" s="12" t="s">
        <v>3109</v>
      </c>
      <c r="K798" s="12" t="s">
        <v>2417</v>
      </c>
      <c r="L798" s="12" t="s">
        <v>2675</v>
      </c>
      <c r="M798" s="12" t="s">
        <v>1102</v>
      </c>
      <c r="N798" s="12" t="s">
        <v>817</v>
      </c>
    </row>
    <row r="799" customFormat="false" ht="19" hidden="false" customHeight="false" outlineLevel="0" collapsed="false">
      <c r="A799" s="7" t="s">
        <v>3110</v>
      </c>
      <c r="B799" s="8" t="s">
        <v>3111</v>
      </c>
      <c r="C799" s="7" t="s">
        <v>3110</v>
      </c>
      <c r="D799" s="9" t="n">
        <v>3</v>
      </c>
      <c r="E799" s="10" t="s">
        <v>39</v>
      </c>
      <c r="F799" s="10" t="s">
        <v>40</v>
      </c>
      <c r="G799" s="10" t="s">
        <v>40</v>
      </c>
      <c r="H799" s="8" t="n">
        <v>8</v>
      </c>
      <c r="I799" s="11" t="s">
        <v>3096</v>
      </c>
      <c r="J799" s="12" t="s">
        <v>3112</v>
      </c>
      <c r="K799" s="12" t="s">
        <v>3098</v>
      </c>
      <c r="L799" s="12" t="s">
        <v>2675</v>
      </c>
      <c r="M799" s="12" t="s">
        <v>1102</v>
      </c>
      <c r="N799" s="12" t="s">
        <v>817</v>
      </c>
    </row>
    <row r="800" customFormat="false" ht="19" hidden="false" customHeight="false" outlineLevel="0" collapsed="false">
      <c r="A800" s="7" t="s">
        <v>3113</v>
      </c>
      <c r="B800" s="8" t="s">
        <v>3114</v>
      </c>
      <c r="C800" s="7" t="s">
        <v>3113</v>
      </c>
      <c r="D800" s="9" t="n">
        <v>3</v>
      </c>
      <c r="E800" s="10" t="s">
        <v>39</v>
      </c>
      <c r="F800" s="10" t="s">
        <v>40</v>
      </c>
      <c r="G800" s="10" t="s">
        <v>40</v>
      </c>
      <c r="H800" s="8" t="n">
        <v>8</v>
      </c>
      <c r="I800" s="11" t="s">
        <v>3096</v>
      </c>
      <c r="J800" s="12" t="s">
        <v>3115</v>
      </c>
      <c r="K800" s="12" t="s">
        <v>3116</v>
      </c>
      <c r="L800" s="12" t="s">
        <v>2675</v>
      </c>
      <c r="M800" s="12" t="s">
        <v>1102</v>
      </c>
      <c r="N800" s="12" t="s">
        <v>817</v>
      </c>
    </row>
    <row r="801" customFormat="false" ht="27.5" hidden="false" customHeight="false" outlineLevel="0" collapsed="false">
      <c r="A801" s="14" t="s">
        <v>3117</v>
      </c>
      <c r="B801" s="15" t="s">
        <v>3118</v>
      </c>
      <c r="C801" s="14" t="s">
        <v>3117</v>
      </c>
      <c r="D801" s="9" t="n">
        <v>19</v>
      </c>
      <c r="E801" s="9" t="s">
        <v>83</v>
      </c>
      <c r="F801" s="10" t="s">
        <v>474</v>
      </c>
      <c r="G801" s="10" t="s">
        <v>474</v>
      </c>
      <c r="H801" s="8" t="n">
        <v>8</v>
      </c>
      <c r="I801" s="11" t="s">
        <v>3096</v>
      </c>
      <c r="J801" s="21" t="s">
        <v>3119</v>
      </c>
      <c r="K801" s="13" t="s">
        <v>2440</v>
      </c>
      <c r="L801" s="12" t="s">
        <v>2675</v>
      </c>
      <c r="M801" s="12" t="s">
        <v>1102</v>
      </c>
      <c r="N801" s="12" t="s">
        <v>452</v>
      </c>
    </row>
    <row r="802" customFormat="false" ht="44.5" hidden="false" customHeight="false" outlineLevel="0" collapsed="false">
      <c r="A802" s="14" t="s">
        <v>3120</v>
      </c>
      <c r="B802" s="15" t="s">
        <v>3121</v>
      </c>
      <c r="C802" s="14" t="s">
        <v>3120</v>
      </c>
      <c r="D802" s="9" t="n">
        <v>19</v>
      </c>
      <c r="E802" s="9" t="s">
        <v>83</v>
      </c>
      <c r="F802" s="10" t="s">
        <v>40</v>
      </c>
      <c r="G802" s="10" t="s">
        <v>474</v>
      </c>
      <c r="H802" s="8" t="n">
        <v>8</v>
      </c>
      <c r="I802" s="11" t="s">
        <v>3096</v>
      </c>
      <c r="J802" s="21" t="s">
        <v>3122</v>
      </c>
      <c r="K802" s="13" t="s">
        <v>3123</v>
      </c>
      <c r="L802" s="12" t="s">
        <v>2675</v>
      </c>
      <c r="M802" s="12" t="s">
        <v>1102</v>
      </c>
      <c r="N802" s="12" t="s">
        <v>817</v>
      </c>
    </row>
    <row r="803" customFormat="false" ht="19" hidden="false" customHeight="false" outlineLevel="0" collapsed="false">
      <c r="A803" s="7" t="s">
        <v>3124</v>
      </c>
      <c r="B803" s="8" t="s">
        <v>3125</v>
      </c>
      <c r="C803" s="7" t="s">
        <v>3124</v>
      </c>
      <c r="D803" s="9" t="n">
        <v>5</v>
      </c>
      <c r="E803" s="10" t="s">
        <v>63</v>
      </c>
      <c r="F803" s="10" t="s">
        <v>478</v>
      </c>
      <c r="G803" s="10" t="s">
        <v>478</v>
      </c>
      <c r="H803" s="8" t="n">
        <v>8</v>
      </c>
      <c r="I803" s="11" t="s">
        <v>3096</v>
      </c>
      <c r="J803" s="12" t="s">
        <v>3126</v>
      </c>
      <c r="K803" s="13" t="s">
        <v>3127</v>
      </c>
      <c r="L803" s="12" t="s">
        <v>1676</v>
      </c>
      <c r="M803" s="12" t="s">
        <v>1102</v>
      </c>
      <c r="N803" s="12" t="s">
        <v>817</v>
      </c>
    </row>
    <row r="804" customFormat="false" ht="27.5" hidden="false" customHeight="false" outlineLevel="0" collapsed="false">
      <c r="A804" s="7" t="s">
        <v>3128</v>
      </c>
      <c r="B804" s="8" t="s">
        <v>3129</v>
      </c>
      <c r="C804" s="7" t="s">
        <v>3128</v>
      </c>
      <c r="D804" s="9" t="n">
        <v>9</v>
      </c>
      <c r="E804" s="10" t="s">
        <v>113</v>
      </c>
      <c r="F804" s="10" t="s">
        <v>1695</v>
      </c>
      <c r="G804" s="10" t="s">
        <v>1690</v>
      </c>
      <c r="H804" s="8" t="n">
        <v>8</v>
      </c>
      <c r="I804" s="11" t="s">
        <v>3096</v>
      </c>
      <c r="J804" s="18" t="s">
        <v>3130</v>
      </c>
      <c r="K804" s="13" t="s">
        <v>3131</v>
      </c>
      <c r="L804" s="12" t="s">
        <v>1676</v>
      </c>
      <c r="M804" s="12" t="s">
        <v>1102</v>
      </c>
      <c r="N804" s="12" t="s">
        <v>817</v>
      </c>
    </row>
    <row r="805" customFormat="false" ht="44.5" hidden="false" customHeight="false" outlineLevel="0" collapsed="false">
      <c r="A805" s="20" t="s">
        <v>3132</v>
      </c>
      <c r="B805" s="15" t="s">
        <v>3133</v>
      </c>
      <c r="C805" s="20" t="s">
        <v>3132</v>
      </c>
      <c r="D805" s="9" t="n">
        <v>22</v>
      </c>
      <c r="E805" s="9" t="s">
        <v>47</v>
      </c>
      <c r="F805" s="10" t="s">
        <v>582</v>
      </c>
      <c r="G805" s="10" t="s">
        <v>582</v>
      </c>
      <c r="H805" s="8" t="n">
        <v>8</v>
      </c>
      <c r="I805" s="11" t="s">
        <v>3096</v>
      </c>
      <c r="J805" s="13" t="s">
        <v>3134</v>
      </c>
      <c r="K805" s="13" t="s">
        <v>2472</v>
      </c>
      <c r="L805" s="12" t="s">
        <v>222</v>
      </c>
      <c r="M805" s="12" t="s">
        <v>1102</v>
      </c>
      <c r="N805" s="12" t="s">
        <v>452</v>
      </c>
    </row>
    <row r="806" customFormat="false" ht="36" hidden="false" customHeight="false" outlineLevel="0" collapsed="false">
      <c r="A806" s="20" t="s">
        <v>3135</v>
      </c>
      <c r="B806" s="15" t="s">
        <v>3136</v>
      </c>
      <c r="C806" s="20" t="s">
        <v>3135</v>
      </c>
      <c r="D806" s="9" t="n">
        <v>9</v>
      </c>
      <c r="E806" s="10" t="s">
        <v>113</v>
      </c>
      <c r="F806" s="10" t="s">
        <v>490</v>
      </c>
      <c r="G806" s="10" t="s">
        <v>490</v>
      </c>
      <c r="H806" s="8" t="n">
        <v>8</v>
      </c>
      <c r="I806" s="11" t="s">
        <v>3096</v>
      </c>
      <c r="J806" s="13" t="s">
        <v>3137</v>
      </c>
      <c r="K806" s="13" t="s">
        <v>2484</v>
      </c>
      <c r="L806" s="12" t="s">
        <v>1903</v>
      </c>
      <c r="M806" s="12" t="s">
        <v>1824</v>
      </c>
      <c r="N806" s="12" t="s">
        <v>817</v>
      </c>
    </row>
    <row r="807" customFormat="false" ht="27.5" hidden="false" customHeight="false" outlineLevel="0" collapsed="false">
      <c r="A807" s="7" t="s">
        <v>3138</v>
      </c>
      <c r="B807" s="8" t="s">
        <v>3139</v>
      </c>
      <c r="C807" s="7" t="s">
        <v>3138</v>
      </c>
      <c r="D807" s="9" t="n">
        <v>20</v>
      </c>
      <c r="E807" s="9" t="s">
        <v>53</v>
      </c>
      <c r="F807" s="10" t="s">
        <v>3140</v>
      </c>
      <c r="G807" s="10" t="s">
        <v>55</v>
      </c>
      <c r="H807" s="8" t="n">
        <v>8</v>
      </c>
      <c r="I807" s="11" t="s">
        <v>3096</v>
      </c>
      <c r="J807" s="12" t="s">
        <v>3141</v>
      </c>
      <c r="K807" s="13" t="s">
        <v>1724</v>
      </c>
      <c r="L807" s="12" t="s">
        <v>1676</v>
      </c>
      <c r="M807" s="12" t="s">
        <v>1102</v>
      </c>
      <c r="N807" s="12" t="s">
        <v>817</v>
      </c>
    </row>
    <row r="808" customFormat="false" ht="36" hidden="false" customHeight="false" outlineLevel="0" collapsed="false">
      <c r="A808" s="14" t="s">
        <v>3142</v>
      </c>
      <c r="B808" s="15" t="s">
        <v>3143</v>
      </c>
      <c r="C808" s="14" t="s">
        <v>3142</v>
      </c>
      <c r="D808" s="9" t="n">
        <v>20</v>
      </c>
      <c r="E808" s="9" t="s">
        <v>55</v>
      </c>
      <c r="F808" s="10" t="s">
        <v>3144</v>
      </c>
      <c r="G808" s="10" t="s">
        <v>55</v>
      </c>
      <c r="H808" s="8" t="n">
        <v>8</v>
      </c>
      <c r="I808" s="11" t="s">
        <v>3096</v>
      </c>
      <c r="J808" s="18" t="s">
        <v>3145</v>
      </c>
      <c r="K808" s="13" t="s">
        <v>3146</v>
      </c>
      <c r="L808" s="12" t="s">
        <v>1676</v>
      </c>
      <c r="M808" s="12" t="s">
        <v>1102</v>
      </c>
      <c r="N808" s="12" t="s">
        <v>817</v>
      </c>
    </row>
    <row r="809" customFormat="false" ht="44.5" hidden="false" customHeight="false" outlineLevel="0" collapsed="false">
      <c r="A809" s="7" t="s">
        <v>3147</v>
      </c>
      <c r="B809" s="8" t="s">
        <v>3148</v>
      </c>
      <c r="C809" s="7" t="s">
        <v>3147</v>
      </c>
      <c r="D809" s="9" t="n">
        <v>20</v>
      </c>
      <c r="E809" s="9" t="s">
        <v>53</v>
      </c>
      <c r="F809" s="10" t="s">
        <v>1025</v>
      </c>
      <c r="G809" s="10" t="s">
        <v>55</v>
      </c>
      <c r="H809" s="8" t="n">
        <v>8</v>
      </c>
      <c r="I809" s="11" t="s">
        <v>3096</v>
      </c>
      <c r="J809" s="12" t="s">
        <v>3149</v>
      </c>
      <c r="K809" s="13" t="s">
        <v>507</v>
      </c>
      <c r="L809" s="12" t="s">
        <v>1676</v>
      </c>
      <c r="M809" s="12" t="s">
        <v>1102</v>
      </c>
      <c r="N809" s="12" t="s">
        <v>817</v>
      </c>
    </row>
    <row r="810" customFormat="false" ht="27.5" hidden="false" customHeight="false" outlineLevel="0" collapsed="false">
      <c r="A810" s="7" t="s">
        <v>3150</v>
      </c>
      <c r="B810" s="8" t="s">
        <v>3151</v>
      </c>
      <c r="C810" s="7" t="s">
        <v>3150</v>
      </c>
      <c r="D810" s="9" t="n">
        <v>20</v>
      </c>
      <c r="E810" s="9" t="s">
        <v>53</v>
      </c>
      <c r="F810" s="10" t="s">
        <v>505</v>
      </c>
      <c r="G810" s="10" t="s">
        <v>55</v>
      </c>
      <c r="H810" s="8" t="n">
        <v>8</v>
      </c>
      <c r="I810" s="11" t="s">
        <v>3096</v>
      </c>
      <c r="J810" s="12" t="s">
        <v>3152</v>
      </c>
      <c r="K810" s="13" t="s">
        <v>1724</v>
      </c>
      <c r="L810" s="12" t="s">
        <v>1676</v>
      </c>
      <c r="M810" s="12" t="s">
        <v>1102</v>
      </c>
      <c r="N810" s="12" t="s">
        <v>817</v>
      </c>
    </row>
    <row r="811" customFormat="false" ht="36" hidden="false" customHeight="false" outlineLevel="0" collapsed="false">
      <c r="A811" s="7" t="s">
        <v>3153</v>
      </c>
      <c r="B811" s="8" t="s">
        <v>3154</v>
      </c>
      <c r="C811" s="7" t="s">
        <v>3153</v>
      </c>
      <c r="D811" s="9" t="n">
        <v>3</v>
      </c>
      <c r="E811" s="10" t="s">
        <v>39</v>
      </c>
      <c r="F811" s="10" t="s">
        <v>59</v>
      </c>
      <c r="G811" s="10" t="s">
        <v>59</v>
      </c>
      <c r="H811" s="8" t="n">
        <v>8</v>
      </c>
      <c r="I811" s="11" t="s">
        <v>3096</v>
      </c>
      <c r="J811" s="12" t="s">
        <v>3155</v>
      </c>
      <c r="K811" s="13" t="s">
        <v>3106</v>
      </c>
      <c r="L811" s="12" t="s">
        <v>1676</v>
      </c>
      <c r="M811" s="12" t="s">
        <v>1102</v>
      </c>
      <c r="N811" s="12" t="s">
        <v>817</v>
      </c>
    </row>
    <row r="812" customFormat="false" ht="36" hidden="false" customHeight="false" outlineLevel="0" collapsed="false">
      <c r="A812" s="20" t="s">
        <v>3156</v>
      </c>
      <c r="B812" s="15" t="s">
        <v>3157</v>
      </c>
      <c r="C812" s="20" t="s">
        <v>3156</v>
      </c>
      <c r="D812" s="9" t="n">
        <v>11</v>
      </c>
      <c r="E812" s="10" t="s">
        <v>69</v>
      </c>
      <c r="F812" s="10" t="s">
        <v>526</v>
      </c>
      <c r="G812" s="10" t="s">
        <v>527</v>
      </c>
      <c r="H812" s="8" t="n">
        <v>8</v>
      </c>
      <c r="I812" s="11" t="s">
        <v>3096</v>
      </c>
      <c r="J812" s="13" t="s">
        <v>3158</v>
      </c>
      <c r="K812" s="13" t="s">
        <v>3159</v>
      </c>
      <c r="L812" s="12" t="s">
        <v>1903</v>
      </c>
      <c r="M812" s="12" t="s">
        <v>1824</v>
      </c>
      <c r="N812" s="12" t="s">
        <v>817</v>
      </c>
    </row>
    <row r="813" customFormat="false" ht="19" hidden="false" customHeight="false" outlineLevel="0" collapsed="false">
      <c r="A813" s="7" t="s">
        <v>3160</v>
      </c>
      <c r="B813" s="8" t="s">
        <v>3161</v>
      </c>
      <c r="C813" s="7" t="s">
        <v>3160</v>
      </c>
      <c r="D813" s="9" t="n">
        <v>1</v>
      </c>
      <c r="E813" s="10" t="s">
        <v>203</v>
      </c>
      <c r="F813" s="10" t="s">
        <v>531</v>
      </c>
      <c r="G813" s="10" t="s">
        <v>532</v>
      </c>
      <c r="H813" s="8" t="n">
        <v>8</v>
      </c>
      <c r="I813" s="11" t="s">
        <v>3096</v>
      </c>
      <c r="J813" s="12" t="s">
        <v>3162</v>
      </c>
      <c r="K813" s="13" t="s">
        <v>3163</v>
      </c>
      <c r="L813" s="12" t="s">
        <v>2675</v>
      </c>
      <c r="M813" s="12" t="s">
        <v>1102</v>
      </c>
      <c r="N813" s="12" t="s">
        <v>817</v>
      </c>
    </row>
    <row r="814" customFormat="false" ht="27.5" hidden="false" customHeight="false" outlineLevel="0" collapsed="false">
      <c r="A814" s="22" t="s">
        <v>3164</v>
      </c>
      <c r="B814" s="8" t="s">
        <v>3165</v>
      </c>
      <c r="C814" s="22" t="s">
        <v>3164</v>
      </c>
      <c r="D814" s="9" t="n">
        <v>27</v>
      </c>
      <c r="E814" s="10" t="s">
        <v>1083</v>
      </c>
      <c r="F814" s="10" t="s">
        <v>2529</v>
      </c>
      <c r="G814" s="10" t="s">
        <v>1084</v>
      </c>
      <c r="H814" s="8" t="n">
        <v>8</v>
      </c>
      <c r="I814" s="11" t="s">
        <v>3096</v>
      </c>
      <c r="J814" s="23" t="s">
        <v>3166</v>
      </c>
      <c r="K814" s="30" t="s">
        <v>3167</v>
      </c>
      <c r="L814" s="12" t="s">
        <v>222</v>
      </c>
      <c r="M814" s="12" t="s">
        <v>1102</v>
      </c>
      <c r="N814" s="12" t="s">
        <v>452</v>
      </c>
    </row>
    <row r="815" customFormat="false" ht="19" hidden="false" customHeight="false" outlineLevel="0" collapsed="false">
      <c r="A815" s="7" t="s">
        <v>3168</v>
      </c>
      <c r="B815" s="8" t="s">
        <v>3169</v>
      </c>
      <c r="C815" s="7" t="s">
        <v>3168</v>
      </c>
      <c r="D815" s="9" t="n">
        <v>1</v>
      </c>
      <c r="E815" s="10" t="s">
        <v>203</v>
      </c>
      <c r="F815" s="10" t="s">
        <v>2544</v>
      </c>
      <c r="G815" s="10" t="s">
        <v>2544</v>
      </c>
      <c r="H815" s="8" t="n">
        <v>8</v>
      </c>
      <c r="I815" s="11" t="s">
        <v>3096</v>
      </c>
      <c r="J815" s="12" t="s">
        <v>3170</v>
      </c>
      <c r="K815" s="12" t="s">
        <v>3171</v>
      </c>
      <c r="L815" s="12" t="s">
        <v>1903</v>
      </c>
      <c r="M815" s="12" t="s">
        <v>1824</v>
      </c>
      <c r="N815" s="12" t="s">
        <v>817</v>
      </c>
    </row>
    <row r="816" customFormat="false" ht="19" hidden="false" customHeight="false" outlineLevel="0" collapsed="false">
      <c r="A816" s="7" t="s">
        <v>3172</v>
      </c>
      <c r="B816" s="8" t="s">
        <v>3173</v>
      </c>
      <c r="C816" s="7" t="s">
        <v>3172</v>
      </c>
      <c r="D816" s="9" t="n">
        <v>1</v>
      </c>
      <c r="E816" s="10" t="s">
        <v>203</v>
      </c>
      <c r="F816" s="10" t="s">
        <v>2544</v>
      </c>
      <c r="G816" s="10" t="s">
        <v>2544</v>
      </c>
      <c r="H816" s="8" t="n">
        <v>8</v>
      </c>
      <c r="I816" s="11" t="s">
        <v>3096</v>
      </c>
      <c r="J816" s="12" t="s">
        <v>3174</v>
      </c>
      <c r="K816" s="12" t="s">
        <v>2354</v>
      </c>
      <c r="L816" s="12" t="s">
        <v>1676</v>
      </c>
      <c r="M816" s="12" t="s">
        <v>969</v>
      </c>
      <c r="N816" s="12" t="s">
        <v>23</v>
      </c>
    </row>
    <row r="817" customFormat="false" ht="36" hidden="false" customHeight="false" outlineLevel="0" collapsed="false">
      <c r="A817" s="7" t="s">
        <v>3175</v>
      </c>
      <c r="B817" s="8" t="s">
        <v>3176</v>
      </c>
      <c r="C817" s="7" t="s">
        <v>3175</v>
      </c>
      <c r="D817" s="9" t="n">
        <v>1</v>
      </c>
      <c r="E817" s="10" t="s">
        <v>203</v>
      </c>
      <c r="F817" s="10" t="s">
        <v>2544</v>
      </c>
      <c r="G817" s="10" t="s">
        <v>2544</v>
      </c>
      <c r="H817" s="8" t="n">
        <v>8</v>
      </c>
      <c r="I817" s="11" t="s">
        <v>3096</v>
      </c>
      <c r="J817" s="12" t="s">
        <v>3177</v>
      </c>
      <c r="K817" s="12" t="s">
        <v>3178</v>
      </c>
      <c r="L817" s="12" t="s">
        <v>1676</v>
      </c>
      <c r="M817" s="12" t="s">
        <v>969</v>
      </c>
      <c r="N817" s="12" t="s">
        <v>23</v>
      </c>
    </row>
    <row r="818" customFormat="false" ht="36" hidden="false" customHeight="false" outlineLevel="0" collapsed="false">
      <c r="A818" s="7" t="s">
        <v>3179</v>
      </c>
      <c r="B818" s="8" t="s">
        <v>3180</v>
      </c>
      <c r="C818" s="7" t="s">
        <v>3179</v>
      </c>
      <c r="D818" s="9" t="n">
        <v>1</v>
      </c>
      <c r="E818" s="10" t="s">
        <v>203</v>
      </c>
      <c r="F818" s="10" t="s">
        <v>2544</v>
      </c>
      <c r="G818" s="10" t="s">
        <v>2544</v>
      </c>
      <c r="H818" s="8" t="n">
        <v>8</v>
      </c>
      <c r="I818" s="11" t="s">
        <v>3096</v>
      </c>
      <c r="J818" s="12" t="s">
        <v>3181</v>
      </c>
      <c r="K818" s="12" t="s">
        <v>3178</v>
      </c>
      <c r="L818" s="12" t="s">
        <v>1676</v>
      </c>
      <c r="M818" s="12" t="s">
        <v>969</v>
      </c>
      <c r="N818" s="12" t="s">
        <v>817</v>
      </c>
    </row>
    <row r="819" customFormat="false" ht="27.5" hidden="false" customHeight="false" outlineLevel="0" collapsed="false">
      <c r="A819" s="7" t="s">
        <v>3182</v>
      </c>
      <c r="B819" s="8" t="s">
        <v>256</v>
      </c>
      <c r="C819" s="7" t="s">
        <v>3182</v>
      </c>
      <c r="D819" s="9" t="n">
        <v>1</v>
      </c>
      <c r="E819" s="10" t="s">
        <v>203</v>
      </c>
      <c r="F819" s="10" t="s">
        <v>2544</v>
      </c>
      <c r="G819" s="10" t="s">
        <v>2544</v>
      </c>
      <c r="H819" s="8" t="n">
        <v>8</v>
      </c>
      <c r="I819" s="11" t="s">
        <v>3096</v>
      </c>
      <c r="J819" s="12" t="s">
        <v>3183</v>
      </c>
      <c r="K819" s="12" t="s">
        <v>3184</v>
      </c>
      <c r="L819" s="12" t="s">
        <v>1676</v>
      </c>
      <c r="M819" s="12" t="s">
        <v>1102</v>
      </c>
      <c r="N819" s="12" t="s">
        <v>817</v>
      </c>
    </row>
    <row r="820" customFormat="false" ht="53" hidden="false" customHeight="false" outlineLevel="0" collapsed="false">
      <c r="A820" s="14" t="s">
        <v>3185</v>
      </c>
      <c r="B820" s="15" t="s">
        <v>3186</v>
      </c>
      <c r="C820" s="14" t="s">
        <v>3185</v>
      </c>
      <c r="D820" s="9" t="n">
        <v>26</v>
      </c>
      <c r="E820" s="10" t="s">
        <v>541</v>
      </c>
      <c r="F820" s="10" t="s">
        <v>1099</v>
      </c>
      <c r="G820" s="10" t="s">
        <v>542</v>
      </c>
      <c r="H820" s="8" t="n">
        <v>8</v>
      </c>
      <c r="I820" s="11" t="s">
        <v>3096</v>
      </c>
      <c r="J820" s="18" t="s">
        <v>3187</v>
      </c>
      <c r="K820" s="13" t="s">
        <v>3188</v>
      </c>
      <c r="L820" s="12" t="s">
        <v>2675</v>
      </c>
      <c r="M820" s="12" t="s">
        <v>1102</v>
      </c>
      <c r="N820" s="12" t="s">
        <v>817</v>
      </c>
    </row>
    <row r="821" customFormat="false" ht="27.5" hidden="false" customHeight="false" outlineLevel="0" collapsed="false">
      <c r="A821" s="7" t="s">
        <v>3189</v>
      </c>
      <c r="B821" s="8" t="s">
        <v>3190</v>
      </c>
      <c r="C821" s="7" t="s">
        <v>3189</v>
      </c>
      <c r="D821" s="9" t="n">
        <v>26</v>
      </c>
      <c r="E821" s="10" t="s">
        <v>541</v>
      </c>
      <c r="F821" s="10" t="s">
        <v>210</v>
      </c>
      <c r="G821" s="10" t="s">
        <v>542</v>
      </c>
      <c r="H821" s="8" t="n">
        <v>8</v>
      </c>
      <c r="I821" s="11" t="s">
        <v>3096</v>
      </c>
      <c r="J821" s="12" t="s">
        <v>3191</v>
      </c>
      <c r="K821" s="13" t="s">
        <v>3192</v>
      </c>
      <c r="L821" s="12" t="s">
        <v>1676</v>
      </c>
      <c r="M821" s="12" t="s">
        <v>1102</v>
      </c>
      <c r="N821" s="12" t="s">
        <v>452</v>
      </c>
    </row>
    <row r="822" customFormat="false" ht="36" hidden="false" customHeight="false" outlineLevel="0" collapsed="false">
      <c r="A822" s="14" t="s">
        <v>3193</v>
      </c>
      <c r="B822" s="15" t="s">
        <v>3194</v>
      </c>
      <c r="C822" s="14" t="s">
        <v>3193</v>
      </c>
      <c r="D822" s="9" t="n">
        <v>26</v>
      </c>
      <c r="E822" s="10" t="s">
        <v>541</v>
      </c>
      <c r="F822" s="10" t="s">
        <v>2555</v>
      </c>
      <c r="G822" s="10" t="s">
        <v>542</v>
      </c>
      <c r="H822" s="8" t="n">
        <v>8</v>
      </c>
      <c r="I822" s="11" t="s">
        <v>3096</v>
      </c>
      <c r="J822" s="18" t="s">
        <v>3195</v>
      </c>
      <c r="K822" s="12" t="s">
        <v>551</v>
      </c>
      <c r="L822" s="12" t="s">
        <v>222</v>
      </c>
      <c r="M822" s="12" t="s">
        <v>1102</v>
      </c>
      <c r="N822" s="12" t="s">
        <v>817</v>
      </c>
    </row>
    <row r="823" customFormat="false" ht="27.5" hidden="false" customHeight="false" outlineLevel="0" collapsed="false">
      <c r="A823" s="24" t="s">
        <v>3196</v>
      </c>
      <c r="B823" s="8" t="s">
        <v>3197</v>
      </c>
      <c r="C823" s="24" t="s">
        <v>3196</v>
      </c>
      <c r="D823" s="9" t="n">
        <v>26</v>
      </c>
      <c r="E823" s="10" t="s">
        <v>541</v>
      </c>
      <c r="F823" s="10" t="s">
        <v>1834</v>
      </c>
      <c r="G823" s="10" t="s">
        <v>542</v>
      </c>
      <c r="H823" s="8" t="n">
        <v>8</v>
      </c>
      <c r="I823" s="11" t="s">
        <v>3096</v>
      </c>
      <c r="J823" s="18" t="s">
        <v>3198</v>
      </c>
      <c r="K823" s="12" t="s">
        <v>3199</v>
      </c>
      <c r="L823" s="12" t="s">
        <v>1676</v>
      </c>
      <c r="M823" s="12" t="s">
        <v>1102</v>
      </c>
      <c r="N823" s="12" t="s">
        <v>452</v>
      </c>
    </row>
    <row r="824" customFormat="false" ht="104" hidden="false" customHeight="false" outlineLevel="0" collapsed="false">
      <c r="A824" s="20" t="s">
        <v>3200</v>
      </c>
      <c r="B824" s="15" t="s">
        <v>3201</v>
      </c>
      <c r="C824" s="20" t="s">
        <v>3200</v>
      </c>
      <c r="D824" s="9" t="n">
        <v>22</v>
      </c>
      <c r="E824" s="9" t="s">
        <v>47</v>
      </c>
      <c r="F824" s="10" t="s">
        <v>554</v>
      </c>
      <c r="G824" s="10" t="s">
        <v>554</v>
      </c>
      <c r="H824" s="8" t="n">
        <v>8</v>
      </c>
      <c r="I824" s="11" t="s">
        <v>3096</v>
      </c>
      <c r="J824" s="13" t="s">
        <v>2565</v>
      </c>
      <c r="K824" s="13" t="s">
        <v>2566</v>
      </c>
      <c r="L824" s="12" t="s">
        <v>1676</v>
      </c>
      <c r="M824" s="12" t="s">
        <v>1102</v>
      </c>
      <c r="N824" s="12" t="s">
        <v>817</v>
      </c>
    </row>
    <row r="825" customFormat="false" ht="27.5" hidden="false" customHeight="false" outlineLevel="0" collapsed="false">
      <c r="A825" s="20" t="s">
        <v>3202</v>
      </c>
      <c r="B825" s="15" t="s">
        <v>3203</v>
      </c>
      <c r="C825" s="20" t="s">
        <v>3202</v>
      </c>
      <c r="D825" s="9" t="n">
        <v>22</v>
      </c>
      <c r="E825" s="9" t="s">
        <v>47</v>
      </c>
      <c r="F825" s="10" t="s">
        <v>164</v>
      </c>
      <c r="G825" s="10" t="s">
        <v>3204</v>
      </c>
      <c r="H825" s="8" t="n">
        <v>8</v>
      </c>
      <c r="I825" s="11" t="s">
        <v>3096</v>
      </c>
      <c r="J825" s="13" t="s">
        <v>3205</v>
      </c>
      <c r="K825" s="13" t="s">
        <v>1015</v>
      </c>
      <c r="L825" s="12" t="s">
        <v>1676</v>
      </c>
      <c r="M825" s="12" t="s">
        <v>1102</v>
      </c>
      <c r="N825" s="12" t="s">
        <v>817</v>
      </c>
    </row>
    <row r="826" customFormat="false" ht="27.5" hidden="false" customHeight="false" outlineLevel="0" collapsed="false">
      <c r="A826" s="20" t="s">
        <v>3206</v>
      </c>
      <c r="B826" s="15" t="s">
        <v>3207</v>
      </c>
      <c r="C826" s="20" t="s">
        <v>3206</v>
      </c>
      <c r="D826" s="9" t="n">
        <v>9</v>
      </c>
      <c r="E826" s="10" t="s">
        <v>113</v>
      </c>
      <c r="F826" s="10" t="s">
        <v>264</v>
      </c>
      <c r="G826" s="10" t="s">
        <v>265</v>
      </c>
      <c r="H826" s="8" t="n">
        <v>8</v>
      </c>
      <c r="I826" s="11" t="s">
        <v>3096</v>
      </c>
      <c r="J826" s="18" t="s">
        <v>3208</v>
      </c>
      <c r="K826" s="13" t="s">
        <v>3209</v>
      </c>
      <c r="L826" s="12" t="s">
        <v>2675</v>
      </c>
      <c r="M826" s="12" t="s">
        <v>1102</v>
      </c>
      <c r="N826" s="12" t="s">
        <v>817</v>
      </c>
    </row>
    <row r="827" customFormat="false" ht="27.5" hidden="false" customHeight="false" outlineLevel="0" collapsed="false">
      <c r="A827" s="7" t="s">
        <v>3210</v>
      </c>
      <c r="B827" s="8" t="s">
        <v>3211</v>
      </c>
      <c r="C827" s="7" t="s">
        <v>3210</v>
      </c>
      <c r="D827" s="9" t="n">
        <v>12</v>
      </c>
      <c r="E827" s="10" t="s">
        <v>185</v>
      </c>
      <c r="F827" s="10" t="s">
        <v>587</v>
      </c>
      <c r="G827" s="10" t="s">
        <v>587</v>
      </c>
      <c r="H827" s="8" t="n">
        <v>8</v>
      </c>
      <c r="I827" s="11" t="s">
        <v>3096</v>
      </c>
      <c r="J827" s="12" t="s">
        <v>3212</v>
      </c>
      <c r="K827" s="13" t="s">
        <v>3213</v>
      </c>
      <c r="L827" s="12" t="s">
        <v>1676</v>
      </c>
      <c r="M827" s="12" t="s">
        <v>1102</v>
      </c>
      <c r="N827" s="12" t="s">
        <v>817</v>
      </c>
    </row>
    <row r="828" customFormat="false" ht="19" hidden="false" customHeight="false" outlineLevel="0" collapsed="false">
      <c r="A828" s="7" t="s">
        <v>3214</v>
      </c>
      <c r="B828" s="8" t="s">
        <v>3215</v>
      </c>
      <c r="C828" s="7" t="s">
        <v>3214</v>
      </c>
      <c r="D828" s="9" t="n">
        <v>11</v>
      </c>
      <c r="E828" s="10" t="s">
        <v>69</v>
      </c>
      <c r="F828" s="10" t="s">
        <v>289</v>
      </c>
      <c r="G828" s="10" t="s">
        <v>290</v>
      </c>
      <c r="H828" s="8" t="n">
        <v>8</v>
      </c>
      <c r="I828" s="11" t="s">
        <v>3096</v>
      </c>
      <c r="J828" s="12" t="s">
        <v>3216</v>
      </c>
      <c r="K828" s="13" t="s">
        <v>3217</v>
      </c>
      <c r="L828" s="12" t="s">
        <v>1676</v>
      </c>
      <c r="M828" s="12" t="s">
        <v>1102</v>
      </c>
      <c r="N828" s="12" t="s">
        <v>817</v>
      </c>
    </row>
    <row r="829" customFormat="false" ht="27.5" hidden="false" customHeight="false" outlineLevel="0" collapsed="false">
      <c r="A829" s="20" t="s">
        <v>3218</v>
      </c>
      <c r="B829" s="15" t="s">
        <v>3219</v>
      </c>
      <c r="C829" s="20" t="s">
        <v>3218</v>
      </c>
      <c r="D829" s="9" t="n">
        <v>10</v>
      </c>
      <c r="E829" s="9" t="s">
        <v>142</v>
      </c>
      <c r="F829" s="10" t="s">
        <v>621</v>
      </c>
      <c r="G829" s="10" t="s">
        <v>621</v>
      </c>
      <c r="H829" s="8" t="n">
        <v>8</v>
      </c>
      <c r="I829" s="11" t="s">
        <v>3096</v>
      </c>
      <c r="J829" s="13" t="s">
        <v>3220</v>
      </c>
      <c r="K829" s="13" t="s">
        <v>2647</v>
      </c>
      <c r="L829" s="12" t="s">
        <v>1903</v>
      </c>
      <c r="M829" s="12" t="s">
        <v>1824</v>
      </c>
      <c r="N829" s="12" t="s">
        <v>817</v>
      </c>
    </row>
    <row r="830" customFormat="false" ht="19" hidden="false" customHeight="false" outlineLevel="0" collapsed="false">
      <c r="A830" s="7" t="s">
        <v>3221</v>
      </c>
      <c r="B830" s="8" t="s">
        <v>3222</v>
      </c>
      <c r="C830" s="7" t="s">
        <v>3221</v>
      </c>
      <c r="D830" s="9" t="n">
        <v>9</v>
      </c>
      <c r="E830" s="10" t="s">
        <v>113</v>
      </c>
      <c r="F830" s="10" t="s">
        <v>296</v>
      </c>
      <c r="G830" s="10" t="s">
        <v>296</v>
      </c>
      <c r="H830" s="8" t="n">
        <v>8</v>
      </c>
      <c r="I830" s="11" t="s">
        <v>3096</v>
      </c>
      <c r="J830" s="12" t="s">
        <v>3223</v>
      </c>
      <c r="K830" s="12" t="s">
        <v>3224</v>
      </c>
      <c r="L830" s="12" t="s">
        <v>222</v>
      </c>
      <c r="M830" s="12" t="s">
        <v>1102</v>
      </c>
      <c r="N830" s="12" t="s">
        <v>817</v>
      </c>
    </row>
    <row r="831" customFormat="false" ht="19" hidden="false" customHeight="false" outlineLevel="0" collapsed="false">
      <c r="A831" s="20" t="s">
        <v>3225</v>
      </c>
      <c r="B831" s="15" t="s">
        <v>3226</v>
      </c>
      <c r="C831" s="20" t="s">
        <v>3225</v>
      </c>
      <c r="D831" s="9" t="n">
        <v>13</v>
      </c>
      <c r="E831" s="9" t="s">
        <v>79</v>
      </c>
      <c r="F831" s="10" t="s">
        <v>79</v>
      </c>
      <c r="G831" s="10" t="s">
        <v>79</v>
      </c>
      <c r="H831" s="8" t="n">
        <v>8</v>
      </c>
      <c r="I831" s="11" t="s">
        <v>3096</v>
      </c>
      <c r="J831" s="13" t="s">
        <v>3227</v>
      </c>
      <c r="K831" s="13" t="s">
        <v>3228</v>
      </c>
      <c r="L831" s="12" t="s">
        <v>1676</v>
      </c>
      <c r="M831" s="12" t="s">
        <v>1102</v>
      </c>
      <c r="N831" s="12" t="s">
        <v>817</v>
      </c>
    </row>
    <row r="832" customFormat="false" ht="36" hidden="false" customHeight="false" outlineLevel="0" collapsed="false">
      <c r="A832" s="7" t="s">
        <v>3229</v>
      </c>
      <c r="B832" s="8" t="s">
        <v>3230</v>
      </c>
      <c r="C832" s="7" t="s">
        <v>3229</v>
      </c>
      <c r="D832" s="9" t="n">
        <v>22</v>
      </c>
      <c r="E832" s="9" t="s">
        <v>47</v>
      </c>
      <c r="F832" s="10" t="s">
        <v>639</v>
      </c>
      <c r="G832" s="10" t="s">
        <v>639</v>
      </c>
      <c r="H832" s="8" t="n">
        <v>8</v>
      </c>
      <c r="I832" s="11" t="s">
        <v>3096</v>
      </c>
      <c r="J832" s="29" t="s">
        <v>3231</v>
      </c>
      <c r="K832" s="13" t="s">
        <v>1975</v>
      </c>
      <c r="L832" s="12" t="s">
        <v>222</v>
      </c>
      <c r="M832" s="12" t="s">
        <v>1102</v>
      </c>
      <c r="N832" s="12" t="s">
        <v>452</v>
      </c>
    </row>
    <row r="833" customFormat="false" ht="36" hidden="false" customHeight="false" outlineLevel="0" collapsed="false">
      <c r="A833" s="20" t="s">
        <v>3232</v>
      </c>
      <c r="B833" s="15" t="s">
        <v>3233</v>
      </c>
      <c r="C833" s="20" t="s">
        <v>3232</v>
      </c>
      <c r="D833" s="9" t="n">
        <v>22</v>
      </c>
      <c r="E833" s="9" t="s">
        <v>47</v>
      </c>
      <c r="F833" s="10" t="s">
        <v>648</v>
      </c>
      <c r="G833" s="10" t="s">
        <v>648</v>
      </c>
      <c r="H833" s="8" t="n">
        <v>8</v>
      </c>
      <c r="I833" s="11" t="s">
        <v>3096</v>
      </c>
      <c r="J833" s="13" t="s">
        <v>2686</v>
      </c>
      <c r="K833" s="13" t="s">
        <v>3234</v>
      </c>
      <c r="L833" s="12" t="s">
        <v>1676</v>
      </c>
      <c r="M833" s="12" t="s">
        <v>1102</v>
      </c>
      <c r="N833" s="12" t="s">
        <v>817</v>
      </c>
    </row>
    <row r="834" customFormat="false" ht="44.5" hidden="false" customHeight="false" outlineLevel="0" collapsed="false">
      <c r="A834" s="7" t="s">
        <v>3235</v>
      </c>
      <c r="B834" s="8" t="s">
        <v>3236</v>
      </c>
      <c r="C834" s="7" t="s">
        <v>3235</v>
      </c>
      <c r="D834" s="9" t="n">
        <v>22</v>
      </c>
      <c r="E834" s="9" t="s">
        <v>47</v>
      </c>
      <c r="F834" s="10" t="s">
        <v>348</v>
      </c>
      <c r="G834" s="10" t="s">
        <v>1993</v>
      </c>
      <c r="H834" s="8" t="n">
        <v>8</v>
      </c>
      <c r="I834" s="11" t="s">
        <v>3096</v>
      </c>
      <c r="J834" s="12" t="s">
        <v>3237</v>
      </c>
      <c r="K834" s="12" t="s">
        <v>1995</v>
      </c>
      <c r="L834" s="12" t="s">
        <v>222</v>
      </c>
      <c r="M834" s="12" t="s">
        <v>1102</v>
      </c>
      <c r="N834" s="12" t="s">
        <v>452</v>
      </c>
    </row>
    <row r="835" customFormat="false" ht="27.5" hidden="false" customHeight="false" outlineLevel="0" collapsed="false">
      <c r="A835" s="7" t="s">
        <v>3238</v>
      </c>
      <c r="B835" s="8" t="s">
        <v>3239</v>
      </c>
      <c r="C835" s="7" t="s">
        <v>3238</v>
      </c>
      <c r="D835" s="9" t="n">
        <v>12</v>
      </c>
      <c r="E835" s="10" t="s">
        <v>185</v>
      </c>
      <c r="F835" s="10" t="s">
        <v>186</v>
      </c>
      <c r="G835" s="10" t="s">
        <v>185</v>
      </c>
      <c r="H835" s="8" t="n">
        <v>8</v>
      </c>
      <c r="I835" s="11" t="s">
        <v>3096</v>
      </c>
      <c r="J835" s="12" t="s">
        <v>3240</v>
      </c>
      <c r="K835" s="13" t="s">
        <v>2707</v>
      </c>
      <c r="L835" s="12" t="s">
        <v>1676</v>
      </c>
      <c r="M835" s="12" t="s">
        <v>1102</v>
      </c>
      <c r="N835" s="12" t="s">
        <v>817</v>
      </c>
    </row>
    <row r="836" customFormat="false" ht="19" hidden="false" customHeight="false" outlineLevel="0" collapsed="false">
      <c r="A836" s="7" t="s">
        <v>3241</v>
      </c>
      <c r="B836" s="8" t="s">
        <v>3242</v>
      </c>
      <c r="C836" s="7" t="s">
        <v>3241</v>
      </c>
      <c r="D836" s="9" t="n">
        <v>11</v>
      </c>
      <c r="E836" s="10" t="s">
        <v>69</v>
      </c>
      <c r="F836" s="10" t="s">
        <v>455</v>
      </c>
      <c r="G836" s="10" t="s">
        <v>455</v>
      </c>
      <c r="H836" s="8" t="n">
        <v>8</v>
      </c>
      <c r="I836" s="11" t="s">
        <v>3096</v>
      </c>
      <c r="J836" s="12" t="s">
        <v>3243</v>
      </c>
      <c r="K836" s="12" t="s">
        <v>3244</v>
      </c>
      <c r="L836" s="12" t="s">
        <v>1903</v>
      </c>
      <c r="M836" s="12" t="s">
        <v>1824</v>
      </c>
      <c r="N836" s="12" t="s">
        <v>817</v>
      </c>
    </row>
    <row r="837" customFormat="false" ht="27.5" hidden="false" customHeight="false" outlineLevel="0" collapsed="false">
      <c r="A837" s="7" t="s">
        <v>3245</v>
      </c>
      <c r="B837" s="8" t="s">
        <v>3246</v>
      </c>
      <c r="C837" s="7" t="s">
        <v>3245</v>
      </c>
      <c r="D837" s="9" t="n">
        <v>11</v>
      </c>
      <c r="E837" s="10" t="s">
        <v>69</v>
      </c>
      <c r="F837" s="10" t="s">
        <v>455</v>
      </c>
      <c r="G837" s="10" t="s">
        <v>455</v>
      </c>
      <c r="H837" s="8" t="n">
        <v>8</v>
      </c>
      <c r="I837" s="11" t="s">
        <v>3096</v>
      </c>
      <c r="J837" s="12" t="s">
        <v>3247</v>
      </c>
      <c r="K837" s="12" t="s">
        <v>3244</v>
      </c>
      <c r="L837" s="12" t="s">
        <v>1903</v>
      </c>
      <c r="M837" s="12" t="s">
        <v>1824</v>
      </c>
      <c r="N837" s="12" t="s">
        <v>817</v>
      </c>
    </row>
    <row r="838" customFormat="false" ht="27.5" hidden="false" customHeight="false" outlineLevel="0" collapsed="false">
      <c r="A838" s="7" t="s">
        <v>3248</v>
      </c>
      <c r="B838" s="8" t="s">
        <v>3249</v>
      </c>
      <c r="C838" s="7" t="s">
        <v>3248</v>
      </c>
      <c r="D838" s="10" t="n">
        <v>8</v>
      </c>
      <c r="E838" s="10" t="s">
        <v>89</v>
      </c>
      <c r="F838" s="10" t="s">
        <v>90</v>
      </c>
      <c r="G838" s="10" t="s">
        <v>90</v>
      </c>
      <c r="H838" s="8" t="n">
        <v>8</v>
      </c>
      <c r="I838" s="11" t="s">
        <v>3096</v>
      </c>
      <c r="J838" s="12" t="s">
        <v>3250</v>
      </c>
      <c r="K838" s="12" t="s">
        <v>3251</v>
      </c>
      <c r="L838" s="12" t="s">
        <v>222</v>
      </c>
      <c r="M838" s="12" t="s">
        <v>1102</v>
      </c>
      <c r="N838" s="12" t="s">
        <v>452</v>
      </c>
    </row>
    <row r="839" customFormat="false" ht="27.5" hidden="false" customHeight="false" outlineLevel="0" collapsed="false">
      <c r="A839" s="7" t="s">
        <v>3252</v>
      </c>
      <c r="B839" s="8" t="s">
        <v>3253</v>
      </c>
      <c r="C839" s="7" t="s">
        <v>3252</v>
      </c>
      <c r="D839" s="9" t="n">
        <v>11</v>
      </c>
      <c r="E839" s="10" t="s">
        <v>69</v>
      </c>
      <c r="F839" s="10" t="s">
        <v>747</v>
      </c>
      <c r="G839" s="10" t="s">
        <v>1272</v>
      </c>
      <c r="H839" s="8" t="n">
        <v>8</v>
      </c>
      <c r="I839" s="11" t="s">
        <v>3096</v>
      </c>
      <c r="J839" s="12" t="s">
        <v>1276</v>
      </c>
      <c r="K839" s="13" t="s">
        <v>20</v>
      </c>
      <c r="L839" s="12" t="s">
        <v>1676</v>
      </c>
      <c r="M839" s="12" t="s">
        <v>1102</v>
      </c>
      <c r="N839" s="12" t="s">
        <v>817</v>
      </c>
    </row>
    <row r="840" customFormat="false" ht="27.5" hidden="false" customHeight="false" outlineLevel="0" collapsed="false">
      <c r="A840" s="20" t="s">
        <v>3254</v>
      </c>
      <c r="B840" s="15" t="s">
        <v>3255</v>
      </c>
      <c r="C840" s="20" t="s">
        <v>3254</v>
      </c>
      <c r="D840" s="9" t="n">
        <v>11</v>
      </c>
      <c r="E840" s="10" t="s">
        <v>69</v>
      </c>
      <c r="F840" s="10" t="s">
        <v>747</v>
      </c>
      <c r="G840" s="10" t="s">
        <v>1272</v>
      </c>
      <c r="H840" s="8" t="n">
        <v>8</v>
      </c>
      <c r="I840" s="11" t="s">
        <v>3096</v>
      </c>
      <c r="J840" s="13" t="s">
        <v>3256</v>
      </c>
      <c r="K840" s="13" t="s">
        <v>1281</v>
      </c>
      <c r="L840" s="12" t="s">
        <v>1903</v>
      </c>
      <c r="M840" s="12" t="s">
        <v>1824</v>
      </c>
      <c r="N840" s="12" t="s">
        <v>817</v>
      </c>
    </row>
    <row r="841" customFormat="false" ht="27.5" hidden="false" customHeight="false" outlineLevel="0" collapsed="false">
      <c r="A841" s="22" t="s">
        <v>3257</v>
      </c>
      <c r="B841" s="8" t="s">
        <v>3258</v>
      </c>
      <c r="C841" s="22" t="s">
        <v>3257</v>
      </c>
      <c r="D841" s="9" t="n">
        <v>18</v>
      </c>
      <c r="E841" s="10" t="s">
        <v>449</v>
      </c>
      <c r="F841" s="10" t="s">
        <v>442</v>
      </c>
      <c r="G841" s="10" t="s">
        <v>1321</v>
      </c>
      <c r="H841" s="8" t="n">
        <v>8</v>
      </c>
      <c r="I841" s="11" t="s">
        <v>3096</v>
      </c>
      <c r="J841" s="18" t="s">
        <v>3259</v>
      </c>
      <c r="K841" s="30" t="s">
        <v>3260</v>
      </c>
      <c r="L841" s="12" t="s">
        <v>1676</v>
      </c>
      <c r="M841" s="12" t="s">
        <v>1102</v>
      </c>
      <c r="N841" s="12" t="s">
        <v>452</v>
      </c>
    </row>
    <row r="842" customFormat="false" ht="27.5" hidden="false" customHeight="false" outlineLevel="0" collapsed="false">
      <c r="A842" s="14" t="s">
        <v>3261</v>
      </c>
      <c r="B842" s="15" t="s">
        <v>3262</v>
      </c>
      <c r="C842" s="14" t="s">
        <v>3261</v>
      </c>
      <c r="D842" s="9" t="n">
        <v>15</v>
      </c>
      <c r="E842" s="9" t="s">
        <v>536</v>
      </c>
      <c r="F842" s="10" t="s">
        <v>537</v>
      </c>
      <c r="G842" s="10" t="s">
        <v>3263</v>
      </c>
      <c r="H842" s="8" t="n">
        <v>8</v>
      </c>
      <c r="I842" s="11" t="s">
        <v>3096</v>
      </c>
      <c r="J842" s="21" t="s">
        <v>3264</v>
      </c>
      <c r="K842" s="13" t="s">
        <v>3265</v>
      </c>
      <c r="L842" s="12" t="s">
        <v>1676</v>
      </c>
      <c r="M842" s="12" t="s">
        <v>1102</v>
      </c>
      <c r="N842" s="12" t="s">
        <v>817</v>
      </c>
    </row>
    <row r="843" customFormat="false" ht="27.5" hidden="false" customHeight="false" outlineLevel="0" collapsed="false">
      <c r="A843" s="14" t="s">
        <v>3266</v>
      </c>
      <c r="B843" s="15" t="s">
        <v>3267</v>
      </c>
      <c r="C843" s="14" t="s">
        <v>3266</v>
      </c>
      <c r="D843" s="9" t="n">
        <v>15</v>
      </c>
      <c r="E843" s="9" t="s">
        <v>536</v>
      </c>
      <c r="F843" s="10" t="s">
        <v>537</v>
      </c>
      <c r="G843" s="10" t="s">
        <v>3263</v>
      </c>
      <c r="H843" s="8" t="n">
        <v>8</v>
      </c>
      <c r="I843" s="11" t="s">
        <v>3096</v>
      </c>
      <c r="J843" s="21" t="s">
        <v>3268</v>
      </c>
      <c r="K843" s="13" t="s">
        <v>3269</v>
      </c>
      <c r="L843" s="12" t="s">
        <v>1903</v>
      </c>
      <c r="M843" s="12" t="s">
        <v>1824</v>
      </c>
      <c r="N843" s="12" t="s">
        <v>817</v>
      </c>
    </row>
    <row r="844" customFormat="false" ht="19" hidden="false" customHeight="false" outlineLevel="0" collapsed="false">
      <c r="A844" s="14" t="s">
        <v>3270</v>
      </c>
      <c r="B844" s="15" t="s">
        <v>3271</v>
      </c>
      <c r="C844" s="14" t="s">
        <v>3270</v>
      </c>
      <c r="D844" s="9" t="n">
        <v>15</v>
      </c>
      <c r="E844" s="9" t="s">
        <v>536</v>
      </c>
      <c r="F844" s="10" t="s">
        <v>537</v>
      </c>
      <c r="G844" s="10" t="s">
        <v>3263</v>
      </c>
      <c r="H844" s="8" t="n">
        <v>8</v>
      </c>
      <c r="I844" s="11" t="s">
        <v>3096</v>
      </c>
      <c r="J844" s="21" t="s">
        <v>3272</v>
      </c>
      <c r="K844" s="13" t="s">
        <v>3269</v>
      </c>
      <c r="L844" s="12" t="s">
        <v>1903</v>
      </c>
      <c r="M844" s="12" t="s">
        <v>1824</v>
      </c>
      <c r="N844" s="12" t="s">
        <v>817</v>
      </c>
    </row>
    <row r="845" customFormat="false" ht="44.5" hidden="false" customHeight="false" outlineLevel="0" collapsed="false">
      <c r="A845" s="14" t="s">
        <v>3273</v>
      </c>
      <c r="B845" s="8" t="s">
        <v>3274</v>
      </c>
      <c r="C845" s="14" t="s">
        <v>3273</v>
      </c>
      <c r="D845" s="9" t="n">
        <v>24</v>
      </c>
      <c r="E845" s="9" t="s">
        <v>1342</v>
      </c>
      <c r="F845" s="10" t="s">
        <v>1609</v>
      </c>
      <c r="G845" s="10" t="s">
        <v>1344</v>
      </c>
      <c r="H845" s="8" t="n">
        <v>8</v>
      </c>
      <c r="I845" s="11" t="s">
        <v>3096</v>
      </c>
      <c r="J845" s="18" t="s">
        <v>3275</v>
      </c>
      <c r="K845" s="13" t="s">
        <v>2754</v>
      </c>
      <c r="L845" s="12" t="s">
        <v>1676</v>
      </c>
      <c r="M845" s="12" t="s">
        <v>1102</v>
      </c>
      <c r="N845" s="12" t="s">
        <v>817</v>
      </c>
    </row>
    <row r="846" customFormat="false" ht="44.5" hidden="false" customHeight="false" outlineLevel="0" collapsed="false">
      <c r="A846" s="14" t="s">
        <v>3276</v>
      </c>
      <c r="B846" s="15" t="s">
        <v>3277</v>
      </c>
      <c r="C846" s="14" t="s">
        <v>3276</v>
      </c>
      <c r="D846" s="9" t="n">
        <v>24</v>
      </c>
      <c r="E846" s="9" t="s">
        <v>1342</v>
      </c>
      <c r="F846" s="10" t="s">
        <v>1634</v>
      </c>
      <c r="G846" s="10" t="s">
        <v>1344</v>
      </c>
      <c r="H846" s="8" t="n">
        <v>8</v>
      </c>
      <c r="I846" s="11" t="s">
        <v>3096</v>
      </c>
      <c r="J846" s="21" t="s">
        <v>3278</v>
      </c>
      <c r="K846" s="13" t="s">
        <v>3279</v>
      </c>
      <c r="L846" s="12" t="s">
        <v>1903</v>
      </c>
      <c r="M846" s="12" t="s">
        <v>1824</v>
      </c>
      <c r="N846" s="12" t="s">
        <v>817</v>
      </c>
    </row>
    <row r="847" customFormat="false" ht="27.5" hidden="false" customHeight="false" outlineLevel="0" collapsed="false">
      <c r="A847" s="14" t="s">
        <v>3280</v>
      </c>
      <c r="B847" s="15" t="s">
        <v>3281</v>
      </c>
      <c r="C847" s="14" t="s">
        <v>3280</v>
      </c>
      <c r="D847" s="9" t="n">
        <v>24</v>
      </c>
      <c r="E847" s="9" t="s">
        <v>1342</v>
      </c>
      <c r="F847" s="10" t="s">
        <v>1609</v>
      </c>
      <c r="G847" s="10" t="s">
        <v>1344</v>
      </c>
      <c r="H847" s="8" t="n">
        <v>8</v>
      </c>
      <c r="I847" s="11" t="s">
        <v>3096</v>
      </c>
      <c r="J847" s="21" t="s">
        <v>3282</v>
      </c>
      <c r="K847" s="13" t="s">
        <v>2754</v>
      </c>
      <c r="L847" s="12" t="s">
        <v>1903</v>
      </c>
      <c r="M847" s="12" t="s">
        <v>1824</v>
      </c>
      <c r="N847" s="12" t="s">
        <v>817</v>
      </c>
    </row>
    <row r="848" customFormat="false" ht="27.5" hidden="false" customHeight="false" outlineLevel="0" collapsed="false">
      <c r="A848" s="22" t="s">
        <v>3283</v>
      </c>
      <c r="B848" s="8" t="s">
        <v>3284</v>
      </c>
      <c r="C848" s="22" t="s">
        <v>3283</v>
      </c>
      <c r="D848" s="9" t="n">
        <v>24</v>
      </c>
      <c r="E848" s="10" t="s">
        <v>1342</v>
      </c>
      <c r="F848" s="10" t="s">
        <v>1634</v>
      </c>
      <c r="G848" s="10" t="s">
        <v>1344</v>
      </c>
      <c r="H848" s="8" t="n">
        <v>8</v>
      </c>
      <c r="I848" s="11" t="s">
        <v>3096</v>
      </c>
      <c r="J848" s="23" t="s">
        <v>3285</v>
      </c>
      <c r="K848" s="13" t="s">
        <v>2754</v>
      </c>
      <c r="L848" s="12" t="s">
        <v>1676</v>
      </c>
      <c r="M848" s="12" t="s">
        <v>1102</v>
      </c>
      <c r="N848" s="12" t="s">
        <v>817</v>
      </c>
    </row>
    <row r="849" customFormat="false" ht="36" hidden="false" customHeight="false" outlineLevel="0" collapsed="false">
      <c r="A849" s="14" t="s">
        <v>3286</v>
      </c>
      <c r="B849" s="15" t="s">
        <v>3287</v>
      </c>
      <c r="C849" s="14" t="s">
        <v>3286</v>
      </c>
      <c r="D849" s="9" t="n">
        <v>24</v>
      </c>
      <c r="E849" s="9" t="s">
        <v>1342</v>
      </c>
      <c r="F849" s="10" t="s">
        <v>1609</v>
      </c>
      <c r="G849" s="10" t="s">
        <v>1344</v>
      </c>
      <c r="H849" s="8" t="n">
        <v>8</v>
      </c>
      <c r="I849" s="11" t="s">
        <v>3096</v>
      </c>
      <c r="J849" s="18" t="s">
        <v>3288</v>
      </c>
      <c r="K849" s="13" t="s">
        <v>3089</v>
      </c>
      <c r="L849" s="12" t="s">
        <v>2675</v>
      </c>
      <c r="M849" s="12" t="s">
        <v>1102</v>
      </c>
      <c r="N849" s="12" t="s">
        <v>817</v>
      </c>
    </row>
    <row r="850" customFormat="false" ht="53" hidden="false" customHeight="false" outlineLevel="0" collapsed="false">
      <c r="A850" s="14" t="s">
        <v>3289</v>
      </c>
      <c r="B850" s="15" t="s">
        <v>3290</v>
      </c>
      <c r="C850" s="14" t="s">
        <v>3289</v>
      </c>
      <c r="D850" s="9" t="n">
        <v>24</v>
      </c>
      <c r="E850" s="10" t="s">
        <v>1342</v>
      </c>
      <c r="F850" s="10" t="s">
        <v>1634</v>
      </c>
      <c r="G850" s="10" t="s">
        <v>1344</v>
      </c>
      <c r="H850" s="8" t="n">
        <v>8</v>
      </c>
      <c r="I850" s="11" t="s">
        <v>3096</v>
      </c>
      <c r="J850" s="18" t="s">
        <v>3291</v>
      </c>
      <c r="K850" s="13" t="s">
        <v>3292</v>
      </c>
      <c r="L850" s="12" t="s">
        <v>1676</v>
      </c>
      <c r="M850" s="12" t="s">
        <v>1102</v>
      </c>
      <c r="N850" s="12" t="s">
        <v>817</v>
      </c>
    </row>
    <row r="851" customFormat="false" ht="27.5" hidden="false" customHeight="false" outlineLevel="0" collapsed="false">
      <c r="A851" s="22" t="s">
        <v>3293</v>
      </c>
      <c r="B851" s="8" t="s">
        <v>3294</v>
      </c>
      <c r="C851" s="22" t="s">
        <v>3293</v>
      </c>
      <c r="D851" s="9" t="n">
        <v>24</v>
      </c>
      <c r="E851" s="10" t="s">
        <v>1342</v>
      </c>
      <c r="F851" s="10" t="s">
        <v>1343</v>
      </c>
      <c r="G851" s="10" t="s">
        <v>1344</v>
      </c>
      <c r="H851" s="8" t="n">
        <v>8</v>
      </c>
      <c r="I851" s="11" t="s">
        <v>3096</v>
      </c>
      <c r="J851" s="23" t="s">
        <v>3295</v>
      </c>
      <c r="K851" s="12" t="s">
        <v>1411</v>
      </c>
      <c r="L851" s="12" t="s">
        <v>1676</v>
      </c>
      <c r="M851" s="12" t="s">
        <v>1102</v>
      </c>
      <c r="N851" s="12" t="s">
        <v>817</v>
      </c>
    </row>
    <row r="852" customFormat="false" ht="27.5" hidden="false" customHeight="false" outlineLevel="0" collapsed="false">
      <c r="A852" s="14" t="s">
        <v>3296</v>
      </c>
      <c r="B852" s="15" t="s">
        <v>3297</v>
      </c>
      <c r="C852" s="14" t="s">
        <v>3296</v>
      </c>
      <c r="D852" s="9" t="n">
        <v>24</v>
      </c>
      <c r="E852" s="9" t="s">
        <v>1342</v>
      </c>
      <c r="F852" s="10" t="s">
        <v>1609</v>
      </c>
      <c r="G852" s="10" t="s">
        <v>1344</v>
      </c>
      <c r="H852" s="8" t="n">
        <v>8</v>
      </c>
      <c r="I852" s="11" t="s">
        <v>3096</v>
      </c>
      <c r="J852" s="18" t="s">
        <v>3298</v>
      </c>
      <c r="K852" s="13" t="s">
        <v>3299</v>
      </c>
      <c r="L852" s="12" t="s">
        <v>1676</v>
      </c>
      <c r="M852" s="12" t="s">
        <v>1102</v>
      </c>
      <c r="N852" s="12" t="s">
        <v>817</v>
      </c>
    </row>
    <row r="853" customFormat="false" ht="27.5" hidden="false" customHeight="false" outlineLevel="0" collapsed="false">
      <c r="A853" s="14" t="s">
        <v>3300</v>
      </c>
      <c r="B853" s="15" t="s">
        <v>3301</v>
      </c>
      <c r="C853" s="14" t="s">
        <v>3300</v>
      </c>
      <c r="D853" s="9" t="n">
        <v>24</v>
      </c>
      <c r="E853" s="9" t="s">
        <v>1342</v>
      </c>
      <c r="F853" s="10" t="s">
        <v>1634</v>
      </c>
      <c r="G853" s="10" t="s">
        <v>1344</v>
      </c>
      <c r="H853" s="8" t="n">
        <v>8</v>
      </c>
      <c r="I853" s="11" t="s">
        <v>3096</v>
      </c>
      <c r="J853" s="18" t="s">
        <v>3302</v>
      </c>
      <c r="K853" s="30" t="s">
        <v>3303</v>
      </c>
      <c r="L853" s="12" t="s">
        <v>1903</v>
      </c>
      <c r="M853" s="12" t="s">
        <v>1824</v>
      </c>
      <c r="N853" s="12" t="s">
        <v>306</v>
      </c>
    </row>
    <row r="854" customFormat="false" ht="19" hidden="false" customHeight="false" outlineLevel="0" collapsed="false">
      <c r="A854" s="7" t="s">
        <v>3304</v>
      </c>
      <c r="B854" s="8" t="s">
        <v>3305</v>
      </c>
      <c r="C854" s="7" t="s">
        <v>3304</v>
      </c>
      <c r="D854" s="9" t="n">
        <v>5</v>
      </c>
      <c r="E854" s="10" t="s">
        <v>63</v>
      </c>
      <c r="F854" s="10" t="s">
        <v>98</v>
      </c>
      <c r="G854" s="10" t="s">
        <v>98</v>
      </c>
      <c r="H854" s="8" t="n">
        <v>8</v>
      </c>
      <c r="I854" s="11" t="s">
        <v>3096</v>
      </c>
      <c r="J854" s="12" t="s">
        <v>3306</v>
      </c>
      <c r="K854" s="13" t="s">
        <v>3307</v>
      </c>
      <c r="L854" s="12" t="s">
        <v>1676</v>
      </c>
      <c r="M854" s="12" t="s">
        <v>1102</v>
      </c>
      <c r="N854" s="12" t="s">
        <v>306</v>
      </c>
    </row>
    <row r="855" customFormat="false" ht="19" hidden="false" customHeight="false" outlineLevel="0" collapsed="false">
      <c r="A855" s="7" t="s">
        <v>3308</v>
      </c>
      <c r="B855" s="8" t="s">
        <v>3309</v>
      </c>
      <c r="C855" s="7" t="s">
        <v>3308</v>
      </c>
      <c r="D855" s="9" t="n">
        <v>6</v>
      </c>
      <c r="E855" s="10" t="s">
        <v>180</v>
      </c>
      <c r="F855" s="10" t="s">
        <v>98</v>
      </c>
      <c r="G855" s="10" t="s">
        <v>98</v>
      </c>
      <c r="H855" s="8" t="n">
        <v>8</v>
      </c>
      <c r="I855" s="11" t="s">
        <v>3096</v>
      </c>
      <c r="J855" s="12" t="s">
        <v>3310</v>
      </c>
      <c r="K855" s="13" t="s">
        <v>2683</v>
      </c>
      <c r="L855" s="12" t="s">
        <v>1676</v>
      </c>
      <c r="M855" s="12" t="s">
        <v>1102</v>
      </c>
      <c r="N855" s="12" t="s">
        <v>817</v>
      </c>
    </row>
    <row r="856" customFormat="false" ht="19" hidden="false" customHeight="false" outlineLevel="0" collapsed="false">
      <c r="A856" s="7" t="s">
        <v>3311</v>
      </c>
      <c r="B856" s="8" t="s">
        <v>3312</v>
      </c>
      <c r="C856" s="7" t="s">
        <v>3311</v>
      </c>
      <c r="D856" s="9" t="n">
        <v>1</v>
      </c>
      <c r="E856" s="10" t="s">
        <v>203</v>
      </c>
      <c r="F856" s="10" t="s">
        <v>98</v>
      </c>
      <c r="G856" s="10" t="s">
        <v>98</v>
      </c>
      <c r="H856" s="8" t="n">
        <v>8</v>
      </c>
      <c r="I856" s="11" t="s">
        <v>3096</v>
      </c>
      <c r="J856" s="12" t="s">
        <v>3313</v>
      </c>
      <c r="K856" s="12" t="s">
        <v>3314</v>
      </c>
      <c r="L856" s="12" t="s">
        <v>222</v>
      </c>
      <c r="M856" s="12" t="s">
        <v>1102</v>
      </c>
      <c r="N856" s="12" t="s">
        <v>817</v>
      </c>
    </row>
    <row r="857" customFormat="false" ht="19" hidden="false" customHeight="false" outlineLevel="0" collapsed="false">
      <c r="A857" s="7" t="s">
        <v>3315</v>
      </c>
      <c r="B857" s="8" t="s">
        <v>3316</v>
      </c>
      <c r="C857" s="7" t="s">
        <v>3315</v>
      </c>
      <c r="D857" s="9" t="n">
        <v>1</v>
      </c>
      <c r="E857" s="10" t="s">
        <v>203</v>
      </c>
      <c r="F857" s="10" t="s">
        <v>98</v>
      </c>
      <c r="G857" s="10" t="s">
        <v>98</v>
      </c>
      <c r="H857" s="8" t="n">
        <v>8</v>
      </c>
      <c r="I857" s="11" t="s">
        <v>3096</v>
      </c>
      <c r="J857" s="12" t="s">
        <v>3317</v>
      </c>
      <c r="K857" s="12" t="s">
        <v>2091</v>
      </c>
      <c r="L857" s="12" t="s">
        <v>222</v>
      </c>
      <c r="M857" s="12" t="s">
        <v>1102</v>
      </c>
      <c r="N857" s="12" t="s">
        <v>817</v>
      </c>
    </row>
    <row r="858" customFormat="false" ht="19" hidden="false" customHeight="false" outlineLevel="0" collapsed="false">
      <c r="A858" s="7" t="s">
        <v>3318</v>
      </c>
      <c r="B858" s="8" t="s">
        <v>3319</v>
      </c>
      <c r="C858" s="7" t="s">
        <v>3318</v>
      </c>
      <c r="D858" s="9" t="n">
        <v>1</v>
      </c>
      <c r="E858" s="10" t="s">
        <v>203</v>
      </c>
      <c r="F858" s="10" t="s">
        <v>98</v>
      </c>
      <c r="G858" s="10" t="s">
        <v>98</v>
      </c>
      <c r="H858" s="8" t="n">
        <v>8</v>
      </c>
      <c r="I858" s="11" t="s">
        <v>3096</v>
      </c>
      <c r="J858" s="12" t="s">
        <v>3320</v>
      </c>
      <c r="K858" s="12" t="s">
        <v>3321</v>
      </c>
      <c r="L858" s="12" t="s">
        <v>1903</v>
      </c>
      <c r="M858" s="12" t="s">
        <v>1824</v>
      </c>
      <c r="N858" s="12" t="s">
        <v>817</v>
      </c>
    </row>
    <row r="859" customFormat="false" ht="36" hidden="false" customHeight="false" outlineLevel="0" collapsed="false">
      <c r="A859" s="7" t="s">
        <v>3322</v>
      </c>
      <c r="B859" s="8" t="s">
        <v>3323</v>
      </c>
      <c r="C859" s="7" t="s">
        <v>3322</v>
      </c>
      <c r="D859" s="9" t="n">
        <v>22</v>
      </c>
      <c r="E859" s="9" t="s">
        <v>47</v>
      </c>
      <c r="F859" s="10" t="s">
        <v>354</v>
      </c>
      <c r="G859" s="10" t="s">
        <v>354</v>
      </c>
      <c r="H859" s="8" t="n">
        <v>8</v>
      </c>
      <c r="I859" s="11" t="s">
        <v>3096</v>
      </c>
      <c r="J859" s="12" t="s">
        <v>3324</v>
      </c>
      <c r="K859" s="12" t="s">
        <v>3325</v>
      </c>
      <c r="L859" s="12" t="s">
        <v>1676</v>
      </c>
      <c r="M859" s="12" t="s">
        <v>1102</v>
      </c>
      <c r="N859" s="12" t="s">
        <v>817</v>
      </c>
    </row>
    <row r="860" customFormat="false" ht="19" hidden="false" customHeight="false" outlineLevel="0" collapsed="false">
      <c r="A860" s="7" t="s">
        <v>3326</v>
      </c>
      <c r="B860" s="8" t="s">
        <v>3327</v>
      </c>
      <c r="C860" s="7" t="s">
        <v>3326</v>
      </c>
      <c r="D860" s="9" t="n">
        <v>10</v>
      </c>
      <c r="E860" s="10" t="s">
        <v>142</v>
      </c>
      <c r="F860" s="10" t="s">
        <v>768</v>
      </c>
      <c r="G860" s="10" t="s">
        <v>769</v>
      </c>
      <c r="H860" s="8" t="n">
        <v>8</v>
      </c>
      <c r="I860" s="11" t="s">
        <v>3096</v>
      </c>
      <c r="J860" s="12" t="s">
        <v>3328</v>
      </c>
      <c r="K860" s="13" t="s">
        <v>3329</v>
      </c>
      <c r="L860" s="12" t="s">
        <v>1676</v>
      </c>
      <c r="M860" s="12" t="s">
        <v>1102</v>
      </c>
      <c r="N860" s="12" t="s">
        <v>817</v>
      </c>
    </row>
    <row r="861" customFormat="false" ht="19" hidden="false" customHeight="false" outlineLevel="0" collapsed="false">
      <c r="A861" s="22" t="s">
        <v>3330</v>
      </c>
      <c r="B861" s="8" t="s">
        <v>3331</v>
      </c>
      <c r="C861" s="22" t="s">
        <v>3330</v>
      </c>
      <c r="D861" s="9" t="n">
        <v>10</v>
      </c>
      <c r="E861" s="10" t="s">
        <v>142</v>
      </c>
      <c r="F861" s="10" t="s">
        <v>768</v>
      </c>
      <c r="G861" s="10" t="s">
        <v>769</v>
      </c>
      <c r="H861" s="8" t="n">
        <v>8</v>
      </c>
      <c r="I861" s="11" t="s">
        <v>3096</v>
      </c>
      <c r="J861" s="23" t="s">
        <v>3332</v>
      </c>
      <c r="K861" s="13" t="s">
        <v>3333</v>
      </c>
      <c r="L861" s="12" t="s">
        <v>1903</v>
      </c>
      <c r="M861" s="12" t="s">
        <v>969</v>
      </c>
      <c r="N861" s="12" t="s">
        <v>817</v>
      </c>
    </row>
    <row r="862" customFormat="false" ht="27.5" hidden="false" customHeight="false" outlineLevel="0" collapsed="false">
      <c r="A862" s="7" t="s">
        <v>3334</v>
      </c>
      <c r="B862" s="8" t="s">
        <v>3335</v>
      </c>
      <c r="C862" s="7" t="s">
        <v>3334</v>
      </c>
      <c r="D862" s="9" t="n">
        <v>9</v>
      </c>
      <c r="E862" s="10" t="s">
        <v>113</v>
      </c>
      <c r="F862" s="10" t="s">
        <v>774</v>
      </c>
      <c r="G862" s="10" t="s">
        <v>774</v>
      </c>
      <c r="H862" s="8" t="n">
        <v>8</v>
      </c>
      <c r="I862" s="11" t="s">
        <v>3096</v>
      </c>
      <c r="J862" s="12" t="s">
        <v>3336</v>
      </c>
      <c r="K862" s="13" t="s">
        <v>3337</v>
      </c>
      <c r="L862" s="12" t="s">
        <v>1903</v>
      </c>
      <c r="M862" s="12" t="s">
        <v>1824</v>
      </c>
      <c r="N862" s="12" t="s">
        <v>817</v>
      </c>
    </row>
    <row r="863" customFormat="false" ht="27.5" hidden="false" customHeight="false" outlineLevel="0" collapsed="false">
      <c r="A863" s="20" t="s">
        <v>3338</v>
      </c>
      <c r="B863" s="15" t="s">
        <v>3339</v>
      </c>
      <c r="C863" s="20" t="s">
        <v>3338</v>
      </c>
      <c r="D863" s="9" t="n">
        <v>5</v>
      </c>
      <c r="E863" s="9" t="s">
        <v>63</v>
      </c>
      <c r="F863" s="10" t="s">
        <v>134</v>
      </c>
      <c r="G863" s="10" t="s">
        <v>2168</v>
      </c>
      <c r="H863" s="8" t="n">
        <v>8</v>
      </c>
      <c r="I863" s="11" t="s">
        <v>3096</v>
      </c>
      <c r="J863" s="13" t="s">
        <v>3340</v>
      </c>
      <c r="K863" s="13" t="s">
        <v>3341</v>
      </c>
      <c r="L863" s="12" t="s">
        <v>2675</v>
      </c>
      <c r="M863" s="12" t="s">
        <v>1102</v>
      </c>
      <c r="N863" s="12" t="s">
        <v>817</v>
      </c>
    </row>
    <row r="864" customFormat="false" ht="27.5" hidden="false" customHeight="false" outlineLevel="0" collapsed="false">
      <c r="A864" s="14" t="s">
        <v>3342</v>
      </c>
      <c r="B864" s="15" t="s">
        <v>3343</v>
      </c>
      <c r="C864" s="14" t="s">
        <v>3342</v>
      </c>
      <c r="D864" s="9" t="n">
        <v>5</v>
      </c>
      <c r="E864" s="10" t="s">
        <v>63</v>
      </c>
      <c r="F864" s="17" t="s">
        <v>791</v>
      </c>
      <c r="G864" s="18" t="s">
        <v>791</v>
      </c>
      <c r="H864" s="8" t="n">
        <v>8</v>
      </c>
      <c r="I864" s="11" t="s">
        <v>3096</v>
      </c>
      <c r="J864" s="12" t="s">
        <v>3344</v>
      </c>
      <c r="K864" s="13" t="s">
        <v>3345</v>
      </c>
      <c r="L864" s="12" t="s">
        <v>1676</v>
      </c>
      <c r="M864" s="12" t="s">
        <v>1102</v>
      </c>
      <c r="N864" s="12" t="s">
        <v>817</v>
      </c>
    </row>
    <row r="865" customFormat="false" ht="27.5" hidden="false" customHeight="false" outlineLevel="0" collapsed="false">
      <c r="A865" s="7" t="s">
        <v>3346</v>
      </c>
      <c r="B865" s="8" t="s">
        <v>3347</v>
      </c>
      <c r="C865" s="7" t="s">
        <v>3346</v>
      </c>
      <c r="D865" s="9" t="n">
        <v>5</v>
      </c>
      <c r="E865" s="10" t="s">
        <v>63</v>
      </c>
      <c r="F865" s="10" t="s">
        <v>805</v>
      </c>
      <c r="G865" s="10" t="s">
        <v>805</v>
      </c>
      <c r="H865" s="8" t="n">
        <v>8</v>
      </c>
      <c r="I865" s="11" t="s">
        <v>3096</v>
      </c>
      <c r="J865" s="12" t="s">
        <v>3348</v>
      </c>
      <c r="K865" s="13" t="s">
        <v>2894</v>
      </c>
      <c r="L865" s="12" t="s">
        <v>1676</v>
      </c>
      <c r="M865" s="12" t="s">
        <v>1102</v>
      </c>
      <c r="N865" s="12" t="s">
        <v>817</v>
      </c>
    </row>
    <row r="866" customFormat="false" ht="44.5" hidden="false" customHeight="false" outlineLevel="0" collapsed="false">
      <c r="A866" s="22" t="s">
        <v>3349</v>
      </c>
      <c r="B866" s="8" t="s">
        <v>3350</v>
      </c>
      <c r="C866" s="22" t="s">
        <v>3349</v>
      </c>
      <c r="D866" s="9" t="n">
        <v>18</v>
      </c>
      <c r="E866" s="10" t="s">
        <v>449</v>
      </c>
      <c r="F866" s="10" t="s">
        <v>600</v>
      </c>
      <c r="G866" s="10" t="s">
        <v>3351</v>
      </c>
      <c r="H866" s="8" t="n">
        <v>8</v>
      </c>
      <c r="I866" s="11" t="s">
        <v>3096</v>
      </c>
      <c r="J866" s="31" t="s">
        <v>3352</v>
      </c>
      <c r="K866" s="18" t="s">
        <v>3353</v>
      </c>
      <c r="L866" s="12" t="s">
        <v>1676</v>
      </c>
      <c r="M866" s="12" t="s">
        <v>1102</v>
      </c>
      <c r="N866" s="12" t="s">
        <v>452</v>
      </c>
    </row>
    <row r="867" customFormat="false" ht="27.5" hidden="false" customHeight="false" outlineLevel="0" collapsed="false">
      <c r="A867" s="22" t="s">
        <v>3354</v>
      </c>
      <c r="B867" s="8" t="s">
        <v>3355</v>
      </c>
      <c r="C867" s="22" t="s">
        <v>3354</v>
      </c>
      <c r="D867" s="9" t="n">
        <v>18</v>
      </c>
      <c r="E867" s="10" t="s">
        <v>449</v>
      </c>
      <c r="F867" s="10" t="s">
        <v>600</v>
      </c>
      <c r="G867" s="10" t="s">
        <v>3351</v>
      </c>
      <c r="H867" s="8" t="n">
        <v>8</v>
      </c>
      <c r="I867" s="11" t="s">
        <v>3096</v>
      </c>
      <c r="J867" s="31" t="s">
        <v>3356</v>
      </c>
      <c r="K867" s="18" t="s">
        <v>3353</v>
      </c>
      <c r="L867" s="12" t="s">
        <v>1676</v>
      </c>
      <c r="M867" s="12" t="s">
        <v>1102</v>
      </c>
      <c r="N867" s="12" t="s">
        <v>817</v>
      </c>
    </row>
    <row r="868" customFormat="false" ht="27.5" hidden="false" customHeight="false" outlineLevel="0" collapsed="false">
      <c r="A868" s="14" t="s">
        <v>3357</v>
      </c>
      <c r="B868" s="15" t="s">
        <v>3358</v>
      </c>
      <c r="C868" s="14" t="s">
        <v>3357</v>
      </c>
      <c r="D868" s="9" t="n">
        <v>26</v>
      </c>
      <c r="E868" s="10" t="s">
        <v>541</v>
      </c>
      <c r="F868" s="10" t="s">
        <v>3359</v>
      </c>
      <c r="G868" s="10" t="s">
        <v>3359</v>
      </c>
      <c r="H868" s="8" t="n">
        <v>8</v>
      </c>
      <c r="I868" s="11" t="s">
        <v>3096</v>
      </c>
      <c r="J868" s="18" t="s">
        <v>3360</v>
      </c>
      <c r="K868" s="13" t="s">
        <v>3361</v>
      </c>
      <c r="L868" s="12" t="s">
        <v>2675</v>
      </c>
      <c r="M868" s="12" t="s">
        <v>1102</v>
      </c>
      <c r="N868" s="12" t="s">
        <v>817</v>
      </c>
    </row>
    <row r="869" customFormat="false" ht="53" hidden="false" customHeight="false" outlineLevel="0" collapsed="false">
      <c r="A869" s="14" t="s">
        <v>3362</v>
      </c>
      <c r="B869" s="15" t="s">
        <v>3363</v>
      </c>
      <c r="C869" s="14" t="s">
        <v>3362</v>
      </c>
      <c r="D869" s="9" t="n">
        <v>1</v>
      </c>
      <c r="E869" s="9" t="s">
        <v>203</v>
      </c>
      <c r="F869" s="10" t="s">
        <v>3359</v>
      </c>
      <c r="G869" s="10" t="s">
        <v>3359</v>
      </c>
      <c r="H869" s="8" t="n">
        <v>8</v>
      </c>
      <c r="I869" s="11" t="s">
        <v>3096</v>
      </c>
      <c r="J869" s="18" t="s">
        <v>3364</v>
      </c>
      <c r="K869" s="13" t="s">
        <v>3365</v>
      </c>
      <c r="L869" s="12" t="s">
        <v>2675</v>
      </c>
      <c r="M869" s="12" t="s">
        <v>1102</v>
      </c>
      <c r="N869" s="12" t="s">
        <v>817</v>
      </c>
    </row>
    <row r="870" customFormat="false" ht="27.5" hidden="false" customHeight="false" outlineLevel="0" collapsed="false">
      <c r="A870" s="7" t="s">
        <v>3366</v>
      </c>
      <c r="B870" s="8" t="s">
        <v>3367</v>
      </c>
      <c r="C870" s="7" t="s">
        <v>3366</v>
      </c>
      <c r="D870" s="9" t="n">
        <v>4</v>
      </c>
      <c r="E870" s="10" t="s">
        <v>15</v>
      </c>
      <c r="F870" s="10" t="s">
        <v>1472</v>
      </c>
      <c r="G870" s="10" t="s">
        <v>1468</v>
      </c>
      <c r="H870" s="8" t="n">
        <v>8</v>
      </c>
      <c r="I870" s="11" t="s">
        <v>3096</v>
      </c>
      <c r="J870" s="12" t="s">
        <v>3368</v>
      </c>
      <c r="K870" s="13" t="s">
        <v>3369</v>
      </c>
      <c r="L870" s="12" t="s">
        <v>1676</v>
      </c>
      <c r="M870" s="12" t="s">
        <v>1102</v>
      </c>
      <c r="N870" s="12" t="s">
        <v>306</v>
      </c>
    </row>
    <row r="871" customFormat="false" ht="36" hidden="false" customHeight="false" outlineLevel="0" collapsed="false">
      <c r="A871" s="14" t="s">
        <v>3370</v>
      </c>
      <c r="B871" s="8" t="s">
        <v>3371</v>
      </c>
      <c r="C871" s="14" t="s">
        <v>3370</v>
      </c>
      <c r="D871" s="9" t="n">
        <v>10</v>
      </c>
      <c r="E871" s="10" t="s">
        <v>142</v>
      </c>
      <c r="F871" s="10" t="s">
        <v>143</v>
      </c>
      <c r="G871" s="10" t="s">
        <v>143</v>
      </c>
      <c r="H871" s="8" t="n">
        <v>8</v>
      </c>
      <c r="I871" s="11" t="s">
        <v>3096</v>
      </c>
      <c r="J871" s="12" t="s">
        <v>3372</v>
      </c>
      <c r="K871" s="13" t="s">
        <v>3373</v>
      </c>
      <c r="L871" s="12" t="s">
        <v>1676</v>
      </c>
      <c r="M871" s="12" t="s">
        <v>1102</v>
      </c>
      <c r="N871" s="12" t="s">
        <v>817</v>
      </c>
    </row>
    <row r="872" customFormat="false" ht="44.5" hidden="false" customHeight="false" outlineLevel="0" collapsed="false">
      <c r="A872" s="7" t="s">
        <v>3374</v>
      </c>
      <c r="B872" s="8" t="s">
        <v>3375</v>
      </c>
      <c r="C872" s="7" t="s">
        <v>3374</v>
      </c>
      <c r="D872" s="9" t="n">
        <v>10</v>
      </c>
      <c r="E872" s="10" t="s">
        <v>142</v>
      </c>
      <c r="F872" s="10" t="s">
        <v>143</v>
      </c>
      <c r="G872" s="10" t="s">
        <v>143</v>
      </c>
      <c r="H872" s="8" t="n">
        <v>8</v>
      </c>
      <c r="I872" s="11" t="s">
        <v>3096</v>
      </c>
      <c r="J872" s="12" t="s">
        <v>3376</v>
      </c>
      <c r="K872" s="13" t="s">
        <v>3377</v>
      </c>
      <c r="L872" s="12" t="s">
        <v>1676</v>
      </c>
      <c r="M872" s="12" t="s">
        <v>1102</v>
      </c>
      <c r="N872" s="12" t="s">
        <v>306</v>
      </c>
    </row>
    <row r="873" customFormat="false" ht="19" hidden="false" customHeight="false" outlineLevel="0" collapsed="false">
      <c r="A873" s="7" t="s">
        <v>3378</v>
      </c>
      <c r="B873" s="8" t="s">
        <v>3379</v>
      </c>
      <c r="C873" s="7" t="s">
        <v>3378</v>
      </c>
      <c r="D873" s="9" t="n">
        <v>10</v>
      </c>
      <c r="E873" s="10" t="s">
        <v>142</v>
      </c>
      <c r="F873" s="10" t="s">
        <v>143</v>
      </c>
      <c r="G873" s="10" t="s">
        <v>143</v>
      </c>
      <c r="H873" s="8" t="n">
        <v>8</v>
      </c>
      <c r="I873" s="11" t="s">
        <v>3096</v>
      </c>
      <c r="J873" s="12" t="s">
        <v>3380</v>
      </c>
      <c r="K873" s="13" t="s">
        <v>3381</v>
      </c>
      <c r="L873" s="12" t="s">
        <v>1903</v>
      </c>
      <c r="M873" s="12" t="s">
        <v>1824</v>
      </c>
      <c r="N873" s="12" t="s">
        <v>306</v>
      </c>
    </row>
    <row r="874" customFormat="false" ht="19" hidden="false" customHeight="false" outlineLevel="0" collapsed="false">
      <c r="A874" s="14" t="s">
        <v>3382</v>
      </c>
      <c r="B874" s="15" t="s">
        <v>3383</v>
      </c>
      <c r="C874" s="14" t="s">
        <v>3382</v>
      </c>
      <c r="D874" s="9" t="n">
        <v>5</v>
      </c>
      <c r="E874" s="10" t="s">
        <v>63</v>
      </c>
      <c r="F874" s="10" t="s">
        <v>1514</v>
      </c>
      <c r="G874" s="17" t="s">
        <v>1514</v>
      </c>
      <c r="H874" s="8" t="n">
        <v>8</v>
      </c>
      <c r="I874" s="11" t="s">
        <v>3096</v>
      </c>
      <c r="J874" s="12" t="s">
        <v>3384</v>
      </c>
      <c r="K874" s="13" t="s">
        <v>2938</v>
      </c>
      <c r="L874" s="12" t="s">
        <v>1676</v>
      </c>
      <c r="M874" s="12" t="s">
        <v>1102</v>
      </c>
      <c r="N874" s="12" t="s">
        <v>817</v>
      </c>
    </row>
    <row r="875" customFormat="false" ht="27.5" hidden="false" customHeight="false" outlineLevel="0" collapsed="false">
      <c r="A875" s="7" t="s">
        <v>3385</v>
      </c>
      <c r="B875" s="8" t="s">
        <v>3386</v>
      </c>
      <c r="C875" s="7" t="s">
        <v>3385</v>
      </c>
      <c r="D875" s="9" t="n">
        <v>5</v>
      </c>
      <c r="E875" s="10" t="s">
        <v>63</v>
      </c>
      <c r="F875" s="10" t="s">
        <v>1514</v>
      </c>
      <c r="G875" s="10" t="s">
        <v>1514</v>
      </c>
      <c r="H875" s="8" t="n">
        <v>8</v>
      </c>
      <c r="I875" s="11" t="s">
        <v>3096</v>
      </c>
      <c r="J875" s="12" t="s">
        <v>3387</v>
      </c>
      <c r="K875" s="13" t="s">
        <v>3388</v>
      </c>
      <c r="L875" s="12" t="s">
        <v>1676</v>
      </c>
      <c r="M875" s="12" t="s">
        <v>1102</v>
      </c>
      <c r="N875" s="12" t="s">
        <v>817</v>
      </c>
    </row>
    <row r="876" customFormat="false" ht="19" hidden="false" customHeight="false" outlineLevel="0" collapsed="false">
      <c r="A876" s="20" t="s">
        <v>3389</v>
      </c>
      <c r="B876" s="15" t="s">
        <v>3390</v>
      </c>
      <c r="C876" s="20" t="s">
        <v>3389</v>
      </c>
      <c r="D876" s="9" t="n">
        <v>3</v>
      </c>
      <c r="E876" s="9" t="s">
        <v>39</v>
      </c>
      <c r="F876" s="10" t="s">
        <v>59</v>
      </c>
      <c r="G876" s="10" t="s">
        <v>407</v>
      </c>
      <c r="H876" s="8" t="n">
        <v>8</v>
      </c>
      <c r="I876" s="11" t="s">
        <v>3096</v>
      </c>
      <c r="J876" s="13" t="s">
        <v>3391</v>
      </c>
      <c r="K876" s="13" t="s">
        <v>2964</v>
      </c>
      <c r="L876" s="12" t="s">
        <v>2675</v>
      </c>
      <c r="M876" s="12" t="s">
        <v>1102</v>
      </c>
      <c r="N876" s="12" t="s">
        <v>817</v>
      </c>
    </row>
    <row r="877" customFormat="false" ht="19" hidden="false" customHeight="false" outlineLevel="0" collapsed="false">
      <c r="A877" s="20" t="s">
        <v>3392</v>
      </c>
      <c r="B877" s="15" t="s">
        <v>3393</v>
      </c>
      <c r="C877" s="20" t="s">
        <v>3392</v>
      </c>
      <c r="D877" s="9" t="n">
        <v>3</v>
      </c>
      <c r="E877" s="9" t="s">
        <v>39</v>
      </c>
      <c r="F877" s="10" t="s">
        <v>59</v>
      </c>
      <c r="G877" s="10" t="s">
        <v>407</v>
      </c>
      <c r="H877" s="8" t="n">
        <v>8</v>
      </c>
      <c r="I877" s="11" t="s">
        <v>3096</v>
      </c>
      <c r="J877" s="13" t="s">
        <v>3394</v>
      </c>
      <c r="K877" s="13" t="s">
        <v>2964</v>
      </c>
      <c r="L877" s="12" t="s">
        <v>1903</v>
      </c>
      <c r="M877" s="12" t="s">
        <v>1824</v>
      </c>
      <c r="N877" s="12" t="s">
        <v>817</v>
      </c>
    </row>
    <row r="878" customFormat="false" ht="27.5" hidden="false" customHeight="false" outlineLevel="0" collapsed="false">
      <c r="A878" s="7" t="s">
        <v>3395</v>
      </c>
      <c r="B878" s="8" t="s">
        <v>3396</v>
      </c>
      <c r="C878" s="7" t="s">
        <v>3395</v>
      </c>
      <c r="D878" s="9" t="n">
        <v>10</v>
      </c>
      <c r="E878" s="10" t="s">
        <v>142</v>
      </c>
      <c r="F878" s="10" t="s">
        <v>669</v>
      </c>
      <c r="G878" s="10" t="s">
        <v>1532</v>
      </c>
      <c r="H878" s="8" t="n">
        <v>8</v>
      </c>
      <c r="I878" s="11" t="s">
        <v>3096</v>
      </c>
      <c r="J878" s="12" t="s">
        <v>3397</v>
      </c>
      <c r="K878" s="12" t="s">
        <v>1501</v>
      </c>
      <c r="L878" s="12" t="s">
        <v>222</v>
      </c>
      <c r="M878" s="12" t="s">
        <v>1102</v>
      </c>
      <c r="N878" s="12" t="s">
        <v>817</v>
      </c>
    </row>
    <row r="879" customFormat="false" ht="27.5" hidden="false" customHeight="false" outlineLevel="0" collapsed="false">
      <c r="A879" s="7" t="s">
        <v>3398</v>
      </c>
      <c r="B879" s="8" t="s">
        <v>3399</v>
      </c>
      <c r="C879" s="7" t="s">
        <v>3398</v>
      </c>
      <c r="D879" s="9" t="n">
        <v>10</v>
      </c>
      <c r="E879" s="10" t="s">
        <v>142</v>
      </c>
      <c r="F879" s="10" t="s">
        <v>669</v>
      </c>
      <c r="G879" s="10" t="s">
        <v>1532</v>
      </c>
      <c r="H879" s="8" t="n">
        <v>8</v>
      </c>
      <c r="I879" s="11" t="s">
        <v>3096</v>
      </c>
      <c r="J879" s="12" t="s">
        <v>3400</v>
      </c>
      <c r="K879" s="13" t="s">
        <v>3401</v>
      </c>
      <c r="L879" s="12" t="s">
        <v>1676</v>
      </c>
      <c r="M879" s="12" t="s">
        <v>1102</v>
      </c>
      <c r="N879" s="12" t="s">
        <v>817</v>
      </c>
    </row>
    <row r="880" customFormat="false" ht="27.5" hidden="false" customHeight="false" outlineLevel="0" collapsed="false">
      <c r="A880" s="7" t="s">
        <v>3402</v>
      </c>
      <c r="B880" s="8" t="s">
        <v>3403</v>
      </c>
      <c r="C880" s="7" t="s">
        <v>3402</v>
      </c>
      <c r="D880" s="9" t="n">
        <v>2</v>
      </c>
      <c r="E880" s="10" t="s">
        <v>226</v>
      </c>
      <c r="F880" s="10" t="s">
        <v>226</v>
      </c>
      <c r="G880" s="10" t="s">
        <v>226</v>
      </c>
      <c r="H880" s="8" t="n">
        <v>8</v>
      </c>
      <c r="I880" s="11" t="s">
        <v>3096</v>
      </c>
      <c r="J880" s="12" t="s">
        <v>3404</v>
      </c>
      <c r="K880" s="13" t="s">
        <v>2304</v>
      </c>
      <c r="L880" s="12" t="s">
        <v>1676</v>
      </c>
      <c r="M880" s="12" t="s">
        <v>1102</v>
      </c>
      <c r="N880" s="12" t="s">
        <v>817</v>
      </c>
    </row>
    <row r="881" customFormat="false" ht="36" hidden="false" customHeight="false" outlineLevel="0" collapsed="false">
      <c r="A881" s="20" t="s">
        <v>3405</v>
      </c>
      <c r="B881" s="15" t="s">
        <v>3406</v>
      </c>
      <c r="C881" s="20" t="s">
        <v>3405</v>
      </c>
      <c r="D881" s="9" t="n">
        <v>11</v>
      </c>
      <c r="E881" s="10" t="s">
        <v>69</v>
      </c>
      <c r="F881" s="10" t="s">
        <v>747</v>
      </c>
      <c r="G881" s="10" t="s">
        <v>885</v>
      </c>
      <c r="H881" s="8" t="n">
        <v>8</v>
      </c>
      <c r="I881" s="11" t="s">
        <v>3096</v>
      </c>
      <c r="J881" s="13" t="s">
        <v>3407</v>
      </c>
      <c r="K881" s="13" t="s">
        <v>3408</v>
      </c>
      <c r="L881" s="12" t="s">
        <v>1903</v>
      </c>
      <c r="M881" s="12" t="s">
        <v>1824</v>
      </c>
      <c r="N881" s="12" t="s">
        <v>817</v>
      </c>
    </row>
    <row r="882" customFormat="false" ht="36" hidden="false" customHeight="false" outlineLevel="0" collapsed="false">
      <c r="A882" s="20" t="s">
        <v>3409</v>
      </c>
      <c r="B882" s="15" t="s">
        <v>3410</v>
      </c>
      <c r="C882" s="20" t="s">
        <v>3409</v>
      </c>
      <c r="D882" s="9" t="n">
        <v>6</v>
      </c>
      <c r="E882" s="9" t="s">
        <v>180</v>
      </c>
      <c r="F882" s="10" t="s">
        <v>1590</v>
      </c>
      <c r="G882" s="10" t="s">
        <v>1591</v>
      </c>
      <c r="H882" s="8" t="n">
        <v>8</v>
      </c>
      <c r="I882" s="11" t="s">
        <v>3096</v>
      </c>
      <c r="J882" s="13" t="s">
        <v>3411</v>
      </c>
      <c r="K882" s="13" t="s">
        <v>2683</v>
      </c>
      <c r="L882" s="12" t="s">
        <v>1676</v>
      </c>
      <c r="M882" s="12" t="s">
        <v>1102</v>
      </c>
      <c r="N882" s="12" t="s">
        <v>817</v>
      </c>
    </row>
    <row r="883" customFormat="false" ht="36" hidden="false" customHeight="false" outlineLevel="0" collapsed="false">
      <c r="A883" s="20" t="s">
        <v>3412</v>
      </c>
      <c r="B883" s="15" t="s">
        <v>3413</v>
      </c>
      <c r="C883" s="20" t="s">
        <v>3412</v>
      </c>
      <c r="D883" s="9" t="n">
        <v>3</v>
      </c>
      <c r="E883" s="9" t="s">
        <v>39</v>
      </c>
      <c r="F883" s="10" t="s">
        <v>436</v>
      </c>
      <c r="G883" s="10" t="s">
        <v>436</v>
      </c>
      <c r="H883" s="16" t="n">
        <v>8</v>
      </c>
      <c r="I883" s="12" t="s">
        <v>3096</v>
      </c>
      <c r="J883" s="13" t="s">
        <v>3414</v>
      </c>
      <c r="K883" s="13" t="s">
        <v>3047</v>
      </c>
      <c r="L883" s="12" t="s">
        <v>1676</v>
      </c>
      <c r="M883" s="12" t="s">
        <v>1102</v>
      </c>
      <c r="N883" s="12" t="s">
        <v>817</v>
      </c>
    </row>
    <row r="884" customFormat="false" ht="44.5" hidden="false" customHeight="false" outlineLevel="0" collapsed="false">
      <c r="A884" s="7" t="s">
        <v>3415</v>
      </c>
      <c r="B884" s="8" t="s">
        <v>3416</v>
      </c>
      <c r="C884" s="7" t="s">
        <v>3415</v>
      </c>
      <c r="D884" s="9" t="n">
        <v>16</v>
      </c>
      <c r="E884" s="10" t="s">
        <v>168</v>
      </c>
      <c r="F884" s="10" t="n">
        <v>0</v>
      </c>
      <c r="G884" s="10" t="n">
        <v>0</v>
      </c>
      <c r="H884" s="8" t="n">
        <v>8</v>
      </c>
      <c r="I884" s="11" t="s">
        <v>3096</v>
      </c>
      <c r="J884" s="12" t="s">
        <v>3417</v>
      </c>
      <c r="K884" s="13" t="s">
        <v>3418</v>
      </c>
      <c r="L884" s="12" t="s">
        <v>222</v>
      </c>
      <c r="M884" s="12" t="s">
        <v>1102</v>
      </c>
      <c r="N884" s="12" t="s">
        <v>817</v>
      </c>
    </row>
    <row r="885" customFormat="false" ht="27.5" hidden="false" customHeight="false" outlineLevel="0" collapsed="false">
      <c r="A885" s="7" t="s">
        <v>3419</v>
      </c>
      <c r="B885" s="8" t="s">
        <v>3420</v>
      </c>
      <c r="C885" s="7" t="s">
        <v>3419</v>
      </c>
      <c r="D885" s="9" t="n">
        <v>24</v>
      </c>
      <c r="E885" s="10" t="s">
        <v>1342</v>
      </c>
      <c r="F885" s="10" t="s">
        <v>1609</v>
      </c>
      <c r="G885" s="10" t="n">
        <v>0</v>
      </c>
      <c r="H885" s="8" t="n">
        <v>8</v>
      </c>
      <c r="I885" s="11" t="s">
        <v>3096</v>
      </c>
      <c r="J885" s="12" t="s">
        <v>3421</v>
      </c>
      <c r="K885" s="13" t="s">
        <v>2754</v>
      </c>
      <c r="L885" s="12" t="s">
        <v>1676</v>
      </c>
      <c r="M885" s="12" t="s">
        <v>1102</v>
      </c>
      <c r="N885" s="12" t="s">
        <v>306</v>
      </c>
    </row>
    <row r="886" customFormat="false" ht="36" hidden="false" customHeight="false" outlineLevel="0" collapsed="false">
      <c r="A886" s="7" t="s">
        <v>3422</v>
      </c>
      <c r="B886" s="8" t="s">
        <v>3423</v>
      </c>
      <c r="C886" s="7" t="s">
        <v>3422</v>
      </c>
      <c r="D886" s="9" t="n">
        <v>23</v>
      </c>
      <c r="E886" s="10" t="s">
        <v>230</v>
      </c>
      <c r="F886" s="10" t="s">
        <v>203</v>
      </c>
      <c r="G886" s="10" t="n">
        <v>0</v>
      </c>
      <c r="H886" s="8" t="n">
        <v>8</v>
      </c>
      <c r="I886" s="11" t="s">
        <v>3096</v>
      </c>
      <c r="J886" s="12" t="s">
        <v>3424</v>
      </c>
      <c r="K886" s="13" t="s">
        <v>3425</v>
      </c>
      <c r="L886" s="12" t="s">
        <v>1676</v>
      </c>
      <c r="M886" s="12" t="s">
        <v>1102</v>
      </c>
      <c r="N886" s="12" t="s">
        <v>817</v>
      </c>
    </row>
    <row r="887" customFormat="false" ht="27.5" hidden="false" customHeight="false" outlineLevel="0" collapsed="false">
      <c r="A887" s="7" t="s">
        <v>3426</v>
      </c>
      <c r="B887" s="8" t="s">
        <v>3427</v>
      </c>
      <c r="C887" s="7" t="s">
        <v>3426</v>
      </c>
      <c r="D887" s="9" t="n">
        <v>22</v>
      </c>
      <c r="E887" s="9" t="s">
        <v>47</v>
      </c>
      <c r="F887" s="10" t="s">
        <v>237</v>
      </c>
      <c r="G887" s="10" t="n">
        <v>0</v>
      </c>
      <c r="H887" s="8" t="n">
        <v>8</v>
      </c>
      <c r="I887" s="11" t="s">
        <v>3096</v>
      </c>
      <c r="J887" s="12" t="s">
        <v>3428</v>
      </c>
      <c r="K887" s="13" t="s">
        <v>3429</v>
      </c>
      <c r="L887" s="12" t="s">
        <v>1676</v>
      </c>
      <c r="M887" s="12" t="s">
        <v>1102</v>
      </c>
      <c r="N887" s="12" t="s">
        <v>452</v>
      </c>
    </row>
    <row r="888" customFormat="false" ht="27.5" hidden="false" customHeight="false" outlineLevel="0" collapsed="false">
      <c r="A888" s="7" t="s">
        <v>3430</v>
      </c>
      <c r="B888" s="8" t="s">
        <v>3431</v>
      </c>
      <c r="C888" s="7" t="s">
        <v>3430</v>
      </c>
      <c r="D888" s="9" t="n">
        <v>22</v>
      </c>
      <c r="E888" s="9" t="s">
        <v>47</v>
      </c>
      <c r="F888" s="10" t="s">
        <v>578</v>
      </c>
      <c r="G888" s="10" t="n">
        <v>0</v>
      </c>
      <c r="H888" s="8" t="n">
        <v>8</v>
      </c>
      <c r="I888" s="11" t="s">
        <v>3096</v>
      </c>
      <c r="J888" s="12" t="s">
        <v>3432</v>
      </c>
      <c r="K888" s="13" t="s">
        <v>3433</v>
      </c>
      <c r="L888" s="12" t="s">
        <v>1676</v>
      </c>
      <c r="M888" s="12" t="s">
        <v>1102</v>
      </c>
      <c r="N888" s="12" t="s">
        <v>817</v>
      </c>
    </row>
    <row r="889" customFormat="false" ht="36" hidden="false" customHeight="false" outlineLevel="0" collapsed="false">
      <c r="A889" s="7" t="s">
        <v>3434</v>
      </c>
      <c r="B889" s="8" t="s">
        <v>3435</v>
      </c>
      <c r="C889" s="7" t="s">
        <v>3434</v>
      </c>
      <c r="D889" s="9" t="n">
        <v>22</v>
      </c>
      <c r="E889" s="9" t="s">
        <v>47</v>
      </c>
      <c r="F889" s="10" t="s">
        <v>164</v>
      </c>
      <c r="G889" s="10" t="n">
        <v>0</v>
      </c>
      <c r="H889" s="8" t="n">
        <v>8</v>
      </c>
      <c r="I889" s="11" t="s">
        <v>3096</v>
      </c>
      <c r="J889" s="12" t="s">
        <v>3436</v>
      </c>
      <c r="K889" s="13" t="s">
        <v>2476</v>
      </c>
      <c r="L889" s="12" t="s">
        <v>1676</v>
      </c>
      <c r="M889" s="12" t="s">
        <v>1102</v>
      </c>
      <c r="N889" s="12" t="s">
        <v>817</v>
      </c>
    </row>
    <row r="890" customFormat="false" ht="19" hidden="false" customHeight="false" outlineLevel="0" collapsed="false">
      <c r="A890" s="7" t="s">
        <v>3437</v>
      </c>
      <c r="B890" s="8" t="s">
        <v>3438</v>
      </c>
      <c r="C890" s="7" t="s">
        <v>3437</v>
      </c>
      <c r="D890" s="9" t="n">
        <v>25</v>
      </c>
      <c r="E890" s="10" t="s">
        <v>915</v>
      </c>
      <c r="F890" s="10" t="s">
        <v>3439</v>
      </c>
      <c r="G890" s="10" t="n">
        <v>0</v>
      </c>
      <c r="H890" s="8" t="n">
        <v>8</v>
      </c>
      <c r="I890" s="11" t="s">
        <v>3096</v>
      </c>
      <c r="J890" s="12" t="s">
        <v>3440</v>
      </c>
      <c r="K890" s="13" t="s">
        <v>3441</v>
      </c>
      <c r="L890" s="12" t="s">
        <v>1676</v>
      </c>
      <c r="M890" s="12" t="s">
        <v>1102</v>
      </c>
      <c r="N890" s="12" t="s">
        <v>817</v>
      </c>
    </row>
    <row r="891" customFormat="false" ht="27.5" hidden="false" customHeight="false" outlineLevel="0" collapsed="false">
      <c r="A891" s="7" t="s">
        <v>3442</v>
      </c>
      <c r="B891" s="8" t="s">
        <v>3443</v>
      </c>
      <c r="C891" s="7" t="s">
        <v>3442</v>
      </c>
      <c r="D891" s="9" t="n">
        <v>25</v>
      </c>
      <c r="E891" s="10" t="s">
        <v>915</v>
      </c>
      <c r="F891" s="10" t="s">
        <v>916</v>
      </c>
      <c r="G891" s="10" t="n">
        <v>0</v>
      </c>
      <c r="H891" s="8" t="n">
        <v>8</v>
      </c>
      <c r="I891" s="11" t="s">
        <v>3096</v>
      </c>
      <c r="J891" s="12" t="s">
        <v>3444</v>
      </c>
      <c r="K891" s="12" t="s">
        <v>3078</v>
      </c>
      <c r="L891" s="12" t="s">
        <v>222</v>
      </c>
      <c r="M891" s="12" t="s">
        <v>1102</v>
      </c>
      <c r="N891" s="12" t="s">
        <v>452</v>
      </c>
    </row>
    <row r="892" customFormat="false" ht="27.5" hidden="false" customHeight="false" outlineLevel="0" collapsed="false">
      <c r="A892" s="7" t="s">
        <v>3445</v>
      </c>
      <c r="B892" s="8" t="s">
        <v>3446</v>
      </c>
      <c r="C892" s="7" t="s">
        <v>3445</v>
      </c>
      <c r="D892" s="9" t="n">
        <v>24</v>
      </c>
      <c r="E892" s="10" t="s">
        <v>1342</v>
      </c>
      <c r="F892" s="10" t="s">
        <v>1609</v>
      </c>
      <c r="G892" s="10" t="n">
        <v>0</v>
      </c>
      <c r="H892" s="8" t="n">
        <v>8</v>
      </c>
      <c r="I892" s="11" t="s">
        <v>3096</v>
      </c>
      <c r="J892" s="12" t="s">
        <v>3447</v>
      </c>
      <c r="K892" s="12" t="s">
        <v>3448</v>
      </c>
      <c r="L892" s="12" t="s">
        <v>1903</v>
      </c>
      <c r="M892" s="12" t="s">
        <v>1824</v>
      </c>
      <c r="N892" s="12" t="s">
        <v>817</v>
      </c>
    </row>
    <row r="893" customFormat="false" ht="36" hidden="false" customHeight="false" outlineLevel="0" collapsed="false">
      <c r="A893" s="7" t="s">
        <v>3449</v>
      </c>
      <c r="B893" s="8" t="s">
        <v>3450</v>
      </c>
      <c r="C893" s="7" t="s">
        <v>3449</v>
      </c>
      <c r="D893" s="9" t="n">
        <v>3</v>
      </c>
      <c r="E893" s="10" t="s">
        <v>39</v>
      </c>
      <c r="F893" s="10" t="s">
        <v>40</v>
      </c>
      <c r="G893" s="10" t="s">
        <v>40</v>
      </c>
      <c r="H893" s="16" t="n">
        <v>9</v>
      </c>
      <c r="I893" s="11" t="s">
        <v>3451</v>
      </c>
      <c r="J893" s="12" t="s">
        <v>3452</v>
      </c>
      <c r="K893" s="13" t="s">
        <v>3098</v>
      </c>
      <c r="L893" s="12" t="s">
        <v>2675</v>
      </c>
      <c r="M893" s="12" t="s">
        <v>3453</v>
      </c>
      <c r="N893" s="12" t="s">
        <v>452</v>
      </c>
    </row>
    <row r="894" customFormat="false" ht="19" hidden="false" customHeight="false" outlineLevel="0" collapsed="false">
      <c r="A894" s="7" t="s">
        <v>3454</v>
      </c>
      <c r="B894" s="8" t="s">
        <v>3455</v>
      </c>
      <c r="C894" s="7" t="s">
        <v>3454</v>
      </c>
      <c r="D894" s="9" t="n">
        <v>19</v>
      </c>
      <c r="E894" s="10" t="s">
        <v>83</v>
      </c>
      <c r="F894" s="10" t="s">
        <v>2431</v>
      </c>
      <c r="G894" s="10" t="s">
        <v>474</v>
      </c>
      <c r="H894" s="16" t="n">
        <v>9</v>
      </c>
      <c r="I894" s="11" t="s">
        <v>3451</v>
      </c>
      <c r="J894" s="12" t="s">
        <v>3456</v>
      </c>
      <c r="K894" s="13" t="s">
        <v>3457</v>
      </c>
      <c r="L894" s="12" t="s">
        <v>2675</v>
      </c>
      <c r="M894" s="12" t="s">
        <v>3453</v>
      </c>
      <c r="N894" s="12" t="s">
        <v>452</v>
      </c>
    </row>
    <row r="895" customFormat="false" ht="70" hidden="false" customHeight="false" outlineLevel="0" collapsed="false">
      <c r="A895" s="14" t="s">
        <v>3458</v>
      </c>
      <c r="B895" s="15" t="s">
        <v>3459</v>
      </c>
      <c r="C895" s="14" t="s">
        <v>3458</v>
      </c>
      <c r="D895" s="9" t="n">
        <v>19</v>
      </c>
      <c r="E895" s="9" t="s">
        <v>83</v>
      </c>
      <c r="F895" s="10" t="s">
        <v>474</v>
      </c>
      <c r="G895" s="10" t="s">
        <v>474</v>
      </c>
      <c r="H895" s="16" t="n">
        <v>9</v>
      </c>
      <c r="I895" s="17" t="s">
        <v>3451</v>
      </c>
      <c r="J895" s="18" t="s">
        <v>3460</v>
      </c>
      <c r="K895" s="18" t="s">
        <v>3461</v>
      </c>
      <c r="L895" s="12" t="s">
        <v>2675</v>
      </c>
      <c r="M895" s="12" t="s">
        <v>3462</v>
      </c>
      <c r="N895" s="12" t="s">
        <v>452</v>
      </c>
    </row>
    <row r="896" customFormat="false" ht="27.5" hidden="false" customHeight="false" outlineLevel="0" collapsed="false">
      <c r="A896" s="7" t="s">
        <v>3463</v>
      </c>
      <c r="B896" s="8" t="s">
        <v>3464</v>
      </c>
      <c r="C896" s="7" t="s">
        <v>3463</v>
      </c>
      <c r="D896" s="9" t="n">
        <v>19</v>
      </c>
      <c r="E896" s="10" t="s">
        <v>83</v>
      </c>
      <c r="F896" s="10" t="s">
        <v>2431</v>
      </c>
      <c r="G896" s="10" t="s">
        <v>474</v>
      </c>
      <c r="H896" s="16" t="n">
        <v>9</v>
      </c>
      <c r="I896" s="11" t="s">
        <v>3451</v>
      </c>
      <c r="J896" s="12" t="s">
        <v>3465</v>
      </c>
      <c r="K896" s="11" t="s">
        <v>3457</v>
      </c>
      <c r="L896" s="12" t="s">
        <v>2675</v>
      </c>
      <c r="M896" s="12" t="s">
        <v>3462</v>
      </c>
      <c r="N896" s="12" t="s">
        <v>452</v>
      </c>
    </row>
    <row r="897" customFormat="false" ht="19" hidden="false" customHeight="false" outlineLevel="0" collapsed="false">
      <c r="A897" s="7" t="s">
        <v>3466</v>
      </c>
      <c r="B897" s="8" t="s">
        <v>3467</v>
      </c>
      <c r="C897" s="7" t="s">
        <v>3466</v>
      </c>
      <c r="D897" s="9" t="n">
        <v>5</v>
      </c>
      <c r="E897" s="10" t="s">
        <v>63</v>
      </c>
      <c r="F897" s="10" t="s">
        <v>478</v>
      </c>
      <c r="G897" s="10" t="s">
        <v>478</v>
      </c>
      <c r="H897" s="16" t="n">
        <v>9</v>
      </c>
      <c r="I897" s="11" t="s">
        <v>3451</v>
      </c>
      <c r="J897" s="32" t="s">
        <v>3468</v>
      </c>
      <c r="K897" s="13" t="s">
        <v>3388</v>
      </c>
      <c r="L897" s="12" t="s">
        <v>2675</v>
      </c>
      <c r="M897" s="12" t="s">
        <v>3453</v>
      </c>
      <c r="N897" s="12" t="s">
        <v>452</v>
      </c>
    </row>
    <row r="898" customFormat="false" ht="36" hidden="false" customHeight="false" outlineLevel="0" collapsed="false">
      <c r="A898" s="20" t="s">
        <v>3469</v>
      </c>
      <c r="B898" s="15" t="s">
        <v>3470</v>
      </c>
      <c r="C898" s="20" t="s">
        <v>3469</v>
      </c>
      <c r="D898" s="9" t="n">
        <v>3</v>
      </c>
      <c r="E898" s="9" t="s">
        <v>39</v>
      </c>
      <c r="F898" s="10" t="s">
        <v>59</v>
      </c>
      <c r="G898" s="10" t="s">
        <v>246</v>
      </c>
      <c r="H898" s="16" t="n">
        <v>9</v>
      </c>
      <c r="I898" s="17" t="s">
        <v>3451</v>
      </c>
      <c r="J898" s="13" t="s">
        <v>3471</v>
      </c>
      <c r="K898" s="13" t="s">
        <v>3472</v>
      </c>
      <c r="L898" s="12" t="s">
        <v>2675</v>
      </c>
      <c r="M898" s="12" t="s">
        <v>3453</v>
      </c>
      <c r="N898" s="12" t="s">
        <v>452</v>
      </c>
    </row>
    <row r="899" customFormat="false" ht="19" hidden="false" customHeight="false" outlineLevel="0" collapsed="false">
      <c r="A899" s="7" t="s">
        <v>3473</v>
      </c>
      <c r="B899" s="8" t="s">
        <v>3474</v>
      </c>
      <c r="C899" s="7" t="s">
        <v>3473</v>
      </c>
      <c r="D899" s="9" t="n">
        <v>20</v>
      </c>
      <c r="E899" s="9" t="s">
        <v>53</v>
      </c>
      <c r="F899" s="10" t="s">
        <v>1690</v>
      </c>
      <c r="G899" s="10" t="s">
        <v>1690</v>
      </c>
      <c r="H899" s="16" t="n">
        <v>9</v>
      </c>
      <c r="I899" s="11" t="s">
        <v>3451</v>
      </c>
      <c r="J899" s="12" t="s">
        <v>3475</v>
      </c>
      <c r="K899" s="13" t="s">
        <v>3476</v>
      </c>
      <c r="L899" s="12" t="s">
        <v>1903</v>
      </c>
      <c r="M899" s="12" t="s">
        <v>1824</v>
      </c>
      <c r="N899" s="12" t="s">
        <v>452</v>
      </c>
    </row>
    <row r="900" customFormat="false" ht="44.5" hidden="false" customHeight="false" outlineLevel="0" collapsed="false">
      <c r="A900" s="20" t="s">
        <v>3477</v>
      </c>
      <c r="B900" s="15" t="s">
        <v>3478</v>
      </c>
      <c r="C900" s="20" t="s">
        <v>3477</v>
      </c>
      <c r="D900" s="9" t="n">
        <v>22</v>
      </c>
      <c r="E900" s="9" t="s">
        <v>47</v>
      </c>
      <c r="F900" s="10" t="s">
        <v>582</v>
      </c>
      <c r="G900" s="10" t="s">
        <v>582</v>
      </c>
      <c r="H900" s="16" t="n">
        <v>9</v>
      </c>
      <c r="I900" s="17" t="s">
        <v>3451</v>
      </c>
      <c r="J900" s="13" t="s">
        <v>2471</v>
      </c>
      <c r="K900" s="13" t="s">
        <v>3479</v>
      </c>
      <c r="L900" s="12" t="s">
        <v>2675</v>
      </c>
      <c r="M900" s="12" t="s">
        <v>3453</v>
      </c>
      <c r="N900" s="12" t="s">
        <v>452</v>
      </c>
    </row>
    <row r="901" customFormat="false" ht="27.5" hidden="false" customHeight="false" outlineLevel="0" collapsed="false">
      <c r="A901" s="14" t="s">
        <v>3480</v>
      </c>
      <c r="B901" s="15" t="s">
        <v>3481</v>
      </c>
      <c r="C901" s="14" t="s">
        <v>3480</v>
      </c>
      <c r="D901" s="9" t="n">
        <v>22</v>
      </c>
      <c r="E901" s="9" t="s">
        <v>47</v>
      </c>
      <c r="F901" s="10" t="s">
        <v>483</v>
      </c>
      <c r="G901" s="10" t="s">
        <v>483</v>
      </c>
      <c r="H901" s="16" t="n">
        <v>9</v>
      </c>
      <c r="I901" s="17" t="s">
        <v>3451</v>
      </c>
      <c r="J901" s="21" t="s">
        <v>3482</v>
      </c>
      <c r="K901" s="13" t="s">
        <v>3483</v>
      </c>
      <c r="L901" s="12" t="s">
        <v>2675</v>
      </c>
      <c r="M901" s="12" t="s">
        <v>3453</v>
      </c>
      <c r="N901" s="12" t="s">
        <v>452</v>
      </c>
    </row>
    <row r="902" customFormat="false" ht="53" hidden="false" customHeight="false" outlineLevel="0" collapsed="false">
      <c r="A902" s="7" t="s">
        <v>3484</v>
      </c>
      <c r="B902" s="8" t="s">
        <v>3485</v>
      </c>
      <c r="C902" s="7" t="s">
        <v>3484</v>
      </c>
      <c r="D902" s="9" t="n">
        <v>1</v>
      </c>
      <c r="E902" s="10" t="s">
        <v>203</v>
      </c>
      <c r="F902" s="10" t="s">
        <v>495</v>
      </c>
      <c r="G902" s="10" t="s">
        <v>495</v>
      </c>
      <c r="H902" s="16" t="n">
        <v>9</v>
      </c>
      <c r="I902" s="11" t="s">
        <v>3451</v>
      </c>
      <c r="J902" s="12" t="s">
        <v>3486</v>
      </c>
      <c r="K902" s="13" t="s">
        <v>3487</v>
      </c>
      <c r="L902" s="12" t="s">
        <v>3488</v>
      </c>
      <c r="M902" s="12" t="s">
        <v>3462</v>
      </c>
      <c r="N902" s="12" t="s">
        <v>452</v>
      </c>
    </row>
    <row r="903" customFormat="false" ht="53" hidden="false" customHeight="false" outlineLevel="0" collapsed="false">
      <c r="A903" s="14" t="s">
        <v>3484</v>
      </c>
      <c r="B903" s="15" t="s">
        <v>3485</v>
      </c>
      <c r="C903" s="14" t="s">
        <v>3484</v>
      </c>
      <c r="D903" s="9" t="n">
        <v>1</v>
      </c>
      <c r="E903" s="9" t="s">
        <v>203</v>
      </c>
      <c r="F903" s="10" t="s">
        <v>495</v>
      </c>
      <c r="G903" s="10" t="s">
        <v>495</v>
      </c>
      <c r="H903" s="16" t="n">
        <v>9</v>
      </c>
      <c r="I903" s="17" t="s">
        <v>3451</v>
      </c>
      <c r="J903" s="18" t="s">
        <v>3486</v>
      </c>
      <c r="K903" s="13" t="s">
        <v>3489</v>
      </c>
      <c r="L903" s="12" t="s">
        <v>3488</v>
      </c>
      <c r="M903" s="12" t="s">
        <v>3462</v>
      </c>
      <c r="N903" s="12" t="s">
        <v>452</v>
      </c>
    </row>
    <row r="904" customFormat="false" ht="19" hidden="false" customHeight="false" outlineLevel="0" collapsed="false">
      <c r="A904" s="7" t="s">
        <v>3490</v>
      </c>
      <c r="B904" s="8" t="s">
        <v>3491</v>
      </c>
      <c r="C904" s="7" t="s">
        <v>3490</v>
      </c>
      <c r="D904" s="9" t="n">
        <v>1</v>
      </c>
      <c r="E904" s="10" t="s">
        <v>203</v>
      </c>
      <c r="F904" s="10" t="s">
        <v>495</v>
      </c>
      <c r="G904" s="10" t="s">
        <v>495</v>
      </c>
      <c r="H904" s="16" t="n">
        <v>9</v>
      </c>
      <c r="I904" s="11" t="s">
        <v>3451</v>
      </c>
      <c r="J904" s="12" t="s">
        <v>3492</v>
      </c>
      <c r="K904" s="12" t="s">
        <v>3171</v>
      </c>
      <c r="L904" s="12" t="s">
        <v>2675</v>
      </c>
      <c r="M904" s="12" t="s">
        <v>3462</v>
      </c>
      <c r="N904" s="12" t="s">
        <v>452</v>
      </c>
    </row>
    <row r="905" customFormat="false" ht="27.5" hidden="false" customHeight="false" outlineLevel="0" collapsed="false">
      <c r="A905" s="14" t="s">
        <v>3493</v>
      </c>
      <c r="B905" s="15" t="s">
        <v>3494</v>
      </c>
      <c r="C905" s="14" t="s">
        <v>3493</v>
      </c>
      <c r="D905" s="9" t="n">
        <v>1</v>
      </c>
      <c r="E905" s="9" t="s">
        <v>203</v>
      </c>
      <c r="F905" s="10" t="s">
        <v>495</v>
      </c>
      <c r="G905" s="10" t="s">
        <v>495</v>
      </c>
      <c r="H905" s="16" t="n">
        <v>9</v>
      </c>
      <c r="I905" s="17" t="s">
        <v>3451</v>
      </c>
      <c r="J905" s="18" t="s">
        <v>3495</v>
      </c>
      <c r="K905" s="18" t="s">
        <v>3496</v>
      </c>
      <c r="L905" s="12" t="s">
        <v>2675</v>
      </c>
      <c r="M905" s="12" t="s">
        <v>3462</v>
      </c>
      <c r="N905" s="12" t="s">
        <v>452</v>
      </c>
    </row>
    <row r="906" customFormat="false" ht="27.5" hidden="false" customHeight="false" outlineLevel="0" collapsed="false">
      <c r="A906" s="14" t="s">
        <v>3497</v>
      </c>
      <c r="B906" s="15" t="s">
        <v>3498</v>
      </c>
      <c r="C906" s="14" t="s">
        <v>3497</v>
      </c>
      <c r="D906" s="9" t="n">
        <v>1</v>
      </c>
      <c r="E906" s="9" t="s">
        <v>203</v>
      </c>
      <c r="F906" s="10" t="s">
        <v>495</v>
      </c>
      <c r="G906" s="10" t="s">
        <v>495</v>
      </c>
      <c r="H906" s="16" t="n">
        <v>9</v>
      </c>
      <c r="I906" s="17" t="s">
        <v>3451</v>
      </c>
      <c r="J906" s="18" t="s">
        <v>3499</v>
      </c>
      <c r="K906" s="18" t="s">
        <v>3496</v>
      </c>
      <c r="L906" s="12" t="s">
        <v>2675</v>
      </c>
      <c r="M906" s="12" t="s">
        <v>3462</v>
      </c>
      <c r="N906" s="12" t="s">
        <v>452</v>
      </c>
    </row>
    <row r="907" customFormat="false" ht="19" hidden="false" customHeight="false" outlineLevel="0" collapsed="false">
      <c r="A907" s="7" t="s">
        <v>3500</v>
      </c>
      <c r="B907" s="8" t="s">
        <v>3501</v>
      </c>
      <c r="C907" s="7" t="s">
        <v>3500</v>
      </c>
      <c r="D907" s="9" t="n">
        <v>20</v>
      </c>
      <c r="E907" s="9" t="s">
        <v>53</v>
      </c>
      <c r="F907" s="10" t="s">
        <v>1038</v>
      </c>
      <c r="G907" s="10" t="s">
        <v>55</v>
      </c>
      <c r="H907" s="16" t="n">
        <v>9</v>
      </c>
      <c r="I907" s="11" t="s">
        <v>3451</v>
      </c>
      <c r="J907" s="12" t="s">
        <v>3502</v>
      </c>
      <c r="K907" s="13" t="s">
        <v>1749</v>
      </c>
      <c r="L907" s="12" t="s">
        <v>2675</v>
      </c>
      <c r="M907" s="12" t="s">
        <v>3453</v>
      </c>
      <c r="N907" s="12" t="s">
        <v>452</v>
      </c>
    </row>
    <row r="908" customFormat="false" ht="27.5" hidden="false" customHeight="false" outlineLevel="0" collapsed="false">
      <c r="A908" s="7" t="s">
        <v>3503</v>
      </c>
      <c r="B908" s="8" t="s">
        <v>3504</v>
      </c>
      <c r="C908" s="7" t="s">
        <v>3503</v>
      </c>
      <c r="D908" s="9" t="n">
        <v>3</v>
      </c>
      <c r="E908" s="10" t="s">
        <v>39</v>
      </c>
      <c r="F908" s="10" t="s">
        <v>59</v>
      </c>
      <c r="G908" s="10" t="s">
        <v>59</v>
      </c>
      <c r="H908" s="16" t="n">
        <v>9</v>
      </c>
      <c r="I908" s="11" t="s">
        <v>3451</v>
      </c>
      <c r="J908" s="12" t="s">
        <v>3505</v>
      </c>
      <c r="K908" s="13" t="s">
        <v>3506</v>
      </c>
      <c r="L908" s="12" t="s">
        <v>2675</v>
      </c>
      <c r="M908" s="12" t="s">
        <v>3453</v>
      </c>
      <c r="N908" s="12" t="s">
        <v>452</v>
      </c>
    </row>
    <row r="909" customFormat="false" ht="36" hidden="false" customHeight="false" outlineLevel="0" collapsed="false">
      <c r="A909" s="7" t="s">
        <v>3507</v>
      </c>
      <c r="B909" s="8" t="s">
        <v>3508</v>
      </c>
      <c r="C909" s="7" t="s">
        <v>3507</v>
      </c>
      <c r="D909" s="9" t="n">
        <v>11</v>
      </c>
      <c r="E909" s="10" t="s">
        <v>69</v>
      </c>
      <c r="F909" s="10" t="s">
        <v>526</v>
      </c>
      <c r="G909" s="10" t="s">
        <v>527</v>
      </c>
      <c r="H909" s="16" t="n">
        <v>9</v>
      </c>
      <c r="I909" s="10" t="s">
        <v>3451</v>
      </c>
      <c r="J909" s="12" t="s">
        <v>3509</v>
      </c>
      <c r="K909" s="13" t="s">
        <v>3510</v>
      </c>
      <c r="L909" s="12" t="s">
        <v>2675</v>
      </c>
      <c r="M909" s="12" t="s">
        <v>3453</v>
      </c>
      <c r="N909" s="12" t="s">
        <v>452</v>
      </c>
    </row>
    <row r="910" customFormat="false" ht="53" hidden="false" customHeight="false" outlineLevel="0" collapsed="false">
      <c r="A910" s="7" t="s">
        <v>3511</v>
      </c>
      <c r="B910" s="8" t="s">
        <v>3512</v>
      </c>
      <c r="C910" s="7" t="s">
        <v>3511</v>
      </c>
      <c r="D910" s="10" t="n">
        <v>1</v>
      </c>
      <c r="E910" s="9" t="s">
        <v>203</v>
      </c>
      <c r="F910" s="10" t="s">
        <v>531</v>
      </c>
      <c r="G910" s="10" t="s">
        <v>532</v>
      </c>
      <c r="H910" s="16" t="n">
        <v>9</v>
      </c>
      <c r="I910" s="11" t="s">
        <v>3451</v>
      </c>
      <c r="J910" s="12" t="s">
        <v>3513</v>
      </c>
      <c r="K910" s="13" t="s">
        <v>3514</v>
      </c>
      <c r="L910" s="12" t="s">
        <v>3488</v>
      </c>
      <c r="M910" s="12" t="s">
        <v>3462</v>
      </c>
      <c r="N910" s="12" t="s">
        <v>452</v>
      </c>
    </row>
    <row r="911" customFormat="false" ht="27.5" hidden="false" customHeight="false" outlineLevel="0" collapsed="false">
      <c r="A911" s="22" t="s">
        <v>3515</v>
      </c>
      <c r="B911" s="8" t="s">
        <v>3516</v>
      </c>
      <c r="C911" s="22" t="s">
        <v>3515</v>
      </c>
      <c r="D911" s="9" t="n">
        <v>27</v>
      </c>
      <c r="E911" s="10" t="s">
        <v>1083</v>
      </c>
      <c r="F911" s="10" t="s">
        <v>2529</v>
      </c>
      <c r="G911" s="10" t="s">
        <v>1084</v>
      </c>
      <c r="H911" s="16" t="n">
        <v>9</v>
      </c>
      <c r="I911" s="11" t="s">
        <v>3451</v>
      </c>
      <c r="J911" s="23" t="s">
        <v>3517</v>
      </c>
      <c r="K911" s="13" t="s">
        <v>3167</v>
      </c>
      <c r="L911" s="12" t="s">
        <v>2675</v>
      </c>
      <c r="M911" s="12" t="s">
        <v>3453</v>
      </c>
      <c r="N911" s="12" t="s">
        <v>452</v>
      </c>
    </row>
    <row r="912" customFormat="false" ht="19" hidden="false" customHeight="false" outlineLevel="0" collapsed="false">
      <c r="A912" s="7" t="s">
        <v>3518</v>
      </c>
      <c r="B912" s="8" t="s">
        <v>3519</v>
      </c>
      <c r="C912" s="7" t="s">
        <v>3518</v>
      </c>
      <c r="D912" s="9" t="n">
        <v>1</v>
      </c>
      <c r="E912" s="10" t="s">
        <v>203</v>
      </c>
      <c r="F912" s="10" t="s">
        <v>2544</v>
      </c>
      <c r="G912" s="10" t="s">
        <v>2544</v>
      </c>
      <c r="H912" s="16" t="n">
        <v>9</v>
      </c>
      <c r="I912" s="11" t="s">
        <v>3451</v>
      </c>
      <c r="J912" s="12" t="s">
        <v>3520</v>
      </c>
      <c r="K912" s="12" t="s">
        <v>3521</v>
      </c>
      <c r="L912" s="12" t="s">
        <v>2675</v>
      </c>
      <c r="M912" s="12" t="s">
        <v>3453</v>
      </c>
      <c r="N912" s="12" t="s">
        <v>452</v>
      </c>
    </row>
    <row r="913" customFormat="false" ht="19" hidden="false" customHeight="false" outlineLevel="0" collapsed="false">
      <c r="A913" s="7" t="s">
        <v>3522</v>
      </c>
      <c r="B913" s="8" t="s">
        <v>3523</v>
      </c>
      <c r="C913" s="7" t="s">
        <v>3522</v>
      </c>
      <c r="D913" s="9" t="n">
        <v>26</v>
      </c>
      <c r="E913" s="10" t="s">
        <v>541</v>
      </c>
      <c r="F913" s="10" t="s">
        <v>1099</v>
      </c>
      <c r="G913" s="10" t="s">
        <v>542</v>
      </c>
      <c r="H913" s="16" t="n">
        <v>9</v>
      </c>
      <c r="I913" s="11" t="s">
        <v>3451</v>
      </c>
      <c r="J913" s="12" t="s">
        <v>3524</v>
      </c>
      <c r="K913" s="13" t="s">
        <v>2549</v>
      </c>
      <c r="L913" s="12" t="s">
        <v>1903</v>
      </c>
      <c r="M913" s="12" t="s">
        <v>1824</v>
      </c>
      <c r="N913" s="12" t="s">
        <v>452</v>
      </c>
    </row>
    <row r="914" customFormat="false" ht="44.5" hidden="false" customHeight="false" outlineLevel="0" collapsed="false">
      <c r="A914" s="14" t="s">
        <v>3525</v>
      </c>
      <c r="B914" s="15" t="s">
        <v>3526</v>
      </c>
      <c r="C914" s="14" t="s">
        <v>3525</v>
      </c>
      <c r="D914" s="9" t="n">
        <v>26</v>
      </c>
      <c r="E914" s="10" t="s">
        <v>541</v>
      </c>
      <c r="F914" s="10" t="s">
        <v>1834</v>
      </c>
      <c r="G914" s="10" t="s">
        <v>542</v>
      </c>
      <c r="H914" s="16" t="n">
        <v>9</v>
      </c>
      <c r="I914" s="17" t="s">
        <v>3451</v>
      </c>
      <c r="J914" s="18" t="s">
        <v>3527</v>
      </c>
      <c r="K914" s="13" t="s">
        <v>3528</v>
      </c>
      <c r="L914" s="12" t="s">
        <v>2675</v>
      </c>
      <c r="M914" s="12" t="s">
        <v>3453</v>
      </c>
      <c r="N914" s="12" t="s">
        <v>452</v>
      </c>
    </row>
    <row r="915" customFormat="false" ht="19" hidden="false" customHeight="false" outlineLevel="0" collapsed="false">
      <c r="A915" s="7" t="s">
        <v>3529</v>
      </c>
      <c r="B915" s="8" t="s">
        <v>3530</v>
      </c>
      <c r="C915" s="7" t="s">
        <v>3529</v>
      </c>
      <c r="D915" s="9" t="n">
        <v>26</v>
      </c>
      <c r="E915" s="10" t="s">
        <v>541</v>
      </c>
      <c r="F915" s="10" t="s">
        <v>1847</v>
      </c>
      <c r="G915" s="10" t="s">
        <v>542</v>
      </c>
      <c r="H915" s="16" t="n">
        <v>9</v>
      </c>
      <c r="I915" s="11" t="s">
        <v>3451</v>
      </c>
      <c r="J915" s="12" t="s">
        <v>3531</v>
      </c>
      <c r="K915" s="13" t="s">
        <v>1853</v>
      </c>
      <c r="L915" s="12" t="s">
        <v>1903</v>
      </c>
      <c r="M915" s="12" t="s">
        <v>1824</v>
      </c>
      <c r="N915" s="12" t="s">
        <v>452</v>
      </c>
    </row>
    <row r="916" customFormat="false" ht="19" hidden="false" customHeight="false" outlineLevel="0" collapsed="false">
      <c r="A916" s="22" t="s">
        <v>3532</v>
      </c>
      <c r="B916" s="8" t="s">
        <v>3533</v>
      </c>
      <c r="C916" s="22" t="s">
        <v>3532</v>
      </c>
      <c r="D916" s="9" t="n">
        <v>26</v>
      </c>
      <c r="E916" s="10" t="s">
        <v>541</v>
      </c>
      <c r="F916" s="10" t="s">
        <v>203</v>
      </c>
      <c r="G916" s="10" t="s">
        <v>542</v>
      </c>
      <c r="H916" s="16" t="n">
        <v>9</v>
      </c>
      <c r="I916" s="11" t="s">
        <v>3451</v>
      </c>
      <c r="J916" s="23" t="s">
        <v>3534</v>
      </c>
      <c r="K916" s="13" t="s">
        <v>2549</v>
      </c>
      <c r="L916" s="12" t="s">
        <v>2675</v>
      </c>
      <c r="M916" s="12" t="s">
        <v>1824</v>
      </c>
      <c r="N916" s="12" t="s">
        <v>452</v>
      </c>
    </row>
    <row r="917" customFormat="false" ht="27.5" hidden="false" customHeight="false" outlineLevel="0" collapsed="false">
      <c r="A917" s="20" t="s">
        <v>3535</v>
      </c>
      <c r="B917" s="15" t="s">
        <v>3536</v>
      </c>
      <c r="C917" s="20" t="s">
        <v>3535</v>
      </c>
      <c r="D917" s="9" t="n">
        <v>5</v>
      </c>
      <c r="E917" s="9" t="s">
        <v>63</v>
      </c>
      <c r="F917" s="10" t="s">
        <v>64</v>
      </c>
      <c r="G917" s="10" t="s">
        <v>65</v>
      </c>
      <c r="H917" s="16" t="n">
        <v>9</v>
      </c>
      <c r="I917" s="17" t="s">
        <v>3451</v>
      </c>
      <c r="J917" s="13" t="s">
        <v>3537</v>
      </c>
      <c r="K917" s="13" t="s">
        <v>2590</v>
      </c>
      <c r="L917" s="12" t="s">
        <v>2675</v>
      </c>
      <c r="M917" s="12" t="s">
        <v>3453</v>
      </c>
      <c r="N917" s="12" t="s">
        <v>452</v>
      </c>
    </row>
    <row r="918" customFormat="false" ht="19" hidden="false" customHeight="false" outlineLevel="0" collapsed="false">
      <c r="A918" s="7" t="s">
        <v>3538</v>
      </c>
      <c r="B918" s="8" t="s">
        <v>3539</v>
      </c>
      <c r="C918" s="7" t="s">
        <v>3538</v>
      </c>
      <c r="D918" s="9" t="n">
        <v>6</v>
      </c>
      <c r="E918" s="10" t="s">
        <v>180</v>
      </c>
      <c r="F918" s="10" t="s">
        <v>98</v>
      </c>
      <c r="G918" s="10" t="s">
        <v>181</v>
      </c>
      <c r="H918" s="16" t="n">
        <v>9</v>
      </c>
      <c r="I918" s="11" t="s">
        <v>3451</v>
      </c>
      <c r="J918" s="12" t="s">
        <v>3540</v>
      </c>
      <c r="K918" s="13" t="s">
        <v>2683</v>
      </c>
      <c r="L918" s="12" t="s">
        <v>2675</v>
      </c>
      <c r="M918" s="12" t="s">
        <v>3453</v>
      </c>
      <c r="N918" s="12" t="s">
        <v>452</v>
      </c>
    </row>
    <row r="919" customFormat="false" ht="27.5" hidden="false" customHeight="false" outlineLevel="0" collapsed="false">
      <c r="A919" s="7" t="s">
        <v>3541</v>
      </c>
      <c r="B919" s="8" t="s">
        <v>3542</v>
      </c>
      <c r="C919" s="7" t="s">
        <v>3541</v>
      </c>
      <c r="D919" s="9" t="n">
        <v>12</v>
      </c>
      <c r="E919" s="10" t="s">
        <v>185</v>
      </c>
      <c r="F919" s="10" t="s">
        <v>587</v>
      </c>
      <c r="G919" s="10" t="s">
        <v>587</v>
      </c>
      <c r="H919" s="16" t="n">
        <v>9</v>
      </c>
      <c r="I919" s="11" t="s">
        <v>3451</v>
      </c>
      <c r="J919" s="12" t="s">
        <v>3543</v>
      </c>
      <c r="K919" s="13" t="s">
        <v>3146</v>
      </c>
      <c r="L919" s="12" t="s">
        <v>2675</v>
      </c>
      <c r="M919" s="12" t="s">
        <v>3453</v>
      </c>
      <c r="N919" s="12" t="s">
        <v>452</v>
      </c>
    </row>
    <row r="920" customFormat="false" ht="53" hidden="false" customHeight="false" outlineLevel="0" collapsed="false">
      <c r="A920" s="22" t="s">
        <v>3544</v>
      </c>
      <c r="B920" s="8" t="s">
        <v>3545</v>
      </c>
      <c r="C920" s="22" t="s">
        <v>3544</v>
      </c>
      <c r="D920" s="9" t="n">
        <v>11</v>
      </c>
      <c r="E920" s="10" t="s">
        <v>69</v>
      </c>
      <c r="F920" s="10" t="s">
        <v>70</v>
      </c>
      <c r="G920" s="10" t="s">
        <v>70</v>
      </c>
      <c r="H920" s="16" t="n">
        <v>9</v>
      </c>
      <c r="I920" s="11" t="s">
        <v>3451</v>
      </c>
      <c r="J920" s="29" t="s">
        <v>3546</v>
      </c>
      <c r="K920" s="13" t="s">
        <v>3547</v>
      </c>
      <c r="L920" s="12" t="s">
        <v>2675</v>
      </c>
      <c r="M920" s="12" t="s">
        <v>3453</v>
      </c>
      <c r="N920" s="12" t="s">
        <v>452</v>
      </c>
    </row>
    <row r="921" customFormat="false" ht="27.5" hidden="false" customHeight="false" outlineLevel="0" collapsed="false">
      <c r="A921" s="7" t="s">
        <v>3548</v>
      </c>
      <c r="B921" s="8" t="s">
        <v>3549</v>
      </c>
      <c r="C921" s="7" t="s">
        <v>3548</v>
      </c>
      <c r="D921" s="9" t="n">
        <v>9</v>
      </c>
      <c r="E921" s="10" t="s">
        <v>113</v>
      </c>
      <c r="F921" s="10" t="s">
        <v>296</v>
      </c>
      <c r="G921" s="10" t="s">
        <v>296</v>
      </c>
      <c r="H921" s="16" t="n">
        <v>9</v>
      </c>
      <c r="I921" s="11" t="s">
        <v>3451</v>
      </c>
      <c r="J921" s="18" t="s">
        <v>3550</v>
      </c>
      <c r="K921" s="13" t="s">
        <v>3551</v>
      </c>
      <c r="L921" s="12" t="s">
        <v>2675</v>
      </c>
      <c r="M921" s="12" t="s">
        <v>1824</v>
      </c>
      <c r="N921" s="12" t="s">
        <v>452</v>
      </c>
    </row>
    <row r="922" customFormat="false" ht="27.5" hidden="false" customHeight="false" outlineLevel="0" collapsed="false">
      <c r="A922" s="14" t="s">
        <v>3552</v>
      </c>
      <c r="B922" s="15" t="s">
        <v>3553</v>
      </c>
      <c r="C922" s="14" t="s">
        <v>3552</v>
      </c>
      <c r="D922" s="9" t="n">
        <v>22</v>
      </c>
      <c r="E922" s="9" t="s">
        <v>47</v>
      </c>
      <c r="F922" s="10" t="s">
        <v>639</v>
      </c>
      <c r="G922" s="10" t="s">
        <v>639</v>
      </c>
      <c r="H922" s="16" t="n">
        <v>9</v>
      </c>
      <c r="I922" s="17" t="s">
        <v>3451</v>
      </c>
      <c r="J922" s="21" t="s">
        <v>3554</v>
      </c>
      <c r="K922" s="13" t="s">
        <v>3555</v>
      </c>
      <c r="L922" s="12" t="s">
        <v>2675</v>
      </c>
      <c r="M922" s="12" t="s">
        <v>3453</v>
      </c>
      <c r="N922" s="12" t="s">
        <v>452</v>
      </c>
    </row>
    <row r="923" customFormat="false" ht="44.5" hidden="false" customHeight="false" outlineLevel="0" collapsed="false">
      <c r="A923" s="7" t="s">
        <v>3556</v>
      </c>
      <c r="B923" s="8" t="s">
        <v>3557</v>
      </c>
      <c r="C923" s="7" t="s">
        <v>3556</v>
      </c>
      <c r="D923" s="9" t="n">
        <v>22</v>
      </c>
      <c r="E923" s="9" t="s">
        <v>47</v>
      </c>
      <c r="F923" s="10" t="s">
        <v>639</v>
      </c>
      <c r="G923" s="10" t="s">
        <v>639</v>
      </c>
      <c r="H923" s="16" t="n">
        <v>9</v>
      </c>
      <c r="I923" s="11" t="s">
        <v>3451</v>
      </c>
      <c r="J923" s="29" t="s">
        <v>3558</v>
      </c>
      <c r="K923" s="13" t="s">
        <v>3559</v>
      </c>
      <c r="L923" s="12" t="s">
        <v>2675</v>
      </c>
      <c r="M923" s="12" t="s">
        <v>1824</v>
      </c>
      <c r="N923" s="12" t="s">
        <v>452</v>
      </c>
    </row>
    <row r="924" customFormat="false" ht="19" hidden="false" customHeight="false" outlineLevel="0" collapsed="false">
      <c r="A924" s="22" t="s">
        <v>3560</v>
      </c>
      <c r="B924" s="8" t="s">
        <v>3561</v>
      </c>
      <c r="C924" s="22" t="s">
        <v>3560</v>
      </c>
      <c r="D924" s="9" t="n">
        <v>18</v>
      </c>
      <c r="E924" s="10" t="s">
        <v>449</v>
      </c>
      <c r="F924" s="10" t="s">
        <v>600</v>
      </c>
      <c r="G924" s="10" t="s">
        <v>600</v>
      </c>
      <c r="H924" s="16" t="n">
        <v>9</v>
      </c>
      <c r="I924" s="11" t="s">
        <v>3451</v>
      </c>
      <c r="J924" s="23" t="s">
        <v>3562</v>
      </c>
      <c r="K924" s="13" t="s">
        <v>3353</v>
      </c>
      <c r="L924" s="12" t="s">
        <v>2675</v>
      </c>
      <c r="M924" s="12" t="s">
        <v>3453</v>
      </c>
      <c r="N924" s="12" t="s">
        <v>452</v>
      </c>
    </row>
    <row r="925" customFormat="false" ht="44.5" hidden="false" customHeight="false" outlineLevel="0" collapsed="false">
      <c r="A925" s="14" t="s">
        <v>3563</v>
      </c>
      <c r="B925" s="15" t="s">
        <v>3564</v>
      </c>
      <c r="C925" s="14" t="s">
        <v>3563</v>
      </c>
      <c r="D925" s="9" t="n">
        <v>18</v>
      </c>
      <c r="E925" s="10" t="s">
        <v>449</v>
      </c>
      <c r="F925" s="10" t="s">
        <v>600</v>
      </c>
      <c r="G925" s="10" t="s">
        <v>600</v>
      </c>
      <c r="H925" s="16" t="n">
        <v>9</v>
      </c>
      <c r="I925" s="17" t="s">
        <v>3451</v>
      </c>
      <c r="J925" s="18" t="s">
        <v>3565</v>
      </c>
      <c r="K925" s="13" t="s">
        <v>3353</v>
      </c>
      <c r="L925" s="12" t="s">
        <v>1903</v>
      </c>
      <c r="M925" s="12" t="s">
        <v>1824</v>
      </c>
      <c r="N925" s="12" t="s">
        <v>452</v>
      </c>
    </row>
    <row r="926" customFormat="false" ht="27.5" hidden="false" customHeight="false" outlineLevel="0" collapsed="false">
      <c r="A926" s="7" t="s">
        <v>3566</v>
      </c>
      <c r="B926" s="8" t="s">
        <v>3567</v>
      </c>
      <c r="C926" s="7" t="s">
        <v>3566</v>
      </c>
      <c r="D926" s="9" t="n">
        <v>6</v>
      </c>
      <c r="E926" s="10" t="s">
        <v>180</v>
      </c>
      <c r="F926" s="10" t="s">
        <v>1985</v>
      </c>
      <c r="G926" s="10" t="s">
        <v>1985</v>
      </c>
      <c r="H926" s="16" t="n">
        <v>9</v>
      </c>
      <c r="I926" s="11" t="s">
        <v>3451</v>
      </c>
      <c r="J926" s="12" t="s">
        <v>3568</v>
      </c>
      <c r="K926" s="13" t="s">
        <v>2683</v>
      </c>
      <c r="L926" s="12" t="s">
        <v>2675</v>
      </c>
      <c r="M926" s="12" t="s">
        <v>3453</v>
      </c>
      <c r="N926" s="12" t="s">
        <v>452</v>
      </c>
    </row>
    <row r="927" customFormat="false" ht="19" hidden="false" customHeight="false" outlineLevel="0" collapsed="false">
      <c r="A927" s="14" t="s">
        <v>3569</v>
      </c>
      <c r="B927" s="15" t="s">
        <v>3570</v>
      </c>
      <c r="C927" s="14" t="s">
        <v>3569</v>
      </c>
      <c r="D927" s="9" t="n">
        <v>19</v>
      </c>
      <c r="E927" s="17" t="s">
        <v>83</v>
      </c>
      <c r="F927" s="21" t="s">
        <v>84</v>
      </c>
      <c r="G927" s="12" t="s">
        <v>85</v>
      </c>
      <c r="H927" s="16" t="n">
        <v>9</v>
      </c>
      <c r="I927" s="11" t="s">
        <v>3451</v>
      </c>
      <c r="J927" s="12" t="s">
        <v>3571</v>
      </c>
      <c r="K927" s="13" t="s">
        <v>3572</v>
      </c>
      <c r="L927" s="12" t="s">
        <v>2675</v>
      </c>
      <c r="M927" s="12" t="s">
        <v>3453</v>
      </c>
      <c r="N927" s="12" t="s">
        <v>452</v>
      </c>
    </row>
    <row r="928" customFormat="false" ht="53" hidden="false" customHeight="false" outlineLevel="0" collapsed="false">
      <c r="A928" s="7" t="s">
        <v>3573</v>
      </c>
      <c r="B928" s="8" t="s">
        <v>3574</v>
      </c>
      <c r="C928" s="7" t="s">
        <v>3573</v>
      </c>
      <c r="D928" s="9" t="n">
        <v>12</v>
      </c>
      <c r="E928" s="10" t="s">
        <v>185</v>
      </c>
      <c r="F928" s="10" t="s">
        <v>186</v>
      </c>
      <c r="G928" s="10" t="s">
        <v>185</v>
      </c>
      <c r="H928" s="16" t="n">
        <v>9</v>
      </c>
      <c r="I928" s="11" t="s">
        <v>3451</v>
      </c>
      <c r="J928" s="12" t="s">
        <v>3575</v>
      </c>
      <c r="K928" s="13" t="s">
        <v>3576</v>
      </c>
      <c r="L928" s="12" t="s">
        <v>2675</v>
      </c>
      <c r="M928" s="12" t="s">
        <v>3453</v>
      </c>
      <c r="N928" s="12" t="s">
        <v>452</v>
      </c>
    </row>
    <row r="929" customFormat="false" ht="70" hidden="false" customHeight="false" outlineLevel="0" collapsed="false">
      <c r="A929" s="14" t="s">
        <v>3577</v>
      </c>
      <c r="B929" s="15" t="s">
        <v>3578</v>
      </c>
      <c r="C929" s="14" t="s">
        <v>3577</v>
      </c>
      <c r="D929" s="9" t="n">
        <v>12</v>
      </c>
      <c r="E929" s="9" t="s">
        <v>185</v>
      </c>
      <c r="F929" s="10" t="s">
        <v>186</v>
      </c>
      <c r="G929" s="10" t="s">
        <v>185</v>
      </c>
      <c r="H929" s="16" t="n">
        <v>9</v>
      </c>
      <c r="I929" s="17" t="s">
        <v>3451</v>
      </c>
      <c r="J929" s="18" t="s">
        <v>3579</v>
      </c>
      <c r="K929" s="13" t="s">
        <v>3580</v>
      </c>
      <c r="L929" s="12" t="s">
        <v>2675</v>
      </c>
      <c r="M929" s="12" t="s">
        <v>3453</v>
      </c>
      <c r="N929" s="12" t="s">
        <v>452</v>
      </c>
    </row>
    <row r="930" customFormat="false" ht="36" hidden="false" customHeight="false" outlineLevel="0" collapsed="false">
      <c r="A930" s="20" t="s">
        <v>3581</v>
      </c>
      <c r="B930" s="15" t="s">
        <v>3582</v>
      </c>
      <c r="C930" s="20" t="s">
        <v>3581</v>
      </c>
      <c r="D930" s="9" t="n">
        <v>5</v>
      </c>
      <c r="E930" s="9" t="s">
        <v>63</v>
      </c>
      <c r="F930" s="10" t="s">
        <v>94</v>
      </c>
      <c r="G930" s="10" t="s">
        <v>94</v>
      </c>
      <c r="H930" s="16" t="n">
        <v>9</v>
      </c>
      <c r="I930" s="17" t="s">
        <v>3451</v>
      </c>
      <c r="J930" s="13" t="s">
        <v>3583</v>
      </c>
      <c r="K930" s="13" t="s">
        <v>3584</v>
      </c>
      <c r="L930" s="12" t="s">
        <v>2675</v>
      </c>
      <c r="M930" s="12" t="s">
        <v>3453</v>
      </c>
      <c r="N930" s="12" t="s">
        <v>306</v>
      </c>
    </row>
    <row r="931" customFormat="false" ht="53" hidden="false" customHeight="false" outlineLevel="0" collapsed="false">
      <c r="A931" s="14" t="s">
        <v>3585</v>
      </c>
      <c r="B931" s="15" t="s">
        <v>3586</v>
      </c>
      <c r="C931" s="14" t="s">
        <v>3585</v>
      </c>
      <c r="D931" s="9" t="n">
        <v>10</v>
      </c>
      <c r="E931" s="9" t="s">
        <v>142</v>
      </c>
      <c r="F931" s="10" t="s">
        <v>669</v>
      </c>
      <c r="G931" s="10" t="s">
        <v>689</v>
      </c>
      <c r="H931" s="16" t="n">
        <v>9</v>
      </c>
      <c r="I931" s="17" t="s">
        <v>3451</v>
      </c>
      <c r="J931" s="18" t="s">
        <v>3587</v>
      </c>
      <c r="K931" s="13" t="s">
        <v>3588</v>
      </c>
      <c r="L931" s="12" t="s">
        <v>2675</v>
      </c>
      <c r="M931" s="12" t="s">
        <v>3453</v>
      </c>
      <c r="N931" s="12" t="s">
        <v>452</v>
      </c>
    </row>
    <row r="932" customFormat="false" ht="104" hidden="false" customHeight="false" outlineLevel="0" collapsed="false">
      <c r="A932" s="20" t="s">
        <v>3589</v>
      </c>
      <c r="B932" s="15" t="s">
        <v>3590</v>
      </c>
      <c r="C932" s="20" t="s">
        <v>3589</v>
      </c>
      <c r="D932" s="9" t="n">
        <v>22</v>
      </c>
      <c r="E932" s="9" t="s">
        <v>47</v>
      </c>
      <c r="F932" s="10" t="s">
        <v>693</v>
      </c>
      <c r="G932" s="10" t="s">
        <v>694</v>
      </c>
      <c r="H932" s="16" t="n">
        <v>9</v>
      </c>
      <c r="I932" s="17" t="s">
        <v>3451</v>
      </c>
      <c r="J932" s="13" t="s">
        <v>2565</v>
      </c>
      <c r="K932" s="13" t="s">
        <v>3591</v>
      </c>
      <c r="L932" s="12" t="s">
        <v>2675</v>
      </c>
      <c r="M932" s="12" t="s">
        <v>3453</v>
      </c>
      <c r="N932" s="12" t="s">
        <v>452</v>
      </c>
    </row>
    <row r="933" customFormat="false" ht="36" hidden="false" customHeight="false" outlineLevel="0" collapsed="false">
      <c r="A933" s="7" t="s">
        <v>3592</v>
      </c>
      <c r="B933" s="8" t="s">
        <v>3593</v>
      </c>
      <c r="C933" s="7" t="s">
        <v>3592</v>
      </c>
      <c r="D933" s="9" t="n">
        <v>5</v>
      </c>
      <c r="E933" s="10" t="s">
        <v>63</v>
      </c>
      <c r="F933" s="10" t="s">
        <v>706</v>
      </c>
      <c r="G933" s="10" t="s">
        <v>706</v>
      </c>
      <c r="H933" s="16" t="n">
        <v>9</v>
      </c>
      <c r="I933" s="11" t="s">
        <v>3451</v>
      </c>
      <c r="J933" s="12" t="s">
        <v>3594</v>
      </c>
      <c r="K933" s="13" t="s">
        <v>3595</v>
      </c>
      <c r="L933" s="12" t="s">
        <v>2675</v>
      </c>
      <c r="M933" s="12" t="s">
        <v>3453</v>
      </c>
      <c r="N933" s="12" t="s">
        <v>452</v>
      </c>
    </row>
    <row r="934" customFormat="false" ht="44.5" hidden="false" customHeight="false" outlineLevel="0" collapsed="false">
      <c r="A934" s="14" t="s">
        <v>3596</v>
      </c>
      <c r="B934" s="15" t="s">
        <v>3597</v>
      </c>
      <c r="C934" s="14" t="s">
        <v>3596</v>
      </c>
      <c r="D934" s="9" t="n">
        <v>24</v>
      </c>
      <c r="E934" s="9" t="s">
        <v>1342</v>
      </c>
      <c r="F934" s="10" t="s">
        <v>1609</v>
      </c>
      <c r="G934" s="10" t="s">
        <v>1344</v>
      </c>
      <c r="H934" s="16" t="n">
        <v>9</v>
      </c>
      <c r="I934" s="17" t="s">
        <v>3451</v>
      </c>
      <c r="J934" s="21" t="s">
        <v>3598</v>
      </c>
      <c r="K934" s="13" t="s">
        <v>3599</v>
      </c>
      <c r="L934" s="12" t="s">
        <v>2675</v>
      </c>
      <c r="M934" s="12" t="s">
        <v>3453</v>
      </c>
      <c r="N934" s="12" t="s">
        <v>452</v>
      </c>
    </row>
    <row r="935" customFormat="false" ht="53" hidden="false" customHeight="false" outlineLevel="0" collapsed="false">
      <c r="A935" s="22" t="s">
        <v>3600</v>
      </c>
      <c r="B935" s="8" t="s">
        <v>3601</v>
      </c>
      <c r="C935" s="22" t="s">
        <v>3600</v>
      </c>
      <c r="D935" s="9" t="n">
        <v>24</v>
      </c>
      <c r="E935" s="10" t="s">
        <v>1342</v>
      </c>
      <c r="F935" s="10" t="s">
        <v>1609</v>
      </c>
      <c r="G935" s="10" t="s">
        <v>1344</v>
      </c>
      <c r="H935" s="16" t="n">
        <v>9</v>
      </c>
      <c r="I935" s="11" t="s">
        <v>3451</v>
      </c>
      <c r="J935" s="23" t="s">
        <v>3602</v>
      </c>
      <c r="K935" s="13" t="s">
        <v>3603</v>
      </c>
      <c r="L935" s="12" t="s">
        <v>2675</v>
      </c>
      <c r="M935" s="12" t="s">
        <v>3453</v>
      </c>
      <c r="N935" s="12" t="s">
        <v>452</v>
      </c>
    </row>
    <row r="936" customFormat="false" ht="44.5" hidden="false" customHeight="false" outlineLevel="0" collapsed="false">
      <c r="A936" s="14" t="s">
        <v>3604</v>
      </c>
      <c r="B936" s="15" t="s">
        <v>3605</v>
      </c>
      <c r="C936" s="14" t="s">
        <v>3604</v>
      </c>
      <c r="D936" s="9" t="n">
        <v>24</v>
      </c>
      <c r="E936" s="9" t="s">
        <v>1342</v>
      </c>
      <c r="F936" s="10" t="s">
        <v>1609</v>
      </c>
      <c r="G936" s="10" t="s">
        <v>1344</v>
      </c>
      <c r="H936" s="16" t="n">
        <v>9</v>
      </c>
      <c r="I936" s="17" t="s">
        <v>3451</v>
      </c>
      <c r="J936" s="18" t="s">
        <v>3606</v>
      </c>
      <c r="K936" s="13" t="s">
        <v>3089</v>
      </c>
      <c r="L936" s="12" t="s">
        <v>3488</v>
      </c>
      <c r="M936" s="12" t="s">
        <v>3462</v>
      </c>
      <c r="N936" s="12" t="s">
        <v>452</v>
      </c>
    </row>
    <row r="937" customFormat="false" ht="36" hidden="false" customHeight="false" outlineLevel="0" collapsed="false">
      <c r="A937" s="14" t="s">
        <v>3607</v>
      </c>
      <c r="B937" s="15" t="s">
        <v>3608</v>
      </c>
      <c r="C937" s="14" t="s">
        <v>3607</v>
      </c>
      <c r="D937" s="9" t="n">
        <v>24</v>
      </c>
      <c r="E937" s="9" t="s">
        <v>1342</v>
      </c>
      <c r="F937" s="10" t="s">
        <v>1343</v>
      </c>
      <c r="G937" s="10" t="s">
        <v>1344</v>
      </c>
      <c r="H937" s="16" t="n">
        <v>9</v>
      </c>
      <c r="I937" s="17" t="s">
        <v>3451</v>
      </c>
      <c r="J937" s="21" t="s">
        <v>3609</v>
      </c>
      <c r="K937" s="13" t="s">
        <v>3610</v>
      </c>
      <c r="L937" s="12" t="s">
        <v>2675</v>
      </c>
      <c r="M937" s="12" t="s">
        <v>3453</v>
      </c>
      <c r="N937" s="12" t="s">
        <v>452</v>
      </c>
    </row>
    <row r="938" customFormat="false" ht="27.5" hidden="false" customHeight="false" outlineLevel="0" collapsed="false">
      <c r="A938" s="14" t="s">
        <v>3611</v>
      </c>
      <c r="B938" s="15" t="s">
        <v>3612</v>
      </c>
      <c r="C938" s="14" t="s">
        <v>3611</v>
      </c>
      <c r="D938" s="9" t="n">
        <v>24</v>
      </c>
      <c r="E938" s="9" t="s">
        <v>1342</v>
      </c>
      <c r="F938" s="10" t="s">
        <v>1634</v>
      </c>
      <c r="G938" s="10" t="s">
        <v>1344</v>
      </c>
      <c r="H938" s="16" t="n">
        <v>9</v>
      </c>
      <c r="I938" s="17" t="s">
        <v>3451</v>
      </c>
      <c r="J938" s="18" t="s">
        <v>3613</v>
      </c>
      <c r="K938" s="13" t="s">
        <v>3614</v>
      </c>
      <c r="L938" s="12" t="s">
        <v>2675</v>
      </c>
      <c r="M938" s="12" t="s">
        <v>3453</v>
      </c>
      <c r="N938" s="12" t="s">
        <v>452</v>
      </c>
    </row>
    <row r="939" customFormat="false" ht="27.5" hidden="false" customHeight="false" outlineLevel="0" collapsed="false">
      <c r="A939" s="14" t="s">
        <v>3615</v>
      </c>
      <c r="B939" s="15" t="s">
        <v>3616</v>
      </c>
      <c r="C939" s="14" t="s">
        <v>3615</v>
      </c>
      <c r="D939" s="9" t="n">
        <v>24</v>
      </c>
      <c r="E939" s="9" t="s">
        <v>1342</v>
      </c>
      <c r="F939" s="10" t="s">
        <v>1609</v>
      </c>
      <c r="G939" s="10" t="s">
        <v>1344</v>
      </c>
      <c r="H939" s="16" t="n">
        <v>9</v>
      </c>
      <c r="I939" s="17" t="s">
        <v>3451</v>
      </c>
      <c r="J939" s="21" t="s">
        <v>3617</v>
      </c>
      <c r="K939" s="13" t="s">
        <v>3618</v>
      </c>
      <c r="L939" s="12" t="s">
        <v>2675</v>
      </c>
      <c r="M939" s="12" t="s">
        <v>3453</v>
      </c>
      <c r="N939" s="12" t="s">
        <v>452</v>
      </c>
    </row>
    <row r="940" customFormat="false" ht="27.5" hidden="false" customHeight="false" outlineLevel="0" collapsed="false">
      <c r="A940" s="14" t="s">
        <v>3619</v>
      </c>
      <c r="B940" s="15" t="s">
        <v>3620</v>
      </c>
      <c r="C940" s="14" t="s">
        <v>3619</v>
      </c>
      <c r="D940" s="9" t="n">
        <v>24</v>
      </c>
      <c r="E940" s="9" t="s">
        <v>1342</v>
      </c>
      <c r="F940" s="10" t="s">
        <v>1343</v>
      </c>
      <c r="G940" s="10" t="s">
        <v>1344</v>
      </c>
      <c r="H940" s="16" t="n">
        <v>9</v>
      </c>
      <c r="I940" s="17" t="s">
        <v>3451</v>
      </c>
      <c r="J940" s="18" t="s">
        <v>3621</v>
      </c>
      <c r="K940" s="13" t="s">
        <v>3303</v>
      </c>
      <c r="L940" s="12" t="s">
        <v>2675</v>
      </c>
      <c r="M940" s="12" t="s">
        <v>1824</v>
      </c>
      <c r="N940" s="12" t="s">
        <v>452</v>
      </c>
    </row>
    <row r="941" customFormat="false" ht="53" hidden="false" customHeight="false" outlineLevel="0" collapsed="false">
      <c r="A941" s="14" t="s">
        <v>3622</v>
      </c>
      <c r="B941" s="15" t="s">
        <v>3623</v>
      </c>
      <c r="C941" s="14" t="s">
        <v>3622</v>
      </c>
      <c r="D941" s="9" t="n">
        <v>24</v>
      </c>
      <c r="E941" s="9" t="s">
        <v>1342</v>
      </c>
      <c r="F941" s="10" t="s">
        <v>1634</v>
      </c>
      <c r="G941" s="10" t="s">
        <v>1344</v>
      </c>
      <c r="H941" s="16" t="n">
        <v>9</v>
      </c>
      <c r="I941" s="17" t="s">
        <v>3451</v>
      </c>
      <c r="J941" s="18" t="s">
        <v>3624</v>
      </c>
      <c r="K941" s="13" t="s">
        <v>3625</v>
      </c>
      <c r="L941" s="12" t="s">
        <v>2675</v>
      </c>
      <c r="M941" s="12" t="s">
        <v>1824</v>
      </c>
      <c r="N941" s="12" t="s">
        <v>452</v>
      </c>
    </row>
    <row r="942" customFormat="false" ht="44.5" hidden="false" customHeight="false" outlineLevel="0" collapsed="false">
      <c r="A942" s="14" t="s">
        <v>3626</v>
      </c>
      <c r="B942" s="15" t="s">
        <v>3627</v>
      </c>
      <c r="C942" s="14" t="s">
        <v>3626</v>
      </c>
      <c r="D942" s="9" t="n">
        <v>24</v>
      </c>
      <c r="E942" s="9" t="s">
        <v>1342</v>
      </c>
      <c r="F942" s="10" t="s">
        <v>1634</v>
      </c>
      <c r="G942" s="10" t="s">
        <v>1344</v>
      </c>
      <c r="H942" s="16" t="n">
        <v>9</v>
      </c>
      <c r="I942" s="17" t="s">
        <v>3451</v>
      </c>
      <c r="J942" s="18" t="s">
        <v>3628</v>
      </c>
      <c r="K942" s="12" t="s">
        <v>3629</v>
      </c>
      <c r="L942" s="12" t="s">
        <v>2675</v>
      </c>
      <c r="M942" s="12" t="s">
        <v>3462</v>
      </c>
      <c r="N942" s="12" t="s">
        <v>452</v>
      </c>
    </row>
    <row r="943" customFormat="false" ht="36" hidden="false" customHeight="false" outlineLevel="0" collapsed="false">
      <c r="A943" s="22" t="s">
        <v>3630</v>
      </c>
      <c r="B943" s="8" t="s">
        <v>3631</v>
      </c>
      <c r="C943" s="22" t="s">
        <v>3630</v>
      </c>
      <c r="D943" s="9" t="n">
        <v>24</v>
      </c>
      <c r="E943" s="10" t="s">
        <v>1342</v>
      </c>
      <c r="F943" s="10" t="s">
        <v>1634</v>
      </c>
      <c r="G943" s="10" t="s">
        <v>1344</v>
      </c>
      <c r="H943" s="16" t="n">
        <v>9</v>
      </c>
      <c r="I943" s="11" t="s">
        <v>3451</v>
      </c>
      <c r="J943" s="23" t="s">
        <v>3632</v>
      </c>
      <c r="K943" s="30" t="s">
        <v>3629</v>
      </c>
      <c r="L943" s="12" t="s">
        <v>2675</v>
      </c>
      <c r="M943" s="12" t="s">
        <v>3462</v>
      </c>
      <c r="N943" s="12" t="s">
        <v>452</v>
      </c>
    </row>
    <row r="944" customFormat="false" ht="44.5" hidden="false" customHeight="false" outlineLevel="0" collapsed="false">
      <c r="A944" s="14" t="s">
        <v>3633</v>
      </c>
      <c r="B944" s="15" t="s">
        <v>3634</v>
      </c>
      <c r="C944" s="14" t="s">
        <v>3633</v>
      </c>
      <c r="D944" s="9" t="n">
        <v>24</v>
      </c>
      <c r="E944" s="9" t="s">
        <v>1342</v>
      </c>
      <c r="F944" s="10" t="s">
        <v>1609</v>
      </c>
      <c r="G944" s="10" t="s">
        <v>1344</v>
      </c>
      <c r="H944" s="16" t="n">
        <v>9</v>
      </c>
      <c r="I944" s="17" t="s">
        <v>3451</v>
      </c>
      <c r="J944" s="18" t="s">
        <v>3635</v>
      </c>
      <c r="K944" s="13" t="s">
        <v>3089</v>
      </c>
      <c r="L944" s="12" t="s">
        <v>2675</v>
      </c>
      <c r="M944" s="12" t="s">
        <v>3453</v>
      </c>
      <c r="N944" s="12" t="s">
        <v>452</v>
      </c>
    </row>
    <row r="945" customFormat="false" ht="27.5" hidden="false" customHeight="false" outlineLevel="0" collapsed="false">
      <c r="A945" s="14" t="s">
        <v>3636</v>
      </c>
      <c r="B945" s="15" t="s">
        <v>3637</v>
      </c>
      <c r="C945" s="14" t="s">
        <v>3636</v>
      </c>
      <c r="D945" s="9" t="n">
        <v>24</v>
      </c>
      <c r="E945" s="9" t="s">
        <v>1342</v>
      </c>
      <c r="F945" s="10" t="s">
        <v>1634</v>
      </c>
      <c r="G945" s="10" t="s">
        <v>1344</v>
      </c>
      <c r="H945" s="16" t="n">
        <v>9</v>
      </c>
      <c r="I945" s="17" t="s">
        <v>3451</v>
      </c>
      <c r="J945" s="18" t="s">
        <v>3638</v>
      </c>
      <c r="K945" s="18" t="s">
        <v>3639</v>
      </c>
      <c r="L945" s="12" t="s">
        <v>3488</v>
      </c>
      <c r="M945" s="12" t="s">
        <v>3462</v>
      </c>
      <c r="N945" s="12" t="s">
        <v>306</v>
      </c>
    </row>
    <row r="946" customFormat="false" ht="27.5" hidden="false" customHeight="false" outlineLevel="0" collapsed="false">
      <c r="A946" s="22" t="s">
        <v>3640</v>
      </c>
      <c r="B946" s="8" t="s">
        <v>3641</v>
      </c>
      <c r="C946" s="22" t="s">
        <v>3640</v>
      </c>
      <c r="D946" s="9" t="n">
        <v>24</v>
      </c>
      <c r="E946" s="10" t="s">
        <v>1342</v>
      </c>
      <c r="F946" s="10" t="s">
        <v>1609</v>
      </c>
      <c r="G946" s="10" t="s">
        <v>1344</v>
      </c>
      <c r="H946" s="16" t="n">
        <v>9</v>
      </c>
      <c r="I946" s="11" t="s">
        <v>3451</v>
      </c>
      <c r="J946" s="23" t="s">
        <v>3642</v>
      </c>
      <c r="K946" s="13" t="s">
        <v>3089</v>
      </c>
      <c r="L946" s="12" t="s">
        <v>2675</v>
      </c>
      <c r="M946" s="12" t="s">
        <v>3453</v>
      </c>
      <c r="N946" s="12" t="s">
        <v>452</v>
      </c>
    </row>
    <row r="947" customFormat="false" ht="36" hidden="false" customHeight="false" outlineLevel="0" collapsed="false">
      <c r="A947" s="14" t="s">
        <v>3643</v>
      </c>
      <c r="B947" s="15" t="s">
        <v>3644</v>
      </c>
      <c r="C947" s="14" t="s">
        <v>3643</v>
      </c>
      <c r="D947" s="9" t="n">
        <v>24</v>
      </c>
      <c r="E947" s="9" t="s">
        <v>1342</v>
      </c>
      <c r="F947" s="10" t="s">
        <v>1634</v>
      </c>
      <c r="G947" s="10" t="s">
        <v>1344</v>
      </c>
      <c r="H947" s="16" t="n">
        <v>9</v>
      </c>
      <c r="I947" s="17" t="s">
        <v>3451</v>
      </c>
      <c r="J947" s="18" t="s">
        <v>3645</v>
      </c>
      <c r="K947" s="13" t="s">
        <v>3089</v>
      </c>
      <c r="L947" s="12" t="s">
        <v>2675</v>
      </c>
      <c r="M947" s="12" t="s">
        <v>3462</v>
      </c>
      <c r="N947" s="12" t="s">
        <v>452</v>
      </c>
    </row>
    <row r="948" customFormat="false" ht="19" hidden="false" customHeight="false" outlineLevel="0" collapsed="false">
      <c r="A948" s="7" t="s">
        <v>3646</v>
      </c>
      <c r="B948" s="8" t="s">
        <v>3647</v>
      </c>
      <c r="C948" s="7" t="s">
        <v>3646</v>
      </c>
      <c r="D948" s="9" t="n">
        <v>1</v>
      </c>
      <c r="E948" s="10" t="s">
        <v>203</v>
      </c>
      <c r="F948" s="10" t="s">
        <v>98</v>
      </c>
      <c r="G948" s="10" t="s">
        <v>98</v>
      </c>
      <c r="H948" s="16" t="n">
        <v>9</v>
      </c>
      <c r="I948" s="11" t="s">
        <v>3451</v>
      </c>
      <c r="J948" s="12" t="s">
        <v>3648</v>
      </c>
      <c r="K948" s="13" t="s">
        <v>3649</v>
      </c>
      <c r="L948" s="12" t="s">
        <v>2675</v>
      </c>
      <c r="M948" s="12" t="s">
        <v>3453</v>
      </c>
      <c r="N948" s="12" t="s">
        <v>452</v>
      </c>
    </row>
    <row r="949" customFormat="false" ht="36" hidden="false" customHeight="false" outlineLevel="0" collapsed="false">
      <c r="A949" s="14" t="s">
        <v>3650</v>
      </c>
      <c r="B949" s="15" t="s">
        <v>3651</v>
      </c>
      <c r="C949" s="14" t="s">
        <v>3650</v>
      </c>
      <c r="D949" s="9" t="n">
        <v>22</v>
      </c>
      <c r="E949" s="9" t="s">
        <v>47</v>
      </c>
      <c r="F949" s="10" t="s">
        <v>639</v>
      </c>
      <c r="G949" s="10" t="s">
        <v>98</v>
      </c>
      <c r="H949" s="16" t="n">
        <v>9</v>
      </c>
      <c r="I949" s="17" t="s">
        <v>3451</v>
      </c>
      <c r="J949" s="21" t="s">
        <v>3652</v>
      </c>
      <c r="K949" s="13" t="s">
        <v>3653</v>
      </c>
      <c r="L949" s="12" t="s">
        <v>2675</v>
      </c>
      <c r="M949" s="12" t="s">
        <v>3453</v>
      </c>
      <c r="N949" s="12" t="s">
        <v>452</v>
      </c>
    </row>
    <row r="950" customFormat="false" ht="19" hidden="false" customHeight="false" outlineLevel="0" collapsed="false">
      <c r="A950" s="7" t="s">
        <v>3654</v>
      </c>
      <c r="B950" s="8" t="s">
        <v>3655</v>
      </c>
      <c r="C950" s="7" t="s">
        <v>3654</v>
      </c>
      <c r="D950" s="9" t="n">
        <v>5</v>
      </c>
      <c r="E950" s="10" t="s">
        <v>63</v>
      </c>
      <c r="F950" s="10" t="s">
        <v>98</v>
      </c>
      <c r="G950" s="10" t="s">
        <v>98</v>
      </c>
      <c r="H950" s="16" t="n">
        <v>9</v>
      </c>
      <c r="I950" s="10" t="s">
        <v>3451</v>
      </c>
      <c r="J950" s="12" t="s">
        <v>3656</v>
      </c>
      <c r="K950" s="13" t="s">
        <v>3657</v>
      </c>
      <c r="L950" s="12" t="s">
        <v>2675</v>
      </c>
      <c r="M950" s="12" t="s">
        <v>3453</v>
      </c>
      <c r="N950" s="12" t="s">
        <v>452</v>
      </c>
    </row>
    <row r="951" customFormat="false" ht="44.5" hidden="false" customHeight="false" outlineLevel="0" collapsed="false">
      <c r="A951" s="14" t="s">
        <v>3658</v>
      </c>
      <c r="B951" s="15" t="s">
        <v>3659</v>
      </c>
      <c r="C951" s="14" t="s">
        <v>3658</v>
      </c>
      <c r="D951" s="9" t="n">
        <v>22</v>
      </c>
      <c r="E951" s="9" t="s">
        <v>47</v>
      </c>
      <c r="F951" s="10" t="s">
        <v>79</v>
      </c>
      <c r="G951" s="10" t="s">
        <v>98</v>
      </c>
      <c r="H951" s="16" t="n">
        <v>9</v>
      </c>
      <c r="I951" s="17" t="s">
        <v>3451</v>
      </c>
      <c r="J951" s="21" t="s">
        <v>3660</v>
      </c>
      <c r="K951" s="13" t="s">
        <v>3661</v>
      </c>
      <c r="L951" s="12" t="s">
        <v>2675</v>
      </c>
      <c r="M951" s="12" t="s">
        <v>3453</v>
      </c>
      <c r="N951" s="12" t="s">
        <v>452</v>
      </c>
    </row>
    <row r="952" customFormat="false" ht="27.5" hidden="false" customHeight="false" outlineLevel="0" collapsed="false">
      <c r="A952" s="7" t="s">
        <v>3662</v>
      </c>
      <c r="B952" s="8" t="s">
        <v>3663</v>
      </c>
      <c r="C952" s="7" t="s">
        <v>3662</v>
      </c>
      <c r="D952" s="9" t="n">
        <v>1</v>
      </c>
      <c r="E952" s="10" t="s">
        <v>203</v>
      </c>
      <c r="F952" s="10" t="s">
        <v>1408</v>
      </c>
      <c r="G952" s="10" t="s">
        <v>1409</v>
      </c>
      <c r="H952" s="16" t="n">
        <v>9</v>
      </c>
      <c r="I952" s="11" t="s">
        <v>3451</v>
      </c>
      <c r="J952" s="12" t="s">
        <v>3664</v>
      </c>
      <c r="K952" s="13" t="s">
        <v>3418</v>
      </c>
      <c r="L952" s="12" t="s">
        <v>2675</v>
      </c>
      <c r="M952" s="12" t="s">
        <v>3453</v>
      </c>
      <c r="N952" s="12" t="s">
        <v>452</v>
      </c>
    </row>
    <row r="953" customFormat="false" ht="27.5" hidden="false" customHeight="false" outlineLevel="0" collapsed="false">
      <c r="A953" s="20" t="s">
        <v>3665</v>
      </c>
      <c r="B953" s="15" t="s">
        <v>3666</v>
      </c>
      <c r="C953" s="20" t="s">
        <v>3665</v>
      </c>
      <c r="D953" s="9" t="n">
        <v>10</v>
      </c>
      <c r="E953" s="9" t="s">
        <v>142</v>
      </c>
      <c r="F953" s="10" t="s">
        <v>768</v>
      </c>
      <c r="G953" s="10" t="s">
        <v>769</v>
      </c>
      <c r="H953" s="16" t="n">
        <v>9</v>
      </c>
      <c r="I953" s="17" t="s">
        <v>3451</v>
      </c>
      <c r="J953" s="13" t="s">
        <v>3667</v>
      </c>
      <c r="K953" s="13" t="s">
        <v>3668</v>
      </c>
      <c r="L953" s="12" t="s">
        <v>2675</v>
      </c>
      <c r="M953" s="12" t="s">
        <v>3453</v>
      </c>
      <c r="N953" s="12" t="s">
        <v>452</v>
      </c>
    </row>
    <row r="954" customFormat="false" ht="53" hidden="false" customHeight="false" outlineLevel="0" collapsed="false">
      <c r="A954" s="20" t="s">
        <v>3669</v>
      </c>
      <c r="B954" s="15" t="s">
        <v>3670</v>
      </c>
      <c r="C954" s="20" t="s">
        <v>3669</v>
      </c>
      <c r="D954" s="9" t="n">
        <v>2</v>
      </c>
      <c r="E954" s="9" t="s">
        <v>226</v>
      </c>
      <c r="F954" s="10" t="s">
        <v>1427</v>
      </c>
      <c r="G954" s="10" t="s">
        <v>1428</v>
      </c>
      <c r="H954" s="16" t="n">
        <v>9</v>
      </c>
      <c r="I954" s="17" t="s">
        <v>3451</v>
      </c>
      <c r="J954" s="13" t="s">
        <v>3671</v>
      </c>
      <c r="K954" s="13" t="s">
        <v>3672</v>
      </c>
      <c r="L954" s="12" t="s">
        <v>2675</v>
      </c>
      <c r="M954" s="12" t="s">
        <v>3453</v>
      </c>
      <c r="N954" s="12" t="s">
        <v>452</v>
      </c>
    </row>
    <row r="955" customFormat="false" ht="27.5" hidden="false" customHeight="false" outlineLevel="0" collapsed="false">
      <c r="A955" s="20" t="s">
        <v>3673</v>
      </c>
      <c r="B955" s="15" t="s">
        <v>3674</v>
      </c>
      <c r="C955" s="20" t="s">
        <v>3673</v>
      </c>
      <c r="D955" s="9" t="n">
        <v>5</v>
      </c>
      <c r="E955" s="9" t="s">
        <v>63</v>
      </c>
      <c r="F955" s="10" t="s">
        <v>134</v>
      </c>
      <c r="G955" s="10" t="s">
        <v>134</v>
      </c>
      <c r="H955" s="16" t="n">
        <v>9</v>
      </c>
      <c r="I955" s="17" t="s">
        <v>3451</v>
      </c>
      <c r="J955" s="13" t="s">
        <v>3675</v>
      </c>
      <c r="K955" s="13" t="s">
        <v>3341</v>
      </c>
      <c r="L955" s="12" t="s">
        <v>2675</v>
      </c>
      <c r="M955" s="12" t="s">
        <v>3453</v>
      </c>
      <c r="N955" s="12" t="s">
        <v>452</v>
      </c>
    </row>
    <row r="956" customFormat="false" ht="44.5" hidden="false" customHeight="false" outlineLevel="0" collapsed="false">
      <c r="A956" s="14" t="s">
        <v>3676</v>
      </c>
      <c r="B956" s="15" t="s">
        <v>3677</v>
      </c>
      <c r="C956" s="14" t="s">
        <v>3676</v>
      </c>
      <c r="D956" s="9" t="n">
        <v>5</v>
      </c>
      <c r="E956" s="9" t="s">
        <v>63</v>
      </c>
      <c r="F956" s="10" t="s">
        <v>791</v>
      </c>
      <c r="G956" s="10" t="s">
        <v>791</v>
      </c>
      <c r="H956" s="16" t="n">
        <v>9</v>
      </c>
      <c r="I956" s="17" t="s">
        <v>3451</v>
      </c>
      <c r="J956" s="18" t="s">
        <v>3678</v>
      </c>
      <c r="K956" s="13" t="s">
        <v>3679</v>
      </c>
      <c r="L956" s="12" t="s">
        <v>2675</v>
      </c>
      <c r="M956" s="12" t="s">
        <v>3453</v>
      </c>
      <c r="N956" s="12" t="s">
        <v>452</v>
      </c>
    </row>
    <row r="957" customFormat="false" ht="27.5" hidden="false" customHeight="false" outlineLevel="0" collapsed="false">
      <c r="A957" s="14" t="s">
        <v>3680</v>
      </c>
      <c r="B957" s="15" t="s">
        <v>3681</v>
      </c>
      <c r="C957" s="14" t="s">
        <v>3680</v>
      </c>
      <c r="D957" s="9" t="n">
        <v>20</v>
      </c>
      <c r="E957" s="9" t="s">
        <v>55</v>
      </c>
      <c r="F957" s="10" t="s">
        <v>1452</v>
      </c>
      <c r="G957" s="10" t="s">
        <v>1453</v>
      </c>
      <c r="H957" s="16" t="n">
        <v>9</v>
      </c>
      <c r="I957" s="17" t="s">
        <v>3451</v>
      </c>
      <c r="J957" s="18" t="s">
        <v>3682</v>
      </c>
      <c r="K957" s="13" t="s">
        <v>3683</v>
      </c>
      <c r="L957" s="12" t="s">
        <v>2675</v>
      </c>
      <c r="M957" s="12" t="s">
        <v>3453</v>
      </c>
      <c r="N957" s="12" t="s">
        <v>452</v>
      </c>
    </row>
    <row r="958" customFormat="false" ht="36" hidden="false" customHeight="false" outlineLevel="0" collapsed="false">
      <c r="A958" s="14" t="s">
        <v>3684</v>
      </c>
      <c r="B958" s="15" t="s">
        <v>3685</v>
      </c>
      <c r="C958" s="14" t="s">
        <v>3684</v>
      </c>
      <c r="D958" s="9" t="n">
        <v>21</v>
      </c>
      <c r="E958" s="10" t="s">
        <v>117</v>
      </c>
      <c r="F958" s="10" t="s">
        <v>747</v>
      </c>
      <c r="G958" s="10" t="s">
        <v>2880</v>
      </c>
      <c r="H958" s="16" t="n">
        <v>9</v>
      </c>
      <c r="I958" s="17" t="s">
        <v>3451</v>
      </c>
      <c r="J958" s="18" t="s">
        <v>3686</v>
      </c>
      <c r="K958" s="13" t="s">
        <v>3687</v>
      </c>
      <c r="L958" s="12" t="s">
        <v>2675</v>
      </c>
      <c r="M958" s="12" t="s">
        <v>3453</v>
      </c>
      <c r="N958" s="12" t="s">
        <v>452</v>
      </c>
    </row>
    <row r="959" customFormat="false" ht="27.5" hidden="false" customHeight="false" outlineLevel="0" collapsed="false">
      <c r="A959" s="20" t="s">
        <v>3688</v>
      </c>
      <c r="B959" s="15" t="s">
        <v>3689</v>
      </c>
      <c r="C959" s="20" t="s">
        <v>3688</v>
      </c>
      <c r="D959" s="9" t="n">
        <v>22</v>
      </c>
      <c r="E959" s="9" t="s">
        <v>47</v>
      </c>
      <c r="F959" s="10" t="s">
        <v>801</v>
      </c>
      <c r="G959" s="10" t="s">
        <v>801</v>
      </c>
      <c r="H959" s="16" t="n">
        <v>9</v>
      </c>
      <c r="I959" s="17" t="s">
        <v>3451</v>
      </c>
      <c r="J959" s="13" t="s">
        <v>3690</v>
      </c>
      <c r="K959" s="13" t="s">
        <v>3691</v>
      </c>
      <c r="L959" s="12" t="s">
        <v>2675</v>
      </c>
      <c r="M959" s="12" t="s">
        <v>3453</v>
      </c>
      <c r="N959" s="12" t="s">
        <v>452</v>
      </c>
    </row>
    <row r="960" customFormat="false" ht="36" hidden="false" customHeight="false" outlineLevel="0" collapsed="false">
      <c r="A960" s="7" t="s">
        <v>3692</v>
      </c>
      <c r="B960" s="8" t="s">
        <v>3693</v>
      </c>
      <c r="C960" s="7" t="s">
        <v>3692</v>
      </c>
      <c r="D960" s="9" t="n">
        <v>5</v>
      </c>
      <c r="E960" s="10" t="s">
        <v>63</v>
      </c>
      <c r="F960" s="10" t="s">
        <v>805</v>
      </c>
      <c r="G960" s="10" t="s">
        <v>805</v>
      </c>
      <c r="H960" s="16" t="n">
        <v>9</v>
      </c>
      <c r="I960" s="11" t="s">
        <v>3451</v>
      </c>
      <c r="J960" s="12" t="s">
        <v>3694</v>
      </c>
      <c r="K960" s="13" t="s">
        <v>3695</v>
      </c>
      <c r="L960" s="12" t="s">
        <v>2675</v>
      </c>
      <c r="M960" s="12" t="s">
        <v>3453</v>
      </c>
      <c r="N960" s="12" t="s">
        <v>452</v>
      </c>
    </row>
    <row r="961" customFormat="false" ht="44.5" hidden="false" customHeight="false" outlineLevel="0" collapsed="false">
      <c r="A961" s="7" t="s">
        <v>3696</v>
      </c>
      <c r="B961" s="8" t="s">
        <v>3697</v>
      </c>
      <c r="C961" s="7" t="s">
        <v>3698</v>
      </c>
      <c r="D961" s="9" t="n">
        <v>18</v>
      </c>
      <c r="E961" s="10" t="s">
        <v>449</v>
      </c>
      <c r="F961" s="10" t="s">
        <v>600</v>
      </c>
      <c r="G961" s="10" t="s">
        <v>3351</v>
      </c>
      <c r="H961" s="8" t="n">
        <v>9</v>
      </c>
      <c r="I961" s="11" t="s">
        <v>3096</v>
      </c>
      <c r="J961" s="31" t="s">
        <v>3352</v>
      </c>
      <c r="K961" s="18" t="s">
        <v>3353</v>
      </c>
      <c r="L961" s="12" t="s">
        <v>2675</v>
      </c>
      <c r="M961" s="12" t="s">
        <v>1102</v>
      </c>
      <c r="N961" s="12" t="s">
        <v>452</v>
      </c>
    </row>
    <row r="962" customFormat="false" ht="19" hidden="false" customHeight="false" outlineLevel="0" collapsed="false">
      <c r="A962" s="7" t="s">
        <v>3699</v>
      </c>
      <c r="B962" s="15" t="s">
        <v>3478</v>
      </c>
      <c r="C962" s="7" t="s">
        <v>3699</v>
      </c>
      <c r="D962" s="9" t="n">
        <v>18</v>
      </c>
      <c r="E962" s="10" t="s">
        <v>449</v>
      </c>
      <c r="F962" s="10"/>
      <c r="G962" s="10" t="s">
        <v>3351</v>
      </c>
      <c r="H962" s="8" t="n">
        <v>9</v>
      </c>
      <c r="I962" s="11" t="s">
        <v>3700</v>
      </c>
      <c r="J962" s="12" t="s">
        <v>3701</v>
      </c>
      <c r="K962" s="13" t="s">
        <v>3353</v>
      </c>
      <c r="L962" s="12" t="s">
        <v>1676</v>
      </c>
      <c r="M962" s="12" t="s">
        <v>1102</v>
      </c>
      <c r="N962" s="12" t="s">
        <v>452</v>
      </c>
    </row>
    <row r="963" customFormat="false" ht="19" hidden="false" customHeight="false" outlineLevel="0" collapsed="false">
      <c r="A963" s="7" t="s">
        <v>3702</v>
      </c>
      <c r="B963" s="8" t="s">
        <v>3703</v>
      </c>
      <c r="C963" s="7" t="s">
        <v>3702</v>
      </c>
      <c r="D963" s="9" t="n">
        <v>1</v>
      </c>
      <c r="E963" s="10" t="s">
        <v>203</v>
      </c>
      <c r="F963" s="10" t="s">
        <v>3359</v>
      </c>
      <c r="G963" s="10" t="s">
        <v>3359</v>
      </c>
      <c r="H963" s="16" t="n">
        <v>9</v>
      </c>
      <c r="I963" s="11" t="s">
        <v>3451</v>
      </c>
      <c r="J963" s="12" t="s">
        <v>3704</v>
      </c>
      <c r="K963" s="13" t="s">
        <v>3705</v>
      </c>
      <c r="L963" s="12" t="s">
        <v>2675</v>
      </c>
      <c r="M963" s="12" t="s">
        <v>1824</v>
      </c>
      <c r="N963" s="12" t="s">
        <v>452</v>
      </c>
    </row>
    <row r="964" customFormat="false" ht="36" hidden="false" customHeight="false" outlineLevel="0" collapsed="false">
      <c r="A964" s="14" t="s">
        <v>3706</v>
      </c>
      <c r="B964" s="15" t="s">
        <v>3707</v>
      </c>
      <c r="C964" s="14" t="s">
        <v>3706</v>
      </c>
      <c r="D964" s="9" t="n">
        <v>1</v>
      </c>
      <c r="E964" s="9" t="s">
        <v>203</v>
      </c>
      <c r="F964" s="10" t="s">
        <v>3359</v>
      </c>
      <c r="G964" s="10" t="s">
        <v>3359</v>
      </c>
      <c r="H964" s="16" t="n">
        <v>9</v>
      </c>
      <c r="I964" s="17" t="s">
        <v>3451</v>
      </c>
      <c r="J964" s="18" t="s">
        <v>3708</v>
      </c>
      <c r="K964" s="13" t="s">
        <v>3365</v>
      </c>
      <c r="L964" s="12" t="s">
        <v>2675</v>
      </c>
      <c r="M964" s="12" t="s">
        <v>1824</v>
      </c>
      <c r="N964" s="12" t="s">
        <v>452</v>
      </c>
    </row>
    <row r="965" customFormat="false" ht="27.5" hidden="false" customHeight="false" outlineLevel="0" collapsed="false">
      <c r="A965" s="7" t="s">
        <v>3709</v>
      </c>
      <c r="B965" s="8" t="s">
        <v>3710</v>
      </c>
      <c r="C965" s="7" t="s">
        <v>3709</v>
      </c>
      <c r="D965" s="9" t="n">
        <v>10</v>
      </c>
      <c r="E965" s="10" t="s">
        <v>142</v>
      </c>
      <c r="F965" s="10" t="s">
        <v>826</v>
      </c>
      <c r="G965" s="10" t="s">
        <v>826</v>
      </c>
      <c r="H965" s="16" t="n">
        <v>9</v>
      </c>
      <c r="I965" s="11" t="s">
        <v>3451</v>
      </c>
      <c r="J965" s="12" t="s">
        <v>3711</v>
      </c>
      <c r="K965" s="13" t="s">
        <v>3712</v>
      </c>
      <c r="L965" s="12" t="s">
        <v>2675</v>
      </c>
      <c r="M965" s="12" t="s">
        <v>3453</v>
      </c>
      <c r="N965" s="12" t="s">
        <v>452</v>
      </c>
    </row>
    <row r="966" customFormat="false" ht="27.5" hidden="false" customHeight="false" outlineLevel="0" collapsed="false">
      <c r="A966" s="7" t="s">
        <v>3713</v>
      </c>
      <c r="B966" s="15" t="s">
        <v>3714</v>
      </c>
      <c r="C966" s="7" t="s">
        <v>3713</v>
      </c>
      <c r="D966" s="9" t="n">
        <v>10</v>
      </c>
      <c r="E966" s="10" t="s">
        <v>142</v>
      </c>
      <c r="F966" s="10" t="s">
        <v>143</v>
      </c>
      <c r="G966" s="10" t="s">
        <v>143</v>
      </c>
      <c r="H966" s="16" t="n">
        <v>9</v>
      </c>
      <c r="I966" s="10" t="s">
        <v>3451</v>
      </c>
      <c r="J966" s="10" t="s">
        <v>3715</v>
      </c>
      <c r="K966" s="13" t="s">
        <v>3716</v>
      </c>
      <c r="L966" s="12" t="s">
        <v>2675</v>
      </c>
      <c r="M966" s="12" t="s">
        <v>3453</v>
      </c>
      <c r="N966" s="12" t="s">
        <v>452</v>
      </c>
    </row>
    <row r="967" customFormat="false" ht="36" hidden="false" customHeight="false" outlineLevel="0" collapsed="false">
      <c r="A967" s="14" t="s">
        <v>3717</v>
      </c>
      <c r="B967" s="8" t="s">
        <v>3718</v>
      </c>
      <c r="C967" s="14" t="s">
        <v>3717</v>
      </c>
      <c r="D967" s="9" t="n">
        <v>10</v>
      </c>
      <c r="E967" s="10" t="s">
        <v>142</v>
      </c>
      <c r="F967" s="10" t="s">
        <v>143</v>
      </c>
      <c r="G967" s="10" t="s">
        <v>143</v>
      </c>
      <c r="H967" s="16" t="n">
        <v>9</v>
      </c>
      <c r="I967" s="11" t="s">
        <v>3451</v>
      </c>
      <c r="J967" s="12" t="s">
        <v>3719</v>
      </c>
      <c r="K967" s="13" t="s">
        <v>3716</v>
      </c>
      <c r="L967" s="12" t="s">
        <v>2675</v>
      </c>
      <c r="M967" s="12" t="s">
        <v>3453</v>
      </c>
      <c r="N967" s="12" t="s">
        <v>452</v>
      </c>
    </row>
    <row r="968" customFormat="false" ht="53" hidden="false" customHeight="false" outlineLevel="0" collapsed="false">
      <c r="A968" s="7" t="s">
        <v>3720</v>
      </c>
      <c r="B968" s="8" t="s">
        <v>3721</v>
      </c>
      <c r="C968" s="7" t="s">
        <v>3720</v>
      </c>
      <c r="D968" s="9" t="n">
        <v>10</v>
      </c>
      <c r="E968" s="10" t="s">
        <v>142</v>
      </c>
      <c r="F968" s="10" t="s">
        <v>143</v>
      </c>
      <c r="G968" s="10" t="s">
        <v>143</v>
      </c>
      <c r="H968" s="16" t="n">
        <v>9</v>
      </c>
      <c r="I968" s="11" t="s">
        <v>3451</v>
      </c>
      <c r="J968" s="12" t="s">
        <v>3722</v>
      </c>
      <c r="K968" s="13" t="s">
        <v>3723</v>
      </c>
      <c r="L968" s="12" t="s">
        <v>2675</v>
      </c>
      <c r="M968" s="12" t="s">
        <v>3453</v>
      </c>
      <c r="N968" s="12" t="s">
        <v>452</v>
      </c>
    </row>
    <row r="969" customFormat="false" ht="27.5" hidden="false" customHeight="false" outlineLevel="0" collapsed="false">
      <c r="A969" s="20" t="s">
        <v>3724</v>
      </c>
      <c r="B969" s="15" t="s">
        <v>3725</v>
      </c>
      <c r="C969" s="20" t="s">
        <v>3724</v>
      </c>
      <c r="D969" s="9" t="n">
        <v>22</v>
      </c>
      <c r="E969" s="9" t="s">
        <v>47</v>
      </c>
      <c r="F969" s="10" t="s">
        <v>863</v>
      </c>
      <c r="G969" s="10" t="s">
        <v>863</v>
      </c>
      <c r="H969" s="16" t="n">
        <v>9</v>
      </c>
      <c r="I969" s="17" t="s">
        <v>3451</v>
      </c>
      <c r="J969" s="13" t="s">
        <v>3726</v>
      </c>
      <c r="K969" s="13" t="s">
        <v>3727</v>
      </c>
      <c r="L969" s="12" t="s">
        <v>2675</v>
      </c>
      <c r="M969" s="12" t="s">
        <v>3453</v>
      </c>
      <c r="N969" s="12" t="s">
        <v>452</v>
      </c>
    </row>
    <row r="970" customFormat="false" ht="27.5" hidden="false" customHeight="false" outlineLevel="0" collapsed="false">
      <c r="A970" s="7" t="s">
        <v>3728</v>
      </c>
      <c r="B970" s="8" t="s">
        <v>3729</v>
      </c>
      <c r="C970" s="7" t="s">
        <v>3728</v>
      </c>
      <c r="D970" s="9" t="n">
        <v>5</v>
      </c>
      <c r="E970" s="10" t="s">
        <v>63</v>
      </c>
      <c r="F970" s="10" t="s">
        <v>1514</v>
      </c>
      <c r="G970" s="10" t="s">
        <v>1514</v>
      </c>
      <c r="H970" s="16" t="n">
        <v>9</v>
      </c>
      <c r="I970" s="11" t="s">
        <v>3451</v>
      </c>
      <c r="J970" s="12" t="s">
        <v>3730</v>
      </c>
      <c r="K970" s="13" t="s">
        <v>2938</v>
      </c>
      <c r="L970" s="12" t="s">
        <v>2675</v>
      </c>
      <c r="M970" s="12" t="s">
        <v>3453</v>
      </c>
      <c r="N970" s="12" t="s">
        <v>452</v>
      </c>
    </row>
    <row r="971" customFormat="false" ht="19" hidden="false" customHeight="false" outlineLevel="0" collapsed="false">
      <c r="A971" s="7" t="s">
        <v>3731</v>
      </c>
      <c r="B971" s="8" t="s">
        <v>3732</v>
      </c>
      <c r="C971" s="7" t="s">
        <v>3731</v>
      </c>
      <c r="D971" s="9" t="n">
        <v>5</v>
      </c>
      <c r="E971" s="10" t="s">
        <v>63</v>
      </c>
      <c r="F971" s="10" t="s">
        <v>1514</v>
      </c>
      <c r="G971" s="10" t="s">
        <v>1514</v>
      </c>
      <c r="H971" s="16" t="n">
        <v>9</v>
      </c>
      <c r="I971" s="11" t="s">
        <v>3451</v>
      </c>
      <c r="J971" s="12" t="s">
        <v>3733</v>
      </c>
      <c r="K971" s="13" t="s">
        <v>3734</v>
      </c>
      <c r="L971" s="12" t="s">
        <v>2675</v>
      </c>
      <c r="M971" s="12" t="s">
        <v>3453</v>
      </c>
      <c r="N971" s="12" t="s">
        <v>452</v>
      </c>
    </row>
    <row r="972" customFormat="false" ht="44.5" hidden="false" customHeight="false" outlineLevel="0" collapsed="false">
      <c r="A972" s="14" t="s">
        <v>3735</v>
      </c>
      <c r="B972" s="15" t="s">
        <v>3736</v>
      </c>
      <c r="C972" s="14" t="s">
        <v>3735</v>
      </c>
      <c r="D972" s="9" t="n">
        <v>23</v>
      </c>
      <c r="E972" s="10" t="s">
        <v>441</v>
      </c>
      <c r="F972" s="10" t="s">
        <v>3737</v>
      </c>
      <c r="G972" s="10" t="s">
        <v>1523</v>
      </c>
      <c r="H972" s="16" t="n">
        <v>9</v>
      </c>
      <c r="I972" s="17" t="s">
        <v>3451</v>
      </c>
      <c r="J972" s="18" t="s">
        <v>3738</v>
      </c>
      <c r="K972" s="13" t="s">
        <v>3739</v>
      </c>
      <c r="L972" s="12" t="s">
        <v>2675</v>
      </c>
      <c r="M972" s="12" t="s">
        <v>1824</v>
      </c>
      <c r="N972" s="12" t="s">
        <v>452</v>
      </c>
    </row>
    <row r="973" customFormat="false" ht="44.5" hidden="false" customHeight="false" outlineLevel="0" collapsed="false">
      <c r="A973" s="14" t="s">
        <v>3740</v>
      </c>
      <c r="B973" s="15" t="s">
        <v>3741</v>
      </c>
      <c r="C973" s="14" t="s">
        <v>3740</v>
      </c>
      <c r="D973" s="9" t="n">
        <v>23</v>
      </c>
      <c r="E973" s="10" t="s">
        <v>441</v>
      </c>
      <c r="F973" s="10" t="n">
        <v>3</v>
      </c>
      <c r="G973" s="10" t="s">
        <v>1523</v>
      </c>
      <c r="H973" s="16" t="n">
        <v>9</v>
      </c>
      <c r="I973" s="17" t="s">
        <v>3451</v>
      </c>
      <c r="J973" s="18" t="s">
        <v>3742</v>
      </c>
      <c r="K973" s="18" t="s">
        <v>3743</v>
      </c>
      <c r="L973" s="12" t="s">
        <v>2675</v>
      </c>
      <c r="M973" s="12" t="s">
        <v>1824</v>
      </c>
      <c r="N973" s="12" t="s">
        <v>452</v>
      </c>
    </row>
    <row r="974" customFormat="false" ht="19" hidden="false" customHeight="false" outlineLevel="0" collapsed="false">
      <c r="A974" s="7" t="s">
        <v>3744</v>
      </c>
      <c r="B974" s="8" t="s">
        <v>3745</v>
      </c>
      <c r="C974" s="7" t="s">
        <v>3744</v>
      </c>
      <c r="D974" s="9" t="n">
        <v>3</v>
      </c>
      <c r="E974" s="10" t="s">
        <v>39</v>
      </c>
      <c r="F974" s="10" t="s">
        <v>59</v>
      </c>
      <c r="G974" s="10" t="s">
        <v>407</v>
      </c>
      <c r="H974" s="16" t="n">
        <v>9</v>
      </c>
      <c r="I974" s="11" t="s">
        <v>3451</v>
      </c>
      <c r="J974" s="12" t="s">
        <v>3746</v>
      </c>
      <c r="K974" s="13" t="s">
        <v>2964</v>
      </c>
      <c r="L974" s="12" t="s">
        <v>2675</v>
      </c>
      <c r="M974" s="12" t="s">
        <v>3462</v>
      </c>
      <c r="N974" s="12" t="s">
        <v>452</v>
      </c>
    </row>
    <row r="975" customFormat="false" ht="53" hidden="false" customHeight="false" outlineLevel="0" collapsed="false">
      <c r="A975" s="14" t="s">
        <v>3747</v>
      </c>
      <c r="B975" s="15" t="s">
        <v>3748</v>
      </c>
      <c r="C975" s="14" t="s">
        <v>3747</v>
      </c>
      <c r="D975" s="9" t="n">
        <v>10</v>
      </c>
      <c r="E975" s="9" t="s">
        <v>142</v>
      </c>
      <c r="F975" s="10" t="s">
        <v>669</v>
      </c>
      <c r="G975" s="10" t="s">
        <v>1532</v>
      </c>
      <c r="H975" s="16" t="n">
        <v>9</v>
      </c>
      <c r="I975" s="17" t="s">
        <v>3451</v>
      </c>
      <c r="J975" s="18" t="s">
        <v>3749</v>
      </c>
      <c r="K975" s="13" t="s">
        <v>3750</v>
      </c>
      <c r="L975" s="12" t="s">
        <v>2675</v>
      </c>
      <c r="M975" s="12" t="s">
        <v>3453</v>
      </c>
      <c r="N975" s="12" t="s">
        <v>452</v>
      </c>
    </row>
    <row r="976" customFormat="false" ht="27.5" hidden="false" customHeight="false" outlineLevel="0" collapsed="false">
      <c r="A976" s="20" t="s">
        <v>3751</v>
      </c>
      <c r="B976" s="15" t="s">
        <v>3752</v>
      </c>
      <c r="C976" s="20" t="s">
        <v>3751</v>
      </c>
      <c r="D976" s="9" t="n">
        <v>22</v>
      </c>
      <c r="E976" s="9" t="s">
        <v>47</v>
      </c>
      <c r="F976" s="10" t="s">
        <v>872</v>
      </c>
      <c r="G976" s="10" t="s">
        <v>873</v>
      </c>
      <c r="H976" s="16" t="n">
        <v>9</v>
      </c>
      <c r="I976" s="17" t="s">
        <v>3451</v>
      </c>
      <c r="J976" s="13" t="s">
        <v>3753</v>
      </c>
      <c r="K976" s="13" t="s">
        <v>3754</v>
      </c>
      <c r="L976" s="12" t="s">
        <v>2675</v>
      </c>
      <c r="M976" s="12" t="s">
        <v>3453</v>
      </c>
      <c r="N976" s="12" t="s">
        <v>452</v>
      </c>
    </row>
    <row r="977" customFormat="false" ht="61.5" hidden="false" customHeight="false" outlineLevel="0" collapsed="false">
      <c r="A977" s="14" t="s">
        <v>3755</v>
      </c>
      <c r="B977" s="15" t="s">
        <v>3756</v>
      </c>
      <c r="C977" s="14" t="s">
        <v>3755</v>
      </c>
      <c r="D977" s="9" t="n">
        <v>2</v>
      </c>
      <c r="E977" s="9" t="s">
        <v>226</v>
      </c>
      <c r="F977" s="10" t="s">
        <v>226</v>
      </c>
      <c r="G977" s="10" t="s">
        <v>226</v>
      </c>
      <c r="H977" s="16" t="n">
        <v>9</v>
      </c>
      <c r="I977" s="17" t="s">
        <v>3451</v>
      </c>
      <c r="J977" s="18" t="s">
        <v>3757</v>
      </c>
      <c r="K977" s="13" t="s">
        <v>3758</v>
      </c>
      <c r="L977" s="12" t="s">
        <v>2675</v>
      </c>
      <c r="M977" s="12" t="s">
        <v>3453</v>
      </c>
      <c r="N977" s="12" t="s">
        <v>452</v>
      </c>
    </row>
    <row r="978" customFormat="false" ht="36" hidden="false" customHeight="false" outlineLevel="0" collapsed="false">
      <c r="A978" s="20" t="s">
        <v>3759</v>
      </c>
      <c r="B978" s="15" t="s">
        <v>3760</v>
      </c>
      <c r="C978" s="20" t="s">
        <v>3759</v>
      </c>
      <c r="D978" s="9" t="n">
        <v>22</v>
      </c>
      <c r="E978" s="9" t="s">
        <v>47</v>
      </c>
      <c r="F978" s="10" t="s">
        <v>151</v>
      </c>
      <c r="G978" s="10" t="s">
        <v>151</v>
      </c>
      <c r="H978" s="16" t="n">
        <v>9</v>
      </c>
      <c r="I978" s="17" t="s">
        <v>3451</v>
      </c>
      <c r="J978" s="13" t="s">
        <v>3761</v>
      </c>
      <c r="K978" s="13" t="s">
        <v>3762</v>
      </c>
      <c r="L978" s="12" t="s">
        <v>2675</v>
      </c>
      <c r="M978" s="12" t="s">
        <v>3453</v>
      </c>
      <c r="N978" s="12" t="s">
        <v>452</v>
      </c>
    </row>
    <row r="979" customFormat="false" ht="36" hidden="false" customHeight="false" outlineLevel="0" collapsed="false">
      <c r="A979" s="7" t="s">
        <v>3763</v>
      </c>
      <c r="B979" s="8" t="s">
        <v>3764</v>
      </c>
      <c r="C979" s="7" t="s">
        <v>3763</v>
      </c>
      <c r="D979" s="9" t="n">
        <v>16</v>
      </c>
      <c r="E979" s="10" t="s">
        <v>168</v>
      </c>
      <c r="F979" s="10" t="s">
        <v>40</v>
      </c>
      <c r="G979" s="10" t="s">
        <v>157</v>
      </c>
      <c r="H979" s="16" t="n">
        <v>9</v>
      </c>
      <c r="I979" s="11" t="s">
        <v>3451</v>
      </c>
      <c r="J979" s="12" t="s">
        <v>3765</v>
      </c>
      <c r="K979" s="13" t="s">
        <v>3766</v>
      </c>
      <c r="L979" s="12" t="s">
        <v>2675</v>
      </c>
      <c r="M979" s="12" t="s">
        <v>1824</v>
      </c>
      <c r="N979" s="12" t="s">
        <v>452</v>
      </c>
    </row>
    <row r="980" customFormat="false" ht="27.5" hidden="false" customHeight="false" outlineLevel="0" collapsed="false">
      <c r="A980" s="20" t="s">
        <v>3767</v>
      </c>
      <c r="B980" s="15" t="s">
        <v>3768</v>
      </c>
      <c r="C980" s="20" t="s">
        <v>3767</v>
      </c>
      <c r="D980" s="9" t="n">
        <v>6</v>
      </c>
      <c r="E980" s="9" t="s">
        <v>180</v>
      </c>
      <c r="F980" s="10" t="s">
        <v>1590</v>
      </c>
      <c r="G980" s="10" t="s">
        <v>1591</v>
      </c>
      <c r="H980" s="16" t="n">
        <v>9</v>
      </c>
      <c r="I980" s="17" t="s">
        <v>3451</v>
      </c>
      <c r="J980" s="13" t="s">
        <v>3769</v>
      </c>
      <c r="K980" s="13" t="s">
        <v>3770</v>
      </c>
      <c r="L980" s="12" t="s">
        <v>2675</v>
      </c>
      <c r="M980" s="12" t="s">
        <v>3453</v>
      </c>
      <c r="N980" s="12" t="s">
        <v>452</v>
      </c>
    </row>
    <row r="981" customFormat="false" ht="27.5" hidden="false" customHeight="false" outlineLevel="0" collapsed="false">
      <c r="A981" s="7" t="s">
        <v>3771</v>
      </c>
      <c r="B981" s="8" t="s">
        <v>3772</v>
      </c>
      <c r="C981" s="7" t="s">
        <v>3771</v>
      </c>
      <c r="D981" s="9" t="n">
        <v>24</v>
      </c>
      <c r="E981" s="10" t="s">
        <v>1342</v>
      </c>
      <c r="F981" s="10" t="s">
        <v>1343</v>
      </c>
      <c r="G981" s="10" t="n">
        <v>0</v>
      </c>
      <c r="H981" s="16" t="n">
        <v>9</v>
      </c>
      <c r="I981" s="11" t="s">
        <v>3451</v>
      </c>
      <c r="J981" s="12" t="s">
        <v>3773</v>
      </c>
      <c r="K981" s="12" t="s">
        <v>1411</v>
      </c>
      <c r="L981" s="12" t="s">
        <v>2675</v>
      </c>
      <c r="M981" s="12" t="s">
        <v>3462</v>
      </c>
      <c r="N981" s="12" t="s">
        <v>452</v>
      </c>
    </row>
    <row r="982" customFormat="false" ht="36" hidden="false" customHeight="false" outlineLevel="0" collapsed="false">
      <c r="A982" s="7" t="s">
        <v>3774</v>
      </c>
      <c r="B982" s="8" t="s">
        <v>3775</v>
      </c>
      <c r="C982" s="7" t="s">
        <v>3774</v>
      </c>
      <c r="D982" s="9" t="n">
        <v>25</v>
      </c>
      <c r="E982" s="10" t="s">
        <v>915</v>
      </c>
      <c r="F982" s="10" t="s">
        <v>3439</v>
      </c>
      <c r="G982" s="10" t="n">
        <v>0</v>
      </c>
      <c r="H982" s="16" t="n">
        <v>9</v>
      </c>
      <c r="I982" s="11" t="s">
        <v>3451</v>
      </c>
      <c r="J982" s="12" t="s">
        <v>3776</v>
      </c>
      <c r="K982" s="13" t="s">
        <v>3777</v>
      </c>
      <c r="L982" s="12" t="s">
        <v>2675</v>
      </c>
      <c r="M982" s="12" t="s">
        <v>1824</v>
      </c>
      <c r="N982" s="12" t="s">
        <v>452</v>
      </c>
    </row>
    <row r="983" customFormat="false" ht="27.5" hidden="false" customHeight="false" outlineLevel="0" collapsed="false">
      <c r="A983" s="7" t="s">
        <v>3778</v>
      </c>
      <c r="B983" s="8" t="s">
        <v>3779</v>
      </c>
      <c r="C983" s="7" t="s">
        <v>3778</v>
      </c>
      <c r="D983" s="9" t="n">
        <v>25</v>
      </c>
      <c r="E983" s="10" t="s">
        <v>915</v>
      </c>
      <c r="F983" s="10" t="s">
        <v>3439</v>
      </c>
      <c r="G983" s="10" t="n">
        <v>0</v>
      </c>
      <c r="H983" s="16" t="n">
        <v>9</v>
      </c>
      <c r="I983" s="11" t="s">
        <v>3451</v>
      </c>
      <c r="J983" s="12" t="s">
        <v>3780</v>
      </c>
      <c r="K983" s="13" t="s">
        <v>3781</v>
      </c>
      <c r="L983" s="12" t="s">
        <v>2675</v>
      </c>
      <c r="M983" s="12" t="s">
        <v>1824</v>
      </c>
      <c r="N983" s="12" t="s">
        <v>452</v>
      </c>
    </row>
    <row r="984" customFormat="false" ht="70" hidden="false" customHeight="false" outlineLevel="0" collapsed="false">
      <c r="A984" s="20" t="s">
        <v>3782</v>
      </c>
      <c r="B984" s="15" t="s">
        <v>3783</v>
      </c>
      <c r="C984" s="20" t="s">
        <v>3782</v>
      </c>
      <c r="D984" s="9" t="n">
        <v>1</v>
      </c>
      <c r="E984" s="9" t="s">
        <v>203</v>
      </c>
      <c r="F984" s="10" t="s">
        <v>633</v>
      </c>
      <c r="G984" s="10" t="n">
        <v>0</v>
      </c>
      <c r="H984" s="16" t="n">
        <v>9</v>
      </c>
      <c r="I984" s="17" t="s">
        <v>3451</v>
      </c>
      <c r="J984" s="13" t="s">
        <v>3784</v>
      </c>
      <c r="K984" s="13" t="s">
        <v>3785</v>
      </c>
      <c r="L984" s="12" t="s">
        <v>2675</v>
      </c>
      <c r="M984" s="12" t="s">
        <v>3453</v>
      </c>
      <c r="N984" s="12" t="s">
        <v>452</v>
      </c>
    </row>
    <row r="985" customFormat="false" ht="19" hidden="false" customHeight="false" outlineLevel="0" collapsed="false">
      <c r="A985" s="7" t="s">
        <v>3786</v>
      </c>
      <c r="B985" s="8" t="s">
        <v>3787</v>
      </c>
      <c r="C985" s="7" t="s">
        <v>3786</v>
      </c>
      <c r="D985" s="9" t="n">
        <v>25</v>
      </c>
      <c r="E985" s="10" t="s">
        <v>915</v>
      </c>
      <c r="F985" s="10" t="s">
        <v>3439</v>
      </c>
      <c r="G985" s="10" t="n">
        <v>0</v>
      </c>
      <c r="H985" s="16" t="n">
        <v>9</v>
      </c>
      <c r="I985" s="11" t="s">
        <v>3451</v>
      </c>
      <c r="J985" s="12" t="s">
        <v>3788</v>
      </c>
      <c r="K985" s="13" t="s">
        <v>3777</v>
      </c>
      <c r="L985" s="12" t="s">
        <v>2675</v>
      </c>
      <c r="M985" s="12" t="s">
        <v>3453</v>
      </c>
      <c r="N985" s="12" t="s">
        <v>452</v>
      </c>
    </row>
    <row r="986" customFormat="false" ht="27.5" hidden="false" customHeight="false" outlineLevel="0" collapsed="false">
      <c r="A986" s="7" t="s">
        <v>3789</v>
      </c>
      <c r="B986" s="8" t="s">
        <v>3790</v>
      </c>
      <c r="C986" s="7" t="s">
        <v>3789</v>
      </c>
      <c r="D986" s="9" t="n">
        <v>24</v>
      </c>
      <c r="E986" s="10" t="s">
        <v>1342</v>
      </c>
      <c r="F986" s="10" t="s">
        <v>1634</v>
      </c>
      <c r="G986" s="10" t="n">
        <v>0</v>
      </c>
      <c r="H986" s="16" t="n">
        <v>9</v>
      </c>
      <c r="I986" s="11" t="s">
        <v>3451</v>
      </c>
      <c r="J986" s="12" t="s">
        <v>3791</v>
      </c>
      <c r="K986" s="13" t="s">
        <v>3792</v>
      </c>
      <c r="L986" s="12" t="s">
        <v>2675</v>
      </c>
      <c r="M986" s="12" t="s">
        <v>3453</v>
      </c>
      <c r="N986" s="12" t="s">
        <v>452</v>
      </c>
    </row>
    <row r="987" customFormat="false" ht="27.5" hidden="false" customHeight="false" outlineLevel="0" collapsed="false">
      <c r="A987" s="7" t="s">
        <v>3793</v>
      </c>
      <c r="B987" s="8" t="s">
        <v>3794</v>
      </c>
      <c r="C987" s="7" t="s">
        <v>3793</v>
      </c>
      <c r="D987" s="9" t="n">
        <v>24</v>
      </c>
      <c r="E987" s="10" t="s">
        <v>1342</v>
      </c>
      <c r="F987" s="10" t="s">
        <v>1634</v>
      </c>
      <c r="G987" s="10" t="n">
        <v>0</v>
      </c>
      <c r="H987" s="16" t="n">
        <v>9</v>
      </c>
      <c r="I987" s="11" t="s">
        <v>3451</v>
      </c>
      <c r="J987" s="12" t="s">
        <v>3795</v>
      </c>
      <c r="K987" s="13" t="s">
        <v>1346</v>
      </c>
      <c r="L987" s="12" t="s">
        <v>2675</v>
      </c>
      <c r="M987" s="12" t="s">
        <v>3453</v>
      </c>
      <c r="N987" s="12" t="s">
        <v>452</v>
      </c>
    </row>
    <row r="988" customFormat="false" ht="36" hidden="false" customHeight="false" outlineLevel="0" collapsed="false">
      <c r="A988" s="7" t="s">
        <v>3796</v>
      </c>
      <c r="B988" s="8" t="s">
        <v>3797</v>
      </c>
      <c r="C988" s="7" t="s">
        <v>3796</v>
      </c>
      <c r="D988" s="9" t="n">
        <v>16</v>
      </c>
      <c r="E988" s="10" t="s">
        <v>168</v>
      </c>
      <c r="F988" s="10" t="n">
        <v>0</v>
      </c>
      <c r="G988" s="10" t="n">
        <v>0</v>
      </c>
      <c r="H988" s="16" t="n">
        <v>9</v>
      </c>
      <c r="I988" s="11" t="s">
        <v>3451</v>
      </c>
      <c r="J988" s="18" t="s">
        <v>3798</v>
      </c>
      <c r="K988" s="13" t="s">
        <v>3074</v>
      </c>
      <c r="L988" s="12" t="s">
        <v>2675</v>
      </c>
      <c r="M988" s="12" t="s">
        <v>1824</v>
      </c>
      <c r="N988" s="12" t="s">
        <v>452</v>
      </c>
    </row>
    <row r="989" customFormat="false" ht="44.5" hidden="false" customHeight="false" outlineLevel="0" collapsed="false">
      <c r="A989" s="7" t="s">
        <v>3799</v>
      </c>
      <c r="B989" s="8" t="s">
        <v>3800</v>
      </c>
      <c r="C989" s="7" t="s">
        <v>3799</v>
      </c>
      <c r="D989" s="9" t="n">
        <v>14</v>
      </c>
      <c r="E989" s="10" t="s">
        <v>3801</v>
      </c>
      <c r="F989" s="10" t="n">
        <v>3</v>
      </c>
      <c r="G989" s="10" t="s">
        <v>3802</v>
      </c>
      <c r="H989" s="16" t="n">
        <v>10</v>
      </c>
      <c r="I989" s="17" t="s">
        <v>3803</v>
      </c>
      <c r="J989" s="12" t="s">
        <v>3804</v>
      </c>
      <c r="K989" s="13" t="s">
        <v>3805</v>
      </c>
      <c r="L989" s="12" t="s">
        <v>2675</v>
      </c>
      <c r="M989" s="12" t="s">
        <v>1824</v>
      </c>
      <c r="N989" s="12" t="s">
        <v>452</v>
      </c>
    </row>
    <row r="990" customFormat="false" ht="19" hidden="false" customHeight="false" outlineLevel="0" collapsed="false">
      <c r="A990" s="7" t="s">
        <v>3806</v>
      </c>
      <c r="B990" s="8" t="s">
        <v>3807</v>
      </c>
      <c r="C990" s="7" t="s">
        <v>3806</v>
      </c>
      <c r="D990" s="9" t="n">
        <v>18</v>
      </c>
      <c r="E990" s="10" t="s">
        <v>449</v>
      </c>
      <c r="F990" s="10" t="n">
        <v>2</v>
      </c>
      <c r="G990" s="10" t="s">
        <v>3808</v>
      </c>
      <c r="H990" s="16" t="n">
        <v>10</v>
      </c>
      <c r="I990" s="17" t="s">
        <v>3803</v>
      </c>
      <c r="J990" s="12" t="s">
        <v>3809</v>
      </c>
      <c r="K990" s="13" t="s">
        <v>3810</v>
      </c>
      <c r="L990" s="12" t="s">
        <v>2675</v>
      </c>
      <c r="M990" s="12" t="s">
        <v>1824</v>
      </c>
      <c r="N990" s="12" t="s">
        <v>452</v>
      </c>
    </row>
    <row r="991" customFormat="false" ht="36" hidden="false" customHeight="false" outlineLevel="0" collapsed="false">
      <c r="A991" s="20" t="s">
        <v>3811</v>
      </c>
      <c r="B991" s="15" t="s">
        <v>3812</v>
      </c>
      <c r="C991" s="20" t="s">
        <v>3811</v>
      </c>
      <c r="D991" s="9" t="n">
        <v>14</v>
      </c>
      <c r="E991" s="9" t="s">
        <v>3801</v>
      </c>
      <c r="F991" s="10" t="n">
        <v>3</v>
      </c>
      <c r="G991" s="10" t="s">
        <v>3813</v>
      </c>
      <c r="H991" s="16" t="n">
        <v>10</v>
      </c>
      <c r="I991" s="17" t="s">
        <v>3803</v>
      </c>
      <c r="J991" s="13" t="s">
        <v>3814</v>
      </c>
      <c r="K991" s="13" t="s">
        <v>3815</v>
      </c>
      <c r="L991" s="12" t="s">
        <v>1903</v>
      </c>
      <c r="M991" s="12" t="s">
        <v>969</v>
      </c>
      <c r="N991" s="12" t="s">
        <v>452</v>
      </c>
    </row>
    <row r="992" customFormat="false" ht="44.5" hidden="false" customHeight="false" outlineLevel="0" collapsed="false">
      <c r="A992" s="7" t="s">
        <v>3816</v>
      </c>
      <c r="B992" s="8" t="s">
        <v>3817</v>
      </c>
      <c r="C992" s="7" t="s">
        <v>3816</v>
      </c>
      <c r="D992" s="9" t="n">
        <v>14</v>
      </c>
      <c r="E992" s="10" t="s">
        <v>3801</v>
      </c>
      <c r="F992" s="10" t="n">
        <v>4</v>
      </c>
      <c r="G992" s="10" t="s">
        <v>3801</v>
      </c>
      <c r="H992" s="16" t="n">
        <v>10</v>
      </c>
      <c r="I992" s="17" t="s">
        <v>3803</v>
      </c>
      <c r="J992" s="12" t="s">
        <v>3818</v>
      </c>
      <c r="K992" s="12" t="s">
        <v>2960</v>
      </c>
      <c r="L992" s="12" t="s">
        <v>2675</v>
      </c>
      <c r="M992" s="12" t="s">
        <v>1824</v>
      </c>
      <c r="N992" s="12" t="s">
        <v>452</v>
      </c>
    </row>
    <row r="993" customFormat="false" ht="27.5" hidden="false" customHeight="false" outlineLevel="0" collapsed="false">
      <c r="A993" s="7" t="s">
        <v>3819</v>
      </c>
      <c r="B993" s="8" t="s">
        <v>3820</v>
      </c>
      <c r="C993" s="7" t="s">
        <v>3819</v>
      </c>
      <c r="D993" s="9" t="n">
        <v>14</v>
      </c>
      <c r="E993" s="10" t="s">
        <v>3801</v>
      </c>
      <c r="F993" s="10" t="s">
        <v>59</v>
      </c>
      <c r="G993" s="10" t="s">
        <v>3801</v>
      </c>
      <c r="H993" s="16" t="n">
        <v>10</v>
      </c>
      <c r="I993" s="17" t="s">
        <v>3803</v>
      </c>
      <c r="J993" s="12" t="s">
        <v>3821</v>
      </c>
      <c r="K993" s="12" t="s">
        <v>2020</v>
      </c>
      <c r="L993" s="12" t="s">
        <v>2675</v>
      </c>
      <c r="M993" s="12" t="s">
        <v>1824</v>
      </c>
      <c r="N993" s="12" t="s">
        <v>452</v>
      </c>
    </row>
    <row r="994" customFormat="false" ht="19" hidden="false" customHeight="false" outlineLevel="0" collapsed="false">
      <c r="A994" s="7" t="s">
        <v>3822</v>
      </c>
      <c r="B994" s="8" t="s">
        <v>3823</v>
      </c>
      <c r="C994" s="7" t="s">
        <v>3822</v>
      </c>
      <c r="D994" s="9" t="n">
        <v>14</v>
      </c>
      <c r="E994" s="10" t="s">
        <v>3801</v>
      </c>
      <c r="F994" s="10" t="n">
        <v>3</v>
      </c>
      <c r="G994" s="10" t="s">
        <v>3801</v>
      </c>
      <c r="H994" s="16" t="n">
        <v>10</v>
      </c>
      <c r="I994" s="17" t="s">
        <v>3803</v>
      </c>
      <c r="J994" s="12" t="s">
        <v>3824</v>
      </c>
      <c r="K994" s="12" t="s">
        <v>3825</v>
      </c>
      <c r="L994" s="12" t="s">
        <v>2675</v>
      </c>
      <c r="M994" s="12" t="s">
        <v>1824</v>
      </c>
      <c r="N994" s="12" t="s">
        <v>452</v>
      </c>
    </row>
    <row r="995" customFormat="false" ht="19" hidden="false" customHeight="false" outlineLevel="0" collapsed="false">
      <c r="A995" s="7" t="s">
        <v>3826</v>
      </c>
      <c r="B995" s="8" t="s">
        <v>3827</v>
      </c>
      <c r="C995" s="7" t="s">
        <v>3826</v>
      </c>
      <c r="D995" s="9" t="n">
        <v>14</v>
      </c>
      <c r="E995" s="10" t="s">
        <v>3801</v>
      </c>
      <c r="F995" s="10" t="n">
        <v>3</v>
      </c>
      <c r="G995" s="10" t="s">
        <v>3801</v>
      </c>
      <c r="H995" s="16" t="n">
        <v>10</v>
      </c>
      <c r="I995" s="17" t="s">
        <v>3803</v>
      </c>
      <c r="J995" s="12" t="s">
        <v>3828</v>
      </c>
      <c r="K995" s="12" t="s">
        <v>3825</v>
      </c>
      <c r="L995" s="12" t="s">
        <v>2675</v>
      </c>
      <c r="M995" s="12" t="s">
        <v>1824</v>
      </c>
      <c r="N995" s="12" t="s">
        <v>452</v>
      </c>
    </row>
    <row r="996" customFormat="false" ht="19" hidden="false" customHeight="false" outlineLevel="0" collapsed="false">
      <c r="A996" s="7" t="s">
        <v>3829</v>
      </c>
      <c r="B996" s="8" t="s">
        <v>3830</v>
      </c>
      <c r="C996" s="7" t="s">
        <v>3829</v>
      </c>
      <c r="D996" s="9" t="n">
        <v>14</v>
      </c>
      <c r="E996" s="10" t="s">
        <v>3801</v>
      </c>
      <c r="F996" s="10" t="n">
        <v>3</v>
      </c>
      <c r="G996" s="10" t="s">
        <v>3801</v>
      </c>
      <c r="H996" s="16" t="n">
        <v>10</v>
      </c>
      <c r="I996" s="17" t="s">
        <v>3803</v>
      </c>
      <c r="J996" s="12" t="s">
        <v>3831</v>
      </c>
      <c r="K996" s="12" t="s">
        <v>3825</v>
      </c>
      <c r="L996" s="12" t="s">
        <v>2675</v>
      </c>
      <c r="M996" s="12" t="s">
        <v>1824</v>
      </c>
      <c r="N996" s="12" t="s">
        <v>452</v>
      </c>
    </row>
    <row r="997" customFormat="false" ht="19" hidden="false" customHeight="false" outlineLevel="0" collapsed="false">
      <c r="A997" s="20" t="s">
        <v>3832</v>
      </c>
      <c r="B997" s="15" t="s">
        <v>3833</v>
      </c>
      <c r="C997" s="20" t="s">
        <v>3832</v>
      </c>
      <c r="D997" s="9" t="n">
        <v>14</v>
      </c>
      <c r="E997" s="9" t="s">
        <v>3801</v>
      </c>
      <c r="F997" s="10" t="n">
        <v>3</v>
      </c>
      <c r="G997" s="10" t="s">
        <v>3834</v>
      </c>
      <c r="H997" s="16" t="n">
        <v>10</v>
      </c>
      <c r="I997" s="17" t="s">
        <v>3803</v>
      </c>
      <c r="J997" s="13" t="s">
        <v>3835</v>
      </c>
      <c r="K997" s="13" t="s">
        <v>2960</v>
      </c>
      <c r="L997" s="12" t="s">
        <v>1903</v>
      </c>
      <c r="M997" s="12" t="s">
        <v>1758</v>
      </c>
      <c r="N997" s="12" t="s">
        <v>452</v>
      </c>
    </row>
    <row r="998" customFormat="false" ht="27.5" hidden="false" customHeight="false" outlineLevel="0" collapsed="false">
      <c r="A998" s="14" t="s">
        <v>3836</v>
      </c>
      <c r="B998" s="15" t="s">
        <v>3837</v>
      </c>
      <c r="C998" s="14" t="s">
        <v>3836</v>
      </c>
      <c r="D998" s="9" t="n">
        <v>15</v>
      </c>
      <c r="E998" s="9" t="s">
        <v>536</v>
      </c>
      <c r="F998" s="10" t="n">
        <v>3</v>
      </c>
      <c r="G998" s="10" t="s">
        <v>3263</v>
      </c>
      <c r="H998" s="16" t="n">
        <v>10</v>
      </c>
      <c r="I998" s="17" t="s">
        <v>3803</v>
      </c>
      <c r="J998" s="21" t="s">
        <v>3838</v>
      </c>
      <c r="K998" s="13" t="s">
        <v>3815</v>
      </c>
      <c r="L998" s="12" t="s">
        <v>1676</v>
      </c>
      <c r="M998" s="12" t="s">
        <v>969</v>
      </c>
      <c r="N998" s="12" t="s">
        <v>817</v>
      </c>
    </row>
    <row r="999" customFormat="false" ht="27.5" hidden="false" customHeight="false" outlineLevel="0" collapsed="false">
      <c r="A999" s="14" t="s">
        <v>3839</v>
      </c>
      <c r="B999" s="15" t="s">
        <v>3840</v>
      </c>
      <c r="C999" s="14" t="s">
        <v>3839</v>
      </c>
      <c r="D999" s="9" t="n">
        <v>15</v>
      </c>
      <c r="E999" s="9" t="s">
        <v>536</v>
      </c>
      <c r="F999" s="10" t="n">
        <v>3</v>
      </c>
      <c r="G999" s="10" t="s">
        <v>3263</v>
      </c>
      <c r="H999" s="16" t="n">
        <v>10</v>
      </c>
      <c r="I999" s="17" t="s">
        <v>3803</v>
      </c>
      <c r="J999" s="21" t="s">
        <v>3841</v>
      </c>
      <c r="K999" s="13" t="s">
        <v>3269</v>
      </c>
      <c r="L999" s="12" t="s">
        <v>2675</v>
      </c>
      <c r="M999" s="12" t="s">
        <v>1824</v>
      </c>
      <c r="N999" s="12" t="s">
        <v>452</v>
      </c>
    </row>
    <row r="1000" customFormat="false" ht="27.5" hidden="false" customHeight="false" outlineLevel="0" collapsed="false">
      <c r="A1000" s="14" t="s">
        <v>3842</v>
      </c>
      <c r="B1000" s="15" t="s">
        <v>3843</v>
      </c>
      <c r="C1000" s="14" t="s">
        <v>3842</v>
      </c>
      <c r="D1000" s="9" t="n">
        <v>15</v>
      </c>
      <c r="E1000" s="9" t="s">
        <v>536</v>
      </c>
      <c r="F1000" s="10" t="n">
        <v>3</v>
      </c>
      <c r="G1000" s="10" t="s">
        <v>3263</v>
      </c>
      <c r="H1000" s="16" t="n">
        <v>10</v>
      </c>
      <c r="I1000" s="17" t="s">
        <v>3803</v>
      </c>
      <c r="J1000" s="21" t="s">
        <v>3844</v>
      </c>
      <c r="K1000" s="13" t="s">
        <v>3269</v>
      </c>
      <c r="L1000" s="12" t="s">
        <v>1903</v>
      </c>
      <c r="M1000" s="12" t="s">
        <v>1824</v>
      </c>
      <c r="N1000" s="12" t="s">
        <v>452</v>
      </c>
    </row>
    <row r="1001" customFormat="false" ht="44.5" hidden="false" customHeight="false" outlineLevel="0" collapsed="false">
      <c r="A1001" s="14" t="s">
        <v>3845</v>
      </c>
      <c r="B1001" s="15" t="s">
        <v>3846</v>
      </c>
      <c r="C1001" s="14" t="s">
        <v>3845</v>
      </c>
      <c r="D1001" s="9" t="n">
        <v>15</v>
      </c>
      <c r="E1001" s="9" t="s">
        <v>536</v>
      </c>
      <c r="F1001" s="10" t="n">
        <v>3</v>
      </c>
      <c r="G1001" s="10" t="s">
        <v>3263</v>
      </c>
      <c r="H1001" s="16" t="n">
        <v>10</v>
      </c>
      <c r="I1001" s="17" t="s">
        <v>3803</v>
      </c>
      <c r="J1001" s="21" t="s">
        <v>3847</v>
      </c>
      <c r="K1001" s="13" t="s">
        <v>3269</v>
      </c>
      <c r="L1001" s="12" t="s">
        <v>2675</v>
      </c>
      <c r="M1001" s="12" t="s">
        <v>1824</v>
      </c>
      <c r="N1001" s="12" t="s">
        <v>452</v>
      </c>
    </row>
    <row r="1002" customFormat="false" ht="36" hidden="false" customHeight="false" outlineLevel="0" collapsed="false">
      <c r="A1002" s="14" t="s">
        <v>3848</v>
      </c>
      <c r="B1002" s="15" t="s">
        <v>3849</v>
      </c>
      <c r="C1002" s="14" t="s">
        <v>3848</v>
      </c>
      <c r="D1002" s="9" t="n">
        <v>15</v>
      </c>
      <c r="E1002" s="9" t="s">
        <v>536</v>
      </c>
      <c r="F1002" s="10" t="n">
        <v>3</v>
      </c>
      <c r="G1002" s="10" t="s">
        <v>3263</v>
      </c>
      <c r="H1002" s="16" t="n">
        <v>10</v>
      </c>
      <c r="I1002" s="17" t="s">
        <v>3803</v>
      </c>
      <c r="J1002" s="21" t="s">
        <v>3850</v>
      </c>
      <c r="K1002" s="13" t="s">
        <v>3269</v>
      </c>
      <c r="L1002" s="12" t="s">
        <v>2675</v>
      </c>
      <c r="M1002" s="12" t="s">
        <v>1824</v>
      </c>
      <c r="N1002" s="12" t="s">
        <v>452</v>
      </c>
    </row>
    <row r="1003" customFormat="false" ht="36" hidden="false" customHeight="false" outlineLevel="0" collapsed="false">
      <c r="A1003" s="20" t="s">
        <v>3851</v>
      </c>
      <c r="B1003" s="15" t="s">
        <v>3852</v>
      </c>
      <c r="C1003" s="20" t="s">
        <v>3851</v>
      </c>
      <c r="D1003" s="9" t="n">
        <v>14</v>
      </c>
      <c r="E1003" s="9" t="s">
        <v>3801</v>
      </c>
      <c r="F1003" s="10" t="n">
        <v>3</v>
      </c>
      <c r="G1003" s="10" t="s">
        <v>3853</v>
      </c>
      <c r="H1003" s="16" t="n">
        <v>10</v>
      </c>
      <c r="I1003" s="17" t="s">
        <v>3803</v>
      </c>
      <c r="J1003" s="13" t="s">
        <v>3854</v>
      </c>
      <c r="K1003" s="13" t="s">
        <v>3855</v>
      </c>
      <c r="L1003" s="12" t="s">
        <v>1903</v>
      </c>
      <c r="M1003" s="12" t="s">
        <v>969</v>
      </c>
      <c r="N1003" s="12" t="s">
        <v>452</v>
      </c>
    </row>
    <row r="1004" customFormat="false" ht="36" hidden="false" customHeight="false" outlineLevel="0" collapsed="false">
      <c r="A1004" s="20" t="s">
        <v>3856</v>
      </c>
      <c r="B1004" s="15" t="s">
        <v>3857</v>
      </c>
      <c r="C1004" s="20" t="s">
        <v>3856</v>
      </c>
      <c r="D1004" s="9" t="n">
        <v>14</v>
      </c>
      <c r="E1004" s="9" t="s">
        <v>3801</v>
      </c>
      <c r="F1004" s="10" t="n">
        <v>3</v>
      </c>
      <c r="G1004" s="10" t="s">
        <v>3853</v>
      </c>
      <c r="H1004" s="16" t="n">
        <v>10</v>
      </c>
      <c r="I1004" s="17" t="s">
        <v>3803</v>
      </c>
      <c r="J1004" s="13" t="s">
        <v>3858</v>
      </c>
      <c r="K1004" s="13" t="s">
        <v>3855</v>
      </c>
      <c r="L1004" s="12" t="s">
        <v>1903</v>
      </c>
      <c r="M1004" s="12" t="s">
        <v>969</v>
      </c>
      <c r="N1004" s="12" t="s">
        <v>452</v>
      </c>
    </row>
    <row r="1005" customFormat="false" ht="70" hidden="false" customHeight="false" outlineLevel="0" collapsed="false">
      <c r="A1005" s="14" t="s">
        <v>3859</v>
      </c>
      <c r="B1005" s="15" t="s">
        <v>3860</v>
      </c>
      <c r="C1005" s="14" t="s">
        <v>3859</v>
      </c>
      <c r="D1005" s="9" t="n">
        <v>14</v>
      </c>
      <c r="E1005" s="9" t="s">
        <v>3801</v>
      </c>
      <c r="F1005" s="10" t="n">
        <v>3</v>
      </c>
      <c r="G1005" s="10" t="s">
        <v>99</v>
      </c>
      <c r="H1005" s="16" t="n">
        <v>10</v>
      </c>
      <c r="I1005" s="17" t="s">
        <v>3803</v>
      </c>
      <c r="J1005" s="18" t="s">
        <v>3861</v>
      </c>
      <c r="K1005" s="11" t="s">
        <v>3862</v>
      </c>
      <c r="L1005" s="12" t="s">
        <v>2675</v>
      </c>
      <c r="M1005" s="12" t="s">
        <v>1824</v>
      </c>
      <c r="N1005" s="12" t="s">
        <v>452</v>
      </c>
    </row>
    <row r="1006" customFormat="false" ht="53" hidden="false" customHeight="false" outlineLevel="0" collapsed="false">
      <c r="A1006" s="14" t="s">
        <v>3863</v>
      </c>
      <c r="B1006" s="15" t="s">
        <v>3864</v>
      </c>
      <c r="C1006" s="14" t="s">
        <v>3863</v>
      </c>
      <c r="D1006" s="9" t="n">
        <v>14</v>
      </c>
      <c r="E1006" s="9" t="s">
        <v>3801</v>
      </c>
      <c r="F1006" s="10" t="n">
        <v>3</v>
      </c>
      <c r="G1006" s="10" t="s">
        <v>99</v>
      </c>
      <c r="H1006" s="16" t="n">
        <v>10</v>
      </c>
      <c r="I1006" s="17" t="s">
        <v>3803</v>
      </c>
      <c r="J1006" s="18" t="s">
        <v>3865</v>
      </c>
      <c r="K1006" s="13" t="s">
        <v>2946</v>
      </c>
      <c r="L1006" s="12" t="s">
        <v>1903</v>
      </c>
      <c r="M1006" s="12" t="s">
        <v>969</v>
      </c>
      <c r="N1006" s="12" t="s">
        <v>452</v>
      </c>
    </row>
    <row r="1007" customFormat="false" ht="27.5" hidden="false" customHeight="false" outlineLevel="0" collapsed="false">
      <c r="A1007" s="14" t="s">
        <v>3866</v>
      </c>
      <c r="B1007" s="15" t="s">
        <v>3867</v>
      </c>
      <c r="C1007" s="14" t="s">
        <v>3866</v>
      </c>
      <c r="D1007" s="9" t="n">
        <v>14</v>
      </c>
      <c r="E1007" s="9" t="s">
        <v>3801</v>
      </c>
      <c r="F1007" s="10" t="n">
        <v>3</v>
      </c>
      <c r="G1007" s="10" t="s">
        <v>99</v>
      </c>
      <c r="H1007" s="16" t="n">
        <v>10</v>
      </c>
      <c r="I1007" s="17" t="s">
        <v>3803</v>
      </c>
      <c r="J1007" s="18" t="s">
        <v>3868</v>
      </c>
      <c r="K1007" s="13" t="s">
        <v>2946</v>
      </c>
      <c r="L1007" s="12" t="s">
        <v>1903</v>
      </c>
      <c r="M1007" s="12" t="s">
        <v>969</v>
      </c>
      <c r="N1007" s="12" t="s">
        <v>452</v>
      </c>
    </row>
    <row r="1008" customFormat="false" ht="53" hidden="false" customHeight="false" outlineLevel="0" collapsed="false">
      <c r="A1008" s="14" t="s">
        <v>3869</v>
      </c>
      <c r="B1008" s="15" t="s">
        <v>3870</v>
      </c>
      <c r="C1008" s="14" t="s">
        <v>3869</v>
      </c>
      <c r="D1008" s="9" t="n">
        <v>14</v>
      </c>
      <c r="E1008" s="9" t="s">
        <v>3801</v>
      </c>
      <c r="F1008" s="10" t="n">
        <v>4</v>
      </c>
      <c r="G1008" s="10" t="s">
        <v>99</v>
      </c>
      <c r="H1008" s="16" t="n">
        <v>10</v>
      </c>
      <c r="I1008" s="17" t="s">
        <v>3803</v>
      </c>
      <c r="J1008" s="18" t="s">
        <v>3871</v>
      </c>
      <c r="K1008" s="13" t="s">
        <v>2946</v>
      </c>
      <c r="L1008" s="12" t="s">
        <v>1903</v>
      </c>
      <c r="M1008" s="12" t="s">
        <v>969</v>
      </c>
      <c r="N1008" s="12" t="s">
        <v>452</v>
      </c>
    </row>
    <row r="1009" customFormat="false" ht="61.5" hidden="false" customHeight="false" outlineLevel="0" collapsed="false">
      <c r="A1009" s="14" t="s">
        <v>3872</v>
      </c>
      <c r="B1009" s="15" t="s">
        <v>3873</v>
      </c>
      <c r="C1009" s="14" t="s">
        <v>3872</v>
      </c>
      <c r="D1009" s="9" t="n">
        <v>14</v>
      </c>
      <c r="E1009" s="9" t="s">
        <v>3801</v>
      </c>
      <c r="F1009" s="10" t="n">
        <v>3</v>
      </c>
      <c r="G1009" s="10" t="s">
        <v>99</v>
      </c>
      <c r="H1009" s="16" t="n">
        <v>10</v>
      </c>
      <c r="I1009" s="17" t="s">
        <v>3803</v>
      </c>
      <c r="J1009" s="18" t="s">
        <v>3874</v>
      </c>
      <c r="K1009" s="18" t="s">
        <v>3875</v>
      </c>
      <c r="L1009" s="12" t="s">
        <v>1903</v>
      </c>
      <c r="M1009" s="12" t="s">
        <v>969</v>
      </c>
      <c r="N1009" s="12" t="s">
        <v>452</v>
      </c>
    </row>
    <row r="1010" customFormat="false" ht="36" hidden="false" customHeight="false" outlineLevel="0" collapsed="false">
      <c r="A1010" s="14" t="s">
        <v>3876</v>
      </c>
      <c r="B1010" s="15" t="s">
        <v>3877</v>
      </c>
      <c r="C1010" s="14" t="s">
        <v>3876</v>
      </c>
      <c r="D1010" s="9" t="n">
        <v>14</v>
      </c>
      <c r="E1010" s="9" t="s">
        <v>3801</v>
      </c>
      <c r="F1010" s="10" t="n">
        <v>4</v>
      </c>
      <c r="G1010" s="10" t="s">
        <v>99</v>
      </c>
      <c r="H1010" s="16" t="n">
        <v>10</v>
      </c>
      <c r="I1010" s="17" t="s">
        <v>3803</v>
      </c>
      <c r="J1010" s="18" t="s">
        <v>3878</v>
      </c>
      <c r="K1010" s="18" t="s">
        <v>3855</v>
      </c>
      <c r="L1010" s="12" t="s">
        <v>2675</v>
      </c>
      <c r="M1010" s="12" t="s">
        <v>1824</v>
      </c>
      <c r="N1010" s="12" t="s">
        <v>452</v>
      </c>
    </row>
    <row r="1011" customFormat="false" ht="44.5" hidden="false" customHeight="false" outlineLevel="0" collapsed="false">
      <c r="A1011" s="14" t="s">
        <v>3879</v>
      </c>
      <c r="B1011" s="15" t="s">
        <v>3880</v>
      </c>
      <c r="C1011" s="14" t="s">
        <v>3879</v>
      </c>
      <c r="D1011" s="9" t="n">
        <v>14</v>
      </c>
      <c r="E1011" s="9" t="s">
        <v>3801</v>
      </c>
      <c r="F1011" s="10" t="n">
        <v>3</v>
      </c>
      <c r="G1011" s="10" t="s">
        <v>99</v>
      </c>
      <c r="H1011" s="16" t="n">
        <v>10</v>
      </c>
      <c r="I1011" s="17" t="s">
        <v>3803</v>
      </c>
      <c r="J1011" s="18" t="s">
        <v>3881</v>
      </c>
      <c r="K1011" s="18" t="s">
        <v>3855</v>
      </c>
      <c r="L1011" s="12" t="s">
        <v>3488</v>
      </c>
      <c r="M1011" s="12" t="s">
        <v>1824</v>
      </c>
      <c r="N1011" s="12" t="s">
        <v>452</v>
      </c>
    </row>
    <row r="1012" customFormat="false" ht="78.5" hidden="false" customHeight="false" outlineLevel="0" collapsed="false">
      <c r="A1012" s="14" t="s">
        <v>3882</v>
      </c>
      <c r="B1012" s="15" t="s">
        <v>3883</v>
      </c>
      <c r="C1012" s="14" t="s">
        <v>3882</v>
      </c>
      <c r="D1012" s="9" t="n">
        <v>14</v>
      </c>
      <c r="E1012" s="9" t="s">
        <v>3801</v>
      </c>
      <c r="F1012" s="10" t="n">
        <v>4</v>
      </c>
      <c r="G1012" s="10" t="s">
        <v>99</v>
      </c>
      <c r="H1012" s="16" t="n">
        <v>10</v>
      </c>
      <c r="I1012" s="17" t="s">
        <v>3803</v>
      </c>
      <c r="J1012" s="18" t="s">
        <v>3884</v>
      </c>
      <c r="K1012" s="18" t="s">
        <v>3855</v>
      </c>
      <c r="L1012" s="12" t="s">
        <v>2675</v>
      </c>
      <c r="M1012" s="12" t="s">
        <v>1824</v>
      </c>
      <c r="N1012" s="12" t="s">
        <v>452</v>
      </c>
    </row>
    <row r="1013" customFormat="false" ht="36" hidden="false" customHeight="false" outlineLevel="0" collapsed="false">
      <c r="A1013" s="14" t="s">
        <v>3885</v>
      </c>
      <c r="B1013" s="15" t="s">
        <v>3886</v>
      </c>
      <c r="C1013" s="14" t="s">
        <v>3885</v>
      </c>
      <c r="D1013" s="9" t="n">
        <v>14</v>
      </c>
      <c r="E1013" s="9" t="s">
        <v>3801</v>
      </c>
      <c r="F1013" s="10" t="n">
        <v>3</v>
      </c>
      <c r="G1013" s="10" t="s">
        <v>99</v>
      </c>
      <c r="H1013" s="16" t="n">
        <v>10</v>
      </c>
      <c r="I1013" s="17" t="s">
        <v>3803</v>
      </c>
      <c r="J1013" s="18" t="s">
        <v>3887</v>
      </c>
      <c r="K1013" s="18" t="s">
        <v>3855</v>
      </c>
      <c r="L1013" s="12" t="s">
        <v>1903</v>
      </c>
      <c r="M1013" s="12" t="s">
        <v>969</v>
      </c>
      <c r="N1013" s="12" t="s">
        <v>452</v>
      </c>
    </row>
    <row r="1014" customFormat="false" ht="36" hidden="false" customHeight="false" outlineLevel="0" collapsed="false">
      <c r="A1014" s="7" t="s">
        <v>3888</v>
      </c>
      <c r="B1014" s="8" t="s">
        <v>3889</v>
      </c>
      <c r="C1014" s="7" t="s">
        <v>3888</v>
      </c>
      <c r="D1014" s="9" t="n">
        <v>18</v>
      </c>
      <c r="E1014" s="10" t="s">
        <v>449</v>
      </c>
      <c r="F1014" s="10" t="n">
        <v>2</v>
      </c>
      <c r="G1014" s="10" t="s">
        <v>3351</v>
      </c>
      <c r="H1014" s="8" t="n">
        <v>10</v>
      </c>
      <c r="I1014" s="11" t="s">
        <v>3700</v>
      </c>
      <c r="J1014" s="31" t="s">
        <v>3890</v>
      </c>
      <c r="K1014" s="18" t="s">
        <v>3353</v>
      </c>
      <c r="L1014" s="12" t="s">
        <v>1903</v>
      </c>
      <c r="M1014" s="12" t="s">
        <v>1102</v>
      </c>
      <c r="N1014" s="12" t="s">
        <v>452</v>
      </c>
    </row>
    <row r="1015" customFormat="false" ht="44.5" hidden="false" customHeight="false" outlineLevel="0" collapsed="false">
      <c r="A1015" s="14" t="s">
        <v>3891</v>
      </c>
      <c r="B1015" s="15" t="s">
        <v>3892</v>
      </c>
      <c r="C1015" s="14" t="s">
        <v>3891</v>
      </c>
      <c r="D1015" s="9" t="n">
        <v>23</v>
      </c>
      <c r="E1015" s="10" t="s">
        <v>441</v>
      </c>
      <c r="F1015" s="10" t="n">
        <v>4</v>
      </c>
      <c r="G1015" s="10" t="s">
        <v>1523</v>
      </c>
      <c r="H1015" s="16" t="n">
        <v>10</v>
      </c>
      <c r="I1015" s="17" t="s">
        <v>3803</v>
      </c>
      <c r="J1015" s="18" t="s">
        <v>3893</v>
      </c>
      <c r="K1015" s="13" t="s">
        <v>3739</v>
      </c>
      <c r="L1015" s="12" t="s">
        <v>1903</v>
      </c>
      <c r="M1015" s="12" t="s">
        <v>969</v>
      </c>
      <c r="N1015" s="12" t="s">
        <v>452</v>
      </c>
    </row>
    <row r="1016" customFormat="false" ht="44.5" hidden="false" customHeight="false" outlineLevel="0" collapsed="false">
      <c r="A1016" s="14" t="s">
        <v>3894</v>
      </c>
      <c r="B1016" s="15" t="s">
        <v>3895</v>
      </c>
      <c r="C1016" s="14" t="s">
        <v>3894</v>
      </c>
      <c r="D1016" s="9" t="n">
        <v>23</v>
      </c>
      <c r="E1016" s="10" t="s">
        <v>441</v>
      </c>
      <c r="F1016" s="10" t="n">
        <v>4</v>
      </c>
      <c r="G1016" s="10" t="s">
        <v>1523</v>
      </c>
      <c r="H1016" s="16" t="n">
        <v>10</v>
      </c>
      <c r="I1016" s="17" t="s">
        <v>3803</v>
      </c>
      <c r="J1016" s="18" t="s">
        <v>3896</v>
      </c>
      <c r="K1016" s="13" t="s">
        <v>3739</v>
      </c>
      <c r="L1016" s="12" t="s">
        <v>2675</v>
      </c>
      <c r="M1016" s="12" t="s">
        <v>1824</v>
      </c>
      <c r="N1016" s="12" t="s">
        <v>452</v>
      </c>
    </row>
    <row r="1017" customFormat="false" ht="36" hidden="false" customHeight="false" outlineLevel="0" collapsed="false">
      <c r="A1017" s="14" t="s">
        <v>3897</v>
      </c>
      <c r="B1017" s="15" t="s">
        <v>3898</v>
      </c>
      <c r="C1017" s="14" t="s">
        <v>3897</v>
      </c>
      <c r="D1017" s="9" t="n">
        <v>23</v>
      </c>
      <c r="E1017" s="10" t="s">
        <v>441</v>
      </c>
      <c r="F1017" s="10" t="n">
        <v>3</v>
      </c>
      <c r="G1017" s="10" t="s">
        <v>1523</v>
      </c>
      <c r="H1017" s="16" t="n">
        <v>10</v>
      </c>
      <c r="I1017" s="17" t="s">
        <v>3803</v>
      </c>
      <c r="J1017" s="18" t="s">
        <v>3899</v>
      </c>
      <c r="K1017" s="18" t="s">
        <v>3743</v>
      </c>
      <c r="L1017" s="12" t="s">
        <v>1903</v>
      </c>
      <c r="M1017" s="12" t="s">
        <v>1824</v>
      </c>
      <c r="N1017" s="12" t="s">
        <v>452</v>
      </c>
    </row>
    <row r="1018" customFormat="false" ht="36" hidden="false" customHeight="false" outlineLevel="0" collapsed="false">
      <c r="A1018" s="14" t="s">
        <v>3900</v>
      </c>
      <c r="B1018" s="15" t="s">
        <v>3901</v>
      </c>
      <c r="C1018" s="14" t="s">
        <v>3900</v>
      </c>
      <c r="D1018" s="9" t="n">
        <v>23</v>
      </c>
      <c r="E1018" s="10" t="s">
        <v>441</v>
      </c>
      <c r="F1018" s="10" t="n">
        <v>3</v>
      </c>
      <c r="G1018" s="10" t="s">
        <v>1523</v>
      </c>
      <c r="H1018" s="16" t="n">
        <v>10</v>
      </c>
      <c r="I1018" s="17" t="s">
        <v>3803</v>
      </c>
      <c r="J1018" s="18" t="s">
        <v>3902</v>
      </c>
      <c r="K1018" s="18" t="s">
        <v>3743</v>
      </c>
      <c r="L1018" s="12" t="s">
        <v>3488</v>
      </c>
      <c r="M1018" s="12" t="s">
        <v>3453</v>
      </c>
      <c r="N1018" s="12" t="s">
        <v>452</v>
      </c>
    </row>
    <row r="1019" customFormat="false" ht="36" hidden="false" customHeight="false" outlineLevel="0" collapsed="false">
      <c r="A1019" s="14" t="s">
        <v>3903</v>
      </c>
      <c r="B1019" s="15" t="s">
        <v>3833</v>
      </c>
      <c r="C1019" s="14" t="s">
        <v>3903</v>
      </c>
      <c r="D1019" s="9" t="n">
        <v>23</v>
      </c>
      <c r="E1019" s="10" t="s">
        <v>441</v>
      </c>
      <c r="F1019" s="10" t="n">
        <v>4</v>
      </c>
      <c r="G1019" s="10" t="s">
        <v>1523</v>
      </c>
      <c r="H1019" s="16" t="n">
        <v>10</v>
      </c>
      <c r="I1019" s="17" t="s">
        <v>3803</v>
      </c>
      <c r="J1019" s="18" t="s">
        <v>3904</v>
      </c>
      <c r="K1019" s="13" t="s">
        <v>3739</v>
      </c>
      <c r="L1019" s="12" t="s">
        <v>3488</v>
      </c>
      <c r="M1019" s="12" t="s">
        <v>1824</v>
      </c>
      <c r="N1019" s="12" t="s">
        <v>452</v>
      </c>
    </row>
    <row r="1020" customFormat="false" ht="36" hidden="false" customHeight="false" outlineLevel="0" collapsed="false">
      <c r="A1020" s="20" t="s">
        <v>3905</v>
      </c>
      <c r="B1020" s="15" t="s">
        <v>3906</v>
      </c>
      <c r="C1020" s="20" t="s">
        <v>3905</v>
      </c>
      <c r="D1020" s="9" t="n">
        <v>14</v>
      </c>
      <c r="E1020" s="9" t="s">
        <v>3801</v>
      </c>
      <c r="F1020" s="10" t="n">
        <v>3</v>
      </c>
      <c r="G1020" s="10" t="s">
        <v>3907</v>
      </c>
      <c r="H1020" s="16" t="n">
        <v>10</v>
      </c>
      <c r="I1020" s="17" t="s">
        <v>3803</v>
      </c>
      <c r="J1020" s="13" t="s">
        <v>3908</v>
      </c>
      <c r="K1020" s="13" t="s">
        <v>2323</v>
      </c>
      <c r="L1020" s="12" t="s">
        <v>1903</v>
      </c>
      <c r="M1020" s="12" t="s">
        <v>969</v>
      </c>
      <c r="N1020" s="12" t="s">
        <v>452</v>
      </c>
    </row>
    <row r="1021" customFormat="false" ht="27.5" hidden="false" customHeight="false" outlineLevel="0" collapsed="false">
      <c r="A1021" s="22" t="s">
        <v>3909</v>
      </c>
      <c r="B1021" s="8" t="s">
        <v>3910</v>
      </c>
      <c r="C1021" s="22" t="s">
        <v>3909</v>
      </c>
      <c r="D1021" s="9" t="n">
        <v>14</v>
      </c>
      <c r="E1021" s="10" t="s">
        <v>3801</v>
      </c>
      <c r="F1021" s="10" t="n">
        <v>3</v>
      </c>
      <c r="G1021" s="10" t="n">
        <v>0</v>
      </c>
      <c r="H1021" s="16" t="n">
        <v>10</v>
      </c>
      <c r="I1021" s="17" t="s">
        <v>3803</v>
      </c>
      <c r="J1021" s="23" t="s">
        <v>3911</v>
      </c>
      <c r="K1021" s="13" t="s">
        <v>3855</v>
      </c>
      <c r="L1021" s="12" t="s">
        <v>1903</v>
      </c>
      <c r="M1021" s="12" t="s">
        <v>969</v>
      </c>
      <c r="N1021" s="12" t="s">
        <v>452</v>
      </c>
    </row>
    <row r="1022" customFormat="false" ht="27.5" hidden="false" customHeight="false" outlineLevel="0" collapsed="false">
      <c r="A1022" s="7" t="s">
        <v>3912</v>
      </c>
      <c r="B1022" s="8" t="s">
        <v>3913</v>
      </c>
      <c r="C1022" s="7" t="s">
        <v>3912</v>
      </c>
      <c r="D1022" s="9" t="n">
        <v>1</v>
      </c>
      <c r="E1022" s="10" t="s">
        <v>203</v>
      </c>
      <c r="F1022" s="10" t="n">
        <v>2</v>
      </c>
      <c r="G1022" s="10" t="s">
        <v>495</v>
      </c>
      <c r="H1022" s="8" t="n">
        <v>11</v>
      </c>
      <c r="I1022" s="11" t="s">
        <v>3700</v>
      </c>
      <c r="J1022" s="12" t="s">
        <v>3914</v>
      </c>
      <c r="K1022" s="13" t="s">
        <v>3244</v>
      </c>
      <c r="L1022" s="12" t="s">
        <v>3488</v>
      </c>
      <c r="M1022" s="12" t="s">
        <v>3453</v>
      </c>
      <c r="N1022" s="12" t="s">
        <v>452</v>
      </c>
    </row>
    <row r="1023" customFormat="false" ht="19" hidden="false" customHeight="false" outlineLevel="0" collapsed="false">
      <c r="A1023" s="7" t="s">
        <v>3915</v>
      </c>
      <c r="B1023" s="8" t="s">
        <v>3916</v>
      </c>
      <c r="C1023" s="7" t="s">
        <v>3915</v>
      </c>
      <c r="D1023" s="9" t="n">
        <v>1</v>
      </c>
      <c r="E1023" s="10" t="s">
        <v>203</v>
      </c>
      <c r="F1023" s="10" t="n">
        <v>1</v>
      </c>
      <c r="G1023" s="10" t="s">
        <v>495</v>
      </c>
      <c r="H1023" s="8" t="n">
        <v>11</v>
      </c>
      <c r="I1023" s="11" t="s">
        <v>3700</v>
      </c>
      <c r="J1023" s="12" t="s">
        <v>3917</v>
      </c>
      <c r="K1023" s="12" t="s">
        <v>3171</v>
      </c>
      <c r="L1023" s="12" t="s">
        <v>3488</v>
      </c>
      <c r="M1023" s="12" t="s">
        <v>3462</v>
      </c>
      <c r="N1023" s="12" t="s">
        <v>452</v>
      </c>
    </row>
    <row r="1024" customFormat="false" ht="44.5" hidden="false" customHeight="false" outlineLevel="0" collapsed="false">
      <c r="A1024" s="7" t="s">
        <v>3918</v>
      </c>
      <c r="B1024" s="8" t="s">
        <v>3919</v>
      </c>
      <c r="C1024" s="7" t="s">
        <v>3918</v>
      </c>
      <c r="D1024" s="9" t="n">
        <v>14</v>
      </c>
      <c r="E1024" s="10" t="s">
        <v>3801</v>
      </c>
      <c r="F1024" s="10" t="n">
        <v>1</v>
      </c>
      <c r="G1024" s="10" t="s">
        <v>3802</v>
      </c>
      <c r="H1024" s="8" t="n">
        <v>11</v>
      </c>
      <c r="I1024" s="11" t="s">
        <v>3700</v>
      </c>
      <c r="J1024" s="12" t="s">
        <v>3920</v>
      </c>
      <c r="K1024" s="13" t="s">
        <v>3805</v>
      </c>
      <c r="L1024" s="12" t="s">
        <v>2675</v>
      </c>
      <c r="M1024" s="12" t="s">
        <v>3453</v>
      </c>
      <c r="N1024" s="12" t="s">
        <v>452</v>
      </c>
    </row>
    <row r="1025" customFormat="false" ht="44.5" hidden="false" customHeight="false" outlineLevel="0" collapsed="false">
      <c r="A1025" s="7" t="s">
        <v>3921</v>
      </c>
      <c r="B1025" s="8" t="s">
        <v>3922</v>
      </c>
      <c r="C1025" s="7" t="s">
        <v>3921</v>
      </c>
      <c r="D1025" s="9" t="n">
        <v>14</v>
      </c>
      <c r="E1025" s="10" t="s">
        <v>3801</v>
      </c>
      <c r="F1025" s="10" t="n">
        <v>2</v>
      </c>
      <c r="G1025" s="10" t="s">
        <v>3802</v>
      </c>
      <c r="H1025" s="8" t="n">
        <v>11</v>
      </c>
      <c r="I1025" s="11" t="s">
        <v>3700</v>
      </c>
      <c r="J1025" s="12" t="s">
        <v>3923</v>
      </c>
      <c r="K1025" s="13" t="s">
        <v>3805</v>
      </c>
      <c r="L1025" s="12" t="s">
        <v>2675</v>
      </c>
      <c r="M1025" s="12" t="s">
        <v>1824</v>
      </c>
      <c r="N1025" s="12" t="s">
        <v>452</v>
      </c>
    </row>
    <row r="1026" customFormat="false" ht="36" hidden="false" customHeight="false" outlineLevel="0" collapsed="false">
      <c r="A1026" s="20" t="s">
        <v>3698</v>
      </c>
      <c r="B1026" s="15" t="s">
        <v>3924</v>
      </c>
      <c r="C1026" s="20" t="s">
        <v>3698</v>
      </c>
      <c r="D1026" s="9" t="n">
        <v>14</v>
      </c>
      <c r="E1026" s="10" t="s">
        <v>3801</v>
      </c>
      <c r="F1026" s="10" t="n">
        <v>2</v>
      </c>
      <c r="G1026" s="10" t="s">
        <v>3813</v>
      </c>
      <c r="H1026" s="8" t="n">
        <v>11</v>
      </c>
      <c r="I1026" s="11" t="s">
        <v>3700</v>
      </c>
      <c r="J1026" s="13" t="s">
        <v>3925</v>
      </c>
      <c r="K1026" s="13" t="s">
        <v>3815</v>
      </c>
      <c r="L1026" s="12" t="s">
        <v>2675</v>
      </c>
      <c r="M1026" s="12" t="s">
        <v>1824</v>
      </c>
      <c r="N1026" s="12" t="s">
        <v>452</v>
      </c>
    </row>
    <row r="1027" customFormat="false" ht="19" hidden="false" customHeight="false" outlineLevel="0" collapsed="false">
      <c r="A1027" s="7" t="s">
        <v>3926</v>
      </c>
      <c r="B1027" s="8" t="s">
        <v>3927</v>
      </c>
      <c r="C1027" s="7" t="s">
        <v>3926</v>
      </c>
      <c r="D1027" s="9" t="n">
        <v>18</v>
      </c>
      <c r="E1027" s="10" t="s">
        <v>449</v>
      </c>
      <c r="F1027" s="10" t="n">
        <v>1</v>
      </c>
      <c r="G1027" s="10" t="s">
        <v>3801</v>
      </c>
      <c r="H1027" s="8" t="n">
        <v>11</v>
      </c>
      <c r="I1027" s="11" t="s">
        <v>3700</v>
      </c>
      <c r="J1027" s="12" t="s">
        <v>3928</v>
      </c>
      <c r="K1027" s="12" t="s">
        <v>3825</v>
      </c>
      <c r="L1027" s="12" t="s">
        <v>2675</v>
      </c>
      <c r="M1027" s="12" t="s">
        <v>3453</v>
      </c>
      <c r="N1027" s="12" t="s">
        <v>452</v>
      </c>
    </row>
    <row r="1028" customFormat="false" ht="19" hidden="false" customHeight="false" outlineLevel="0" collapsed="false">
      <c r="A1028" s="7" t="s">
        <v>3929</v>
      </c>
      <c r="B1028" s="8" t="s">
        <v>3930</v>
      </c>
      <c r="C1028" s="7" t="s">
        <v>3929</v>
      </c>
      <c r="D1028" s="9" t="n">
        <v>14</v>
      </c>
      <c r="E1028" s="10" t="s">
        <v>3801</v>
      </c>
      <c r="F1028" s="10" t="n">
        <v>2</v>
      </c>
      <c r="G1028" s="10" t="s">
        <v>3801</v>
      </c>
      <c r="H1028" s="8" t="n">
        <v>11</v>
      </c>
      <c r="I1028" s="11" t="s">
        <v>3700</v>
      </c>
      <c r="J1028" s="12" t="s">
        <v>3931</v>
      </c>
      <c r="K1028" s="12" t="s">
        <v>3932</v>
      </c>
      <c r="L1028" s="12" t="s">
        <v>3488</v>
      </c>
      <c r="M1028" s="12" t="s">
        <v>3462</v>
      </c>
      <c r="N1028" s="12" t="s">
        <v>452</v>
      </c>
    </row>
    <row r="1029" customFormat="false" ht="27.5" hidden="false" customHeight="false" outlineLevel="0" collapsed="false">
      <c r="A1029" s="7" t="s">
        <v>3933</v>
      </c>
      <c r="B1029" s="8" t="s">
        <v>3934</v>
      </c>
      <c r="C1029" s="7" t="s">
        <v>3933</v>
      </c>
      <c r="D1029" s="9" t="n">
        <v>14</v>
      </c>
      <c r="E1029" s="10" t="s">
        <v>3801</v>
      </c>
      <c r="F1029" s="10" t="n">
        <v>2</v>
      </c>
      <c r="G1029" s="10" t="s">
        <v>3801</v>
      </c>
      <c r="H1029" s="8" t="n">
        <v>11</v>
      </c>
      <c r="I1029" s="11" t="s">
        <v>3700</v>
      </c>
      <c r="J1029" s="12" t="s">
        <v>3935</v>
      </c>
      <c r="K1029" s="12" t="s">
        <v>2020</v>
      </c>
      <c r="L1029" s="12" t="s">
        <v>3488</v>
      </c>
      <c r="M1029" s="12" t="s">
        <v>1824</v>
      </c>
      <c r="N1029" s="12" t="s">
        <v>452</v>
      </c>
    </row>
    <row r="1030" customFormat="false" ht="19" hidden="false" customHeight="false" outlineLevel="0" collapsed="false">
      <c r="A1030" s="20" t="s">
        <v>3936</v>
      </c>
      <c r="B1030" s="15" t="s">
        <v>3937</v>
      </c>
      <c r="C1030" s="20" t="s">
        <v>3936</v>
      </c>
      <c r="D1030" s="9" t="n">
        <v>14</v>
      </c>
      <c r="E1030" s="9" t="s">
        <v>3801</v>
      </c>
      <c r="F1030" s="10" t="n">
        <v>1</v>
      </c>
      <c r="G1030" s="10" t="s">
        <v>3834</v>
      </c>
      <c r="H1030" s="8" t="n">
        <v>11</v>
      </c>
      <c r="I1030" s="11" t="s">
        <v>3700</v>
      </c>
      <c r="J1030" s="13" t="s">
        <v>3938</v>
      </c>
      <c r="K1030" s="13" t="s">
        <v>2960</v>
      </c>
      <c r="L1030" s="12" t="s">
        <v>3488</v>
      </c>
      <c r="M1030" s="12" t="s">
        <v>3462</v>
      </c>
      <c r="N1030" s="12" t="s">
        <v>452</v>
      </c>
    </row>
    <row r="1031" customFormat="false" ht="19" hidden="false" customHeight="false" outlineLevel="0" collapsed="false">
      <c r="A1031" s="20" t="s">
        <v>3939</v>
      </c>
      <c r="B1031" s="15" t="s">
        <v>3901</v>
      </c>
      <c r="C1031" s="20" t="s">
        <v>3939</v>
      </c>
      <c r="D1031" s="9" t="n">
        <v>14</v>
      </c>
      <c r="E1031" s="9" t="s">
        <v>3801</v>
      </c>
      <c r="F1031" s="10" t="n">
        <v>2</v>
      </c>
      <c r="G1031" s="10" t="s">
        <v>3834</v>
      </c>
      <c r="H1031" s="8" t="n">
        <v>11</v>
      </c>
      <c r="I1031" s="11" t="s">
        <v>3700</v>
      </c>
      <c r="J1031" s="13" t="s">
        <v>3940</v>
      </c>
      <c r="K1031" s="13" t="s">
        <v>2960</v>
      </c>
      <c r="L1031" s="12" t="s">
        <v>3488</v>
      </c>
      <c r="M1031" s="12" t="s">
        <v>1824</v>
      </c>
      <c r="N1031" s="12" t="s">
        <v>452</v>
      </c>
    </row>
    <row r="1032" customFormat="false" ht="27.5" hidden="false" customHeight="false" outlineLevel="0" collapsed="false">
      <c r="A1032" s="14" t="s">
        <v>3941</v>
      </c>
      <c r="B1032" s="15" t="s">
        <v>3942</v>
      </c>
      <c r="C1032" s="14" t="s">
        <v>3941</v>
      </c>
      <c r="D1032" s="9" t="n">
        <v>15</v>
      </c>
      <c r="E1032" s="9" t="s">
        <v>536</v>
      </c>
      <c r="F1032" s="10" t="n">
        <v>1</v>
      </c>
      <c r="G1032" s="10" t="s">
        <v>3263</v>
      </c>
      <c r="H1032" s="8" t="n">
        <v>11</v>
      </c>
      <c r="I1032" s="11" t="s">
        <v>3700</v>
      </c>
      <c r="J1032" s="21" t="s">
        <v>3943</v>
      </c>
      <c r="K1032" s="13" t="s">
        <v>3269</v>
      </c>
      <c r="L1032" s="12" t="s">
        <v>3488</v>
      </c>
      <c r="M1032" s="12" t="s">
        <v>3462</v>
      </c>
      <c r="N1032" s="12" t="s">
        <v>452</v>
      </c>
    </row>
    <row r="1033" customFormat="false" ht="36" hidden="false" customHeight="false" outlineLevel="0" collapsed="false">
      <c r="A1033" s="14" t="s">
        <v>3944</v>
      </c>
      <c r="B1033" s="15" t="s">
        <v>3945</v>
      </c>
      <c r="C1033" s="14" t="s">
        <v>3944</v>
      </c>
      <c r="D1033" s="9" t="n">
        <v>15</v>
      </c>
      <c r="E1033" s="9" t="s">
        <v>536</v>
      </c>
      <c r="F1033" s="10" t="n">
        <v>1</v>
      </c>
      <c r="G1033" s="10" t="s">
        <v>3263</v>
      </c>
      <c r="H1033" s="8" t="n">
        <v>11</v>
      </c>
      <c r="I1033" s="11" t="s">
        <v>3700</v>
      </c>
      <c r="J1033" s="21" t="s">
        <v>3946</v>
      </c>
      <c r="K1033" s="13" t="s">
        <v>3947</v>
      </c>
      <c r="L1033" s="12" t="s">
        <v>3488</v>
      </c>
      <c r="M1033" s="12" t="s">
        <v>3462</v>
      </c>
      <c r="N1033" s="12" t="s">
        <v>452</v>
      </c>
    </row>
    <row r="1034" customFormat="false" ht="36" hidden="false" customHeight="false" outlineLevel="0" collapsed="false">
      <c r="A1034" s="14" t="s">
        <v>3948</v>
      </c>
      <c r="B1034" s="15" t="s">
        <v>3949</v>
      </c>
      <c r="C1034" s="14" t="s">
        <v>3948</v>
      </c>
      <c r="D1034" s="9" t="n">
        <v>15</v>
      </c>
      <c r="E1034" s="9" t="s">
        <v>536</v>
      </c>
      <c r="F1034" s="10" t="n">
        <v>2</v>
      </c>
      <c r="G1034" s="10" t="s">
        <v>3263</v>
      </c>
      <c r="H1034" s="8" t="n">
        <v>11</v>
      </c>
      <c r="I1034" s="11" t="s">
        <v>3700</v>
      </c>
      <c r="J1034" s="21" t="s">
        <v>3950</v>
      </c>
      <c r="K1034" s="13" t="s">
        <v>3269</v>
      </c>
      <c r="L1034" s="12" t="s">
        <v>2675</v>
      </c>
      <c r="M1034" s="12" t="s">
        <v>1824</v>
      </c>
      <c r="N1034" s="12" t="s">
        <v>452</v>
      </c>
    </row>
    <row r="1035" customFormat="false" ht="19" hidden="false" customHeight="false" outlineLevel="0" collapsed="false">
      <c r="A1035" s="14" t="s">
        <v>3951</v>
      </c>
      <c r="B1035" s="15" t="s">
        <v>3952</v>
      </c>
      <c r="C1035" s="14" t="s">
        <v>3951</v>
      </c>
      <c r="D1035" s="9" t="n">
        <v>15</v>
      </c>
      <c r="E1035" s="9" t="s">
        <v>536</v>
      </c>
      <c r="F1035" s="10" t="n">
        <v>2</v>
      </c>
      <c r="G1035" s="10" t="s">
        <v>3263</v>
      </c>
      <c r="H1035" s="8" t="n">
        <v>11</v>
      </c>
      <c r="I1035" s="11" t="s">
        <v>3700</v>
      </c>
      <c r="J1035" s="21" t="s">
        <v>3953</v>
      </c>
      <c r="K1035" s="13" t="s">
        <v>3815</v>
      </c>
      <c r="L1035" s="12" t="s">
        <v>1903</v>
      </c>
      <c r="M1035" s="12" t="s">
        <v>1824</v>
      </c>
      <c r="N1035" s="12" t="s">
        <v>452</v>
      </c>
    </row>
    <row r="1036" customFormat="false" ht="27.5" hidden="false" customHeight="false" outlineLevel="0" collapsed="false">
      <c r="A1036" s="14" t="s">
        <v>3954</v>
      </c>
      <c r="B1036" s="15" t="s">
        <v>3955</v>
      </c>
      <c r="C1036" s="14" t="s">
        <v>3954</v>
      </c>
      <c r="D1036" s="9" t="n">
        <v>14</v>
      </c>
      <c r="E1036" s="9" t="s">
        <v>3801</v>
      </c>
      <c r="F1036" s="10" t="n">
        <v>2</v>
      </c>
      <c r="G1036" s="10" t="s">
        <v>99</v>
      </c>
      <c r="H1036" s="8" t="n">
        <v>11</v>
      </c>
      <c r="I1036" s="11" t="s">
        <v>3700</v>
      </c>
      <c r="J1036" s="18" t="s">
        <v>3956</v>
      </c>
      <c r="K1036" s="11" t="s">
        <v>3862</v>
      </c>
      <c r="L1036" s="12" t="s">
        <v>3488</v>
      </c>
      <c r="M1036" s="12" t="s">
        <v>3462</v>
      </c>
      <c r="N1036" s="12" t="s">
        <v>452</v>
      </c>
    </row>
    <row r="1037" customFormat="false" ht="36" hidden="false" customHeight="false" outlineLevel="0" collapsed="false">
      <c r="A1037" s="14" t="s">
        <v>3957</v>
      </c>
      <c r="B1037" s="15" t="s">
        <v>3958</v>
      </c>
      <c r="C1037" s="14" t="s">
        <v>3957</v>
      </c>
      <c r="D1037" s="9" t="n">
        <v>14</v>
      </c>
      <c r="E1037" s="9" t="s">
        <v>3801</v>
      </c>
      <c r="F1037" s="10" t="n">
        <v>1</v>
      </c>
      <c r="G1037" s="10" t="s">
        <v>99</v>
      </c>
      <c r="H1037" s="8" t="n">
        <v>11</v>
      </c>
      <c r="I1037" s="11" t="s">
        <v>3700</v>
      </c>
      <c r="J1037" s="18" t="s">
        <v>3959</v>
      </c>
      <c r="K1037" s="13" t="s">
        <v>3815</v>
      </c>
      <c r="L1037" s="12" t="s">
        <v>3488</v>
      </c>
      <c r="M1037" s="12" t="s">
        <v>3462</v>
      </c>
      <c r="N1037" s="12" t="s">
        <v>452</v>
      </c>
    </row>
    <row r="1038" customFormat="false" ht="19" hidden="false" customHeight="false" outlineLevel="0" collapsed="false">
      <c r="A1038" s="14" t="s">
        <v>3960</v>
      </c>
      <c r="B1038" s="15" t="s">
        <v>3961</v>
      </c>
      <c r="C1038" s="14" t="s">
        <v>3960</v>
      </c>
      <c r="D1038" s="9" t="n">
        <v>14</v>
      </c>
      <c r="E1038" s="9" t="s">
        <v>3801</v>
      </c>
      <c r="F1038" s="10" t="n">
        <v>1</v>
      </c>
      <c r="G1038" s="10" t="s">
        <v>99</v>
      </c>
      <c r="H1038" s="8" t="n">
        <v>11</v>
      </c>
      <c r="I1038" s="11" t="s">
        <v>3700</v>
      </c>
      <c r="J1038" s="18" t="s">
        <v>3962</v>
      </c>
      <c r="K1038" s="13" t="s">
        <v>3963</v>
      </c>
      <c r="L1038" s="12" t="s">
        <v>3488</v>
      </c>
      <c r="M1038" s="12" t="s">
        <v>3462</v>
      </c>
      <c r="N1038" s="12" t="s">
        <v>452</v>
      </c>
    </row>
    <row r="1039" customFormat="false" ht="53" hidden="false" customHeight="false" outlineLevel="0" collapsed="false">
      <c r="A1039" s="14" t="s">
        <v>3964</v>
      </c>
      <c r="B1039" s="15" t="s">
        <v>3965</v>
      </c>
      <c r="C1039" s="14" t="s">
        <v>3964</v>
      </c>
      <c r="D1039" s="9" t="n">
        <v>14</v>
      </c>
      <c r="E1039" s="9" t="s">
        <v>3801</v>
      </c>
      <c r="F1039" s="10" t="n">
        <v>2</v>
      </c>
      <c r="G1039" s="10" t="s">
        <v>99</v>
      </c>
      <c r="H1039" s="8" t="n">
        <v>11</v>
      </c>
      <c r="I1039" s="11" t="s">
        <v>3700</v>
      </c>
      <c r="J1039" s="18" t="s">
        <v>3966</v>
      </c>
      <c r="K1039" s="13" t="s">
        <v>2946</v>
      </c>
      <c r="L1039" s="12" t="s">
        <v>1903</v>
      </c>
      <c r="M1039" s="12" t="s">
        <v>969</v>
      </c>
      <c r="N1039" s="12" t="s">
        <v>452</v>
      </c>
    </row>
    <row r="1040" customFormat="false" ht="36" hidden="false" customHeight="false" outlineLevel="0" collapsed="false">
      <c r="A1040" s="14" t="s">
        <v>3967</v>
      </c>
      <c r="B1040" s="15" t="s">
        <v>3968</v>
      </c>
      <c r="C1040" s="14" t="s">
        <v>3967</v>
      </c>
      <c r="D1040" s="9" t="n">
        <v>14</v>
      </c>
      <c r="E1040" s="9" t="s">
        <v>3801</v>
      </c>
      <c r="F1040" s="10" t="n">
        <v>1</v>
      </c>
      <c r="G1040" s="10" t="s">
        <v>99</v>
      </c>
      <c r="H1040" s="8" t="n">
        <v>11</v>
      </c>
      <c r="I1040" s="11" t="s">
        <v>3700</v>
      </c>
      <c r="J1040" s="18" t="s">
        <v>3969</v>
      </c>
      <c r="K1040" s="13" t="s">
        <v>2960</v>
      </c>
      <c r="L1040" s="12" t="s">
        <v>3488</v>
      </c>
      <c r="M1040" s="12" t="s">
        <v>3462</v>
      </c>
      <c r="N1040" s="12" t="s">
        <v>452</v>
      </c>
    </row>
    <row r="1041" customFormat="false" ht="36" hidden="false" customHeight="false" outlineLevel="0" collapsed="false">
      <c r="A1041" s="14" t="s">
        <v>3970</v>
      </c>
      <c r="B1041" s="15" t="s">
        <v>3971</v>
      </c>
      <c r="C1041" s="14" t="s">
        <v>3970</v>
      </c>
      <c r="D1041" s="9" t="n">
        <v>14</v>
      </c>
      <c r="E1041" s="9" t="s">
        <v>3801</v>
      </c>
      <c r="F1041" s="10" t="n">
        <v>1</v>
      </c>
      <c r="G1041" s="10" t="s">
        <v>99</v>
      </c>
      <c r="H1041" s="8" t="n">
        <v>11</v>
      </c>
      <c r="I1041" s="11" t="s">
        <v>3700</v>
      </c>
      <c r="J1041" s="18" t="s">
        <v>3972</v>
      </c>
      <c r="K1041" s="18" t="s">
        <v>3855</v>
      </c>
      <c r="L1041" s="12" t="s">
        <v>3488</v>
      </c>
      <c r="M1041" s="12" t="s">
        <v>3462</v>
      </c>
      <c r="N1041" s="12" t="s">
        <v>452</v>
      </c>
    </row>
    <row r="1042" customFormat="false" ht="36" hidden="false" customHeight="false" outlineLevel="0" collapsed="false">
      <c r="A1042" s="14" t="s">
        <v>3973</v>
      </c>
      <c r="B1042" s="15" t="s">
        <v>3974</v>
      </c>
      <c r="C1042" s="14" t="s">
        <v>3973</v>
      </c>
      <c r="D1042" s="9" t="n">
        <v>14</v>
      </c>
      <c r="E1042" s="9" t="s">
        <v>3801</v>
      </c>
      <c r="F1042" s="10" t="n">
        <v>2</v>
      </c>
      <c r="G1042" s="10" t="s">
        <v>99</v>
      </c>
      <c r="H1042" s="8" t="n">
        <v>11</v>
      </c>
      <c r="I1042" s="11" t="s">
        <v>3700</v>
      </c>
      <c r="J1042" s="18" t="s">
        <v>3975</v>
      </c>
      <c r="K1042" s="18" t="s">
        <v>3855</v>
      </c>
      <c r="L1042" s="12" t="s">
        <v>3488</v>
      </c>
      <c r="M1042" s="12" t="s">
        <v>3453</v>
      </c>
      <c r="N1042" s="12" t="s">
        <v>452</v>
      </c>
    </row>
    <row r="1043" customFormat="false" ht="27.5" hidden="false" customHeight="false" outlineLevel="0" collapsed="false">
      <c r="A1043" s="14" t="s">
        <v>3976</v>
      </c>
      <c r="B1043" s="15" t="s">
        <v>3977</v>
      </c>
      <c r="C1043" s="14" t="s">
        <v>3976</v>
      </c>
      <c r="D1043" s="9" t="n">
        <v>15</v>
      </c>
      <c r="E1043" s="9" t="s">
        <v>536</v>
      </c>
      <c r="F1043" s="10" t="n">
        <v>1</v>
      </c>
      <c r="G1043" s="10" t="s">
        <v>2055</v>
      </c>
      <c r="H1043" s="8" t="n">
        <v>11</v>
      </c>
      <c r="I1043" s="11" t="s">
        <v>3700</v>
      </c>
      <c r="J1043" s="18" t="s">
        <v>3978</v>
      </c>
      <c r="K1043" s="13" t="s">
        <v>3979</v>
      </c>
      <c r="L1043" s="12" t="s">
        <v>3488</v>
      </c>
      <c r="M1043" s="12" t="s">
        <v>3462</v>
      </c>
      <c r="N1043" s="12" t="s">
        <v>452</v>
      </c>
    </row>
    <row r="1044" customFormat="false" ht="19" hidden="false" customHeight="false" outlineLevel="0" collapsed="false">
      <c r="A1044" s="14" t="s">
        <v>3980</v>
      </c>
      <c r="B1044" s="15" t="s">
        <v>3981</v>
      </c>
      <c r="C1044" s="14" t="s">
        <v>3980</v>
      </c>
      <c r="D1044" s="9" t="n">
        <v>15</v>
      </c>
      <c r="E1044" s="9" t="s">
        <v>536</v>
      </c>
      <c r="F1044" s="10" t="n">
        <v>1</v>
      </c>
      <c r="G1044" s="10" t="s">
        <v>2055</v>
      </c>
      <c r="H1044" s="8" t="n">
        <v>11</v>
      </c>
      <c r="I1044" s="11" t="s">
        <v>3700</v>
      </c>
      <c r="J1044" s="21" t="s">
        <v>3982</v>
      </c>
      <c r="K1044" s="13" t="s">
        <v>2070</v>
      </c>
      <c r="L1044" s="12" t="s">
        <v>3488</v>
      </c>
      <c r="M1044" s="12" t="s">
        <v>3462</v>
      </c>
      <c r="N1044" s="12" t="s">
        <v>452</v>
      </c>
    </row>
    <row r="1045" customFormat="false" ht="44.5" hidden="false" customHeight="false" outlineLevel="0" collapsed="false">
      <c r="A1045" s="14" t="s">
        <v>3983</v>
      </c>
      <c r="B1045" s="15" t="s">
        <v>3984</v>
      </c>
      <c r="C1045" s="14" t="s">
        <v>3983</v>
      </c>
      <c r="D1045" s="9" t="n">
        <v>14</v>
      </c>
      <c r="E1045" s="9" t="s">
        <v>3801</v>
      </c>
      <c r="F1045" s="10" t="n">
        <v>2</v>
      </c>
      <c r="G1045" s="10" t="s">
        <v>747</v>
      </c>
      <c r="H1045" s="8" t="n">
        <v>11</v>
      </c>
      <c r="I1045" s="11" t="s">
        <v>3700</v>
      </c>
      <c r="J1045" s="18" t="s">
        <v>3985</v>
      </c>
      <c r="K1045" s="13" t="s">
        <v>3986</v>
      </c>
      <c r="L1045" s="12" t="s">
        <v>2675</v>
      </c>
      <c r="M1045" s="12" t="s">
        <v>3453</v>
      </c>
      <c r="N1045" s="12" t="s">
        <v>452</v>
      </c>
    </row>
    <row r="1046" customFormat="false" ht="27.5" hidden="false" customHeight="false" outlineLevel="0" collapsed="false">
      <c r="A1046" s="33" t="s">
        <v>3987</v>
      </c>
      <c r="B1046" s="34" t="s">
        <v>3685</v>
      </c>
      <c r="C1046" s="33" t="s">
        <v>3987</v>
      </c>
      <c r="D1046" s="35" t="n">
        <v>14</v>
      </c>
      <c r="E1046" s="36" t="s">
        <v>3801</v>
      </c>
      <c r="F1046" s="36" t="n">
        <v>2</v>
      </c>
      <c r="G1046" s="36" t="s">
        <v>747</v>
      </c>
      <c r="H1046" s="34" t="n">
        <v>11</v>
      </c>
      <c r="I1046" s="37" t="s">
        <v>3700</v>
      </c>
      <c r="J1046" s="38" t="s">
        <v>3988</v>
      </c>
      <c r="K1046" s="39" t="s">
        <v>3989</v>
      </c>
      <c r="L1046" s="38" t="s">
        <v>2675</v>
      </c>
      <c r="M1046" s="38" t="s">
        <v>3453</v>
      </c>
      <c r="N1046" s="38" t="s">
        <v>452</v>
      </c>
    </row>
    <row r="1047" s="27" customFormat="true" ht="36" hidden="false" customHeight="false" outlineLevel="0" collapsed="false">
      <c r="A1047" s="14" t="s">
        <v>3990</v>
      </c>
      <c r="B1047" s="15" t="s">
        <v>3991</v>
      </c>
      <c r="C1047" s="14" t="s">
        <v>3990</v>
      </c>
      <c r="D1047" s="9" t="n">
        <v>21</v>
      </c>
      <c r="E1047" s="10" t="s">
        <v>117</v>
      </c>
      <c r="F1047" s="10" t="n">
        <v>2</v>
      </c>
      <c r="G1047" s="10" t="s">
        <v>748</v>
      </c>
      <c r="H1047" s="8" t="n">
        <v>11</v>
      </c>
      <c r="I1047" s="11" t="s">
        <v>3700</v>
      </c>
      <c r="J1047" s="18" t="s">
        <v>3992</v>
      </c>
      <c r="K1047" s="12" t="s">
        <v>3993</v>
      </c>
      <c r="L1047" s="12" t="s">
        <v>2675</v>
      </c>
      <c r="M1047" s="12" t="s">
        <v>3453</v>
      </c>
      <c r="N1047" s="12" t="s">
        <v>452</v>
      </c>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2"/>
      <c r="BX1047" s="2"/>
      <c r="BY1047" s="2"/>
      <c r="BZ1047" s="2"/>
      <c r="CA1047" s="2"/>
      <c r="CB1047" s="2"/>
      <c r="CC1047" s="2"/>
      <c r="CD1047" s="2"/>
      <c r="CE1047" s="2"/>
      <c r="CF1047" s="2"/>
      <c r="CG1047" s="2"/>
      <c r="CH1047" s="2"/>
      <c r="CI1047" s="2"/>
      <c r="CJ1047" s="2"/>
      <c r="CK1047" s="2"/>
      <c r="CL1047" s="2"/>
      <c r="CM1047" s="2"/>
      <c r="CN1047" s="2"/>
      <c r="CO1047" s="2"/>
      <c r="CP1047" s="2"/>
      <c r="CQ1047" s="2"/>
      <c r="CR1047" s="2"/>
      <c r="CS1047" s="2"/>
      <c r="CT1047" s="2"/>
      <c r="CU1047" s="2"/>
      <c r="CV1047" s="2"/>
      <c r="CW1047" s="2"/>
      <c r="CX1047" s="2"/>
      <c r="CY1047" s="2"/>
      <c r="CZ1047" s="2"/>
      <c r="DA1047" s="2"/>
      <c r="DB1047" s="2"/>
      <c r="DC1047" s="2"/>
      <c r="DD1047" s="2"/>
      <c r="DE1047" s="2"/>
      <c r="DF1047" s="2"/>
      <c r="DG1047" s="2"/>
      <c r="DH1047" s="2"/>
      <c r="DI1047" s="2"/>
      <c r="DJ1047" s="2"/>
      <c r="DK1047" s="2"/>
      <c r="DL1047" s="2"/>
      <c r="DM1047" s="2"/>
      <c r="DN1047" s="2"/>
      <c r="DO1047" s="2"/>
      <c r="DP1047" s="2"/>
      <c r="DQ1047" s="2"/>
      <c r="DR1047" s="2"/>
      <c r="DS1047" s="2"/>
      <c r="DT1047" s="2"/>
      <c r="DU1047" s="2"/>
      <c r="DV1047" s="2"/>
      <c r="DW1047" s="2"/>
      <c r="DX1047" s="2"/>
      <c r="DY1047" s="2"/>
      <c r="DZ1047" s="2"/>
      <c r="EA1047" s="2"/>
      <c r="EB1047" s="2"/>
      <c r="EC1047" s="2"/>
      <c r="ED1047" s="2"/>
      <c r="EE1047" s="2"/>
      <c r="EF1047" s="2"/>
      <c r="EG1047" s="2"/>
      <c r="EH1047" s="2"/>
      <c r="EI1047" s="2"/>
      <c r="EJ1047" s="2"/>
      <c r="EK1047" s="2"/>
      <c r="EL1047" s="2"/>
      <c r="EM1047" s="2"/>
      <c r="EN1047" s="2"/>
      <c r="EO1047" s="2"/>
      <c r="EP1047" s="2"/>
      <c r="EQ1047" s="2"/>
      <c r="ER1047" s="2"/>
      <c r="ES1047" s="2"/>
      <c r="ET1047" s="2"/>
      <c r="EU1047" s="2"/>
      <c r="EV1047" s="2"/>
      <c r="EW1047" s="2"/>
      <c r="EX1047" s="2"/>
      <c r="EY1047" s="2"/>
      <c r="EZ1047" s="2"/>
      <c r="FA1047" s="2"/>
      <c r="FB1047" s="2"/>
      <c r="FC1047" s="2"/>
      <c r="FD1047" s="2"/>
      <c r="FE1047" s="2"/>
      <c r="FF1047" s="2"/>
      <c r="FG1047" s="2"/>
      <c r="FH1047" s="2"/>
      <c r="FI1047" s="2"/>
      <c r="FJ1047" s="2"/>
      <c r="FK1047" s="2"/>
      <c r="FL1047" s="2"/>
      <c r="FM1047" s="2"/>
      <c r="FN1047" s="2"/>
      <c r="FO1047" s="2"/>
      <c r="FP1047" s="2"/>
      <c r="FQ1047" s="2"/>
      <c r="FR1047" s="2"/>
      <c r="FS1047" s="2"/>
      <c r="FT1047" s="2"/>
      <c r="FU1047" s="2"/>
      <c r="FV1047" s="2"/>
      <c r="FW1047" s="2"/>
      <c r="FX1047" s="2"/>
      <c r="FY1047" s="2"/>
      <c r="FZ1047" s="2"/>
      <c r="GA1047" s="2"/>
      <c r="GB1047" s="2"/>
      <c r="GC1047" s="2"/>
      <c r="GD1047" s="2"/>
      <c r="GE1047" s="2"/>
      <c r="GF1047" s="2"/>
      <c r="GG1047" s="2"/>
      <c r="GH1047" s="2"/>
      <c r="GI1047" s="2"/>
      <c r="GJ1047" s="2"/>
      <c r="GK1047" s="2"/>
      <c r="GL1047" s="2"/>
      <c r="GM1047" s="2"/>
      <c r="GN1047" s="2"/>
      <c r="GO1047" s="2"/>
      <c r="GP1047" s="2"/>
      <c r="GQ1047" s="2"/>
      <c r="GR1047" s="2"/>
      <c r="GS1047" s="2"/>
      <c r="GT1047" s="2"/>
      <c r="GU1047" s="2"/>
      <c r="GV1047" s="2"/>
      <c r="GW1047" s="2"/>
      <c r="GX1047" s="2"/>
      <c r="GY1047" s="2"/>
      <c r="GZ1047" s="2"/>
      <c r="HA1047" s="2"/>
      <c r="HB1047" s="2"/>
      <c r="HC1047" s="2"/>
      <c r="HD1047" s="2"/>
      <c r="HE1047" s="2"/>
      <c r="HF1047" s="2"/>
      <c r="HG1047" s="2"/>
      <c r="HH1047" s="2"/>
      <c r="HI1047" s="2"/>
      <c r="HJ1047" s="2"/>
      <c r="HK1047" s="2"/>
      <c r="HL1047" s="2"/>
      <c r="HM1047" s="2"/>
      <c r="HN1047" s="2"/>
      <c r="HO1047" s="2"/>
      <c r="HP1047" s="2"/>
      <c r="HQ1047" s="2"/>
      <c r="HR1047" s="2"/>
      <c r="HS1047" s="2"/>
      <c r="HT1047" s="2"/>
      <c r="HU1047" s="2"/>
      <c r="HV1047" s="2"/>
      <c r="HW1047" s="2"/>
      <c r="HX1047" s="2"/>
      <c r="HY1047" s="2"/>
      <c r="HZ1047" s="2"/>
      <c r="IA1047" s="2"/>
      <c r="IB1047" s="2"/>
      <c r="IC1047" s="2"/>
      <c r="ID1047" s="2"/>
      <c r="IE1047" s="2"/>
      <c r="IF1047" s="2"/>
      <c r="IG1047" s="2"/>
      <c r="IH1047" s="2"/>
      <c r="II1047" s="2"/>
      <c r="IJ1047" s="2"/>
      <c r="IK1047" s="2"/>
      <c r="IL1047" s="2"/>
      <c r="IM1047" s="2"/>
      <c r="IN1047" s="2"/>
      <c r="IO1047" s="2"/>
      <c r="IP1047" s="2"/>
      <c r="IQ1047" s="2"/>
      <c r="IR1047" s="2"/>
      <c r="IS1047" s="2"/>
      <c r="IT1047" s="2"/>
      <c r="IU1047" s="2"/>
    </row>
    <row r="1048" s="27" customFormat="true" ht="36" hidden="false" customHeight="false" outlineLevel="0" collapsed="false">
      <c r="A1048" s="14" t="s">
        <v>3994</v>
      </c>
      <c r="B1048" s="15" t="s">
        <v>3995</v>
      </c>
      <c r="C1048" s="14" t="s">
        <v>3994</v>
      </c>
      <c r="D1048" s="9" t="n">
        <v>18</v>
      </c>
      <c r="E1048" s="10" t="s">
        <v>449</v>
      </c>
      <c r="F1048" s="10" t="n">
        <v>1</v>
      </c>
      <c r="G1048" s="10" t="s">
        <v>3351</v>
      </c>
      <c r="H1048" s="8" t="n">
        <v>11</v>
      </c>
      <c r="I1048" s="11" t="s">
        <v>3700</v>
      </c>
      <c r="J1048" s="18" t="s">
        <v>3996</v>
      </c>
      <c r="K1048" s="13" t="s">
        <v>3810</v>
      </c>
      <c r="L1048" s="12" t="s">
        <v>3488</v>
      </c>
      <c r="M1048" s="12" t="s">
        <v>3462</v>
      </c>
      <c r="N1048" s="12" t="s">
        <v>452</v>
      </c>
    </row>
    <row r="1049" s="27" customFormat="true" ht="33.75" hidden="false" customHeight="true" outlineLevel="0" collapsed="false">
      <c r="A1049" s="7" t="s">
        <v>3997</v>
      </c>
      <c r="B1049" s="8" t="s">
        <v>3998</v>
      </c>
      <c r="C1049" s="7" t="s">
        <v>3997</v>
      </c>
      <c r="D1049" s="9" t="n">
        <v>18</v>
      </c>
      <c r="E1049" s="10" t="s">
        <v>449</v>
      </c>
      <c r="F1049" s="10" t="n">
        <v>2</v>
      </c>
      <c r="G1049" s="10" t="s">
        <v>3351</v>
      </c>
      <c r="H1049" s="8" t="n">
        <v>11</v>
      </c>
      <c r="I1049" s="11" t="s">
        <v>3700</v>
      </c>
      <c r="J1049" s="31" t="s">
        <v>3890</v>
      </c>
      <c r="K1049" s="18" t="s">
        <v>3353</v>
      </c>
      <c r="L1049" s="12" t="s">
        <v>2675</v>
      </c>
      <c r="M1049" s="12" t="s">
        <v>3453</v>
      </c>
      <c r="N1049" s="12" t="s">
        <v>452</v>
      </c>
    </row>
    <row r="1050" customFormat="false" ht="36" hidden="false" customHeight="false" outlineLevel="0" collapsed="false">
      <c r="A1050" s="14" t="s">
        <v>3999</v>
      </c>
      <c r="B1050" s="15" t="s">
        <v>3937</v>
      </c>
      <c r="C1050" s="14" t="s">
        <v>3999</v>
      </c>
      <c r="D1050" s="9" t="n">
        <v>23</v>
      </c>
      <c r="E1050" s="10" t="s">
        <v>441</v>
      </c>
      <c r="F1050" s="10" t="n">
        <v>2</v>
      </c>
      <c r="G1050" s="10" t="s">
        <v>1523</v>
      </c>
      <c r="H1050" s="8" t="n">
        <v>11</v>
      </c>
      <c r="I1050" s="11" t="s">
        <v>3700</v>
      </c>
      <c r="J1050" s="18" t="s">
        <v>4000</v>
      </c>
      <c r="K1050" s="18" t="s">
        <v>3739</v>
      </c>
      <c r="L1050" s="12" t="s">
        <v>3488</v>
      </c>
      <c r="M1050" s="12" t="s">
        <v>3462</v>
      </c>
      <c r="N1050" s="12" t="s">
        <v>452</v>
      </c>
    </row>
    <row r="1051" customFormat="false" ht="19" hidden="false" customHeight="false" outlineLevel="0" collapsed="false">
      <c r="A1051" s="7" t="s">
        <v>4001</v>
      </c>
      <c r="B1051" s="8" t="s">
        <v>4002</v>
      </c>
      <c r="C1051" s="7" t="s">
        <v>4001</v>
      </c>
      <c r="D1051" s="9" t="n">
        <v>14</v>
      </c>
      <c r="E1051" s="10" t="s">
        <v>3801</v>
      </c>
      <c r="F1051" s="10" t="n">
        <v>2</v>
      </c>
      <c r="G1051" s="10" t="s">
        <v>1532</v>
      </c>
      <c r="H1051" s="8" t="n">
        <v>11</v>
      </c>
      <c r="I1051" s="11" t="s">
        <v>3700</v>
      </c>
      <c r="J1051" s="12" t="s">
        <v>4003</v>
      </c>
      <c r="K1051" s="13" t="s">
        <v>4004</v>
      </c>
      <c r="L1051" s="12" t="s">
        <v>2675</v>
      </c>
      <c r="M1051" s="12" t="s">
        <v>3453</v>
      </c>
      <c r="N1051" s="12" t="s">
        <v>452</v>
      </c>
    </row>
    <row r="1052" customFormat="false" ht="36" hidden="false" customHeight="false" outlineLevel="0" collapsed="false">
      <c r="A1052" s="7" t="s">
        <v>4005</v>
      </c>
      <c r="B1052" s="8" t="s">
        <v>4006</v>
      </c>
      <c r="C1052" s="7" t="s">
        <v>4005</v>
      </c>
      <c r="D1052" s="9" t="n">
        <v>14</v>
      </c>
      <c r="E1052" s="10" t="s">
        <v>3801</v>
      </c>
      <c r="F1052" s="10" t="n">
        <v>2</v>
      </c>
      <c r="G1052" s="10" t="s">
        <v>1532</v>
      </c>
      <c r="H1052" s="8" t="n">
        <v>11</v>
      </c>
      <c r="I1052" s="11" t="s">
        <v>3700</v>
      </c>
      <c r="J1052" s="12" t="s">
        <v>4007</v>
      </c>
      <c r="K1052" s="13" t="s">
        <v>4008</v>
      </c>
      <c r="L1052" s="12" t="s">
        <v>2675</v>
      </c>
      <c r="M1052" s="12" t="s">
        <v>3453</v>
      </c>
      <c r="N1052" s="12" t="s">
        <v>452</v>
      </c>
    </row>
    <row r="1053" customFormat="false" ht="15" hidden="false" customHeight="false" outlineLevel="0" collapsed="false">
      <c r="A1053" s="40"/>
      <c r="B1053" s="41"/>
      <c r="C1053" s="40"/>
      <c r="D1053" s="42"/>
      <c r="E1053" s="43"/>
      <c r="F1053" s="43"/>
      <c r="G1053" s="43"/>
      <c r="H1053" s="27"/>
      <c r="I1053" s="44"/>
      <c r="J1053" s="45"/>
      <c r="K1053" s="45"/>
      <c r="L1053" s="45"/>
      <c r="M1053" s="45"/>
      <c r="N1053" s="45"/>
    </row>
    <row r="1054" customFormat="false" ht="15" hidden="false" customHeight="false" outlineLevel="0" collapsed="false">
      <c r="E1054" s="46"/>
      <c r="F1054" s="46"/>
      <c r="G1054" s="46"/>
    </row>
    <row r="1055" customFormat="false" ht="15" hidden="false" customHeight="false" outlineLevel="0" collapsed="false">
      <c r="E1055" s="46"/>
      <c r="F1055" s="46"/>
      <c r="G1055" s="46"/>
    </row>
    <row r="1056" customFormat="false" ht="15" hidden="false" customHeight="false" outlineLevel="0" collapsed="false">
      <c r="E1056" s="46"/>
      <c r="F1056" s="46"/>
      <c r="G1056" s="46"/>
    </row>
    <row r="1057" customFormat="false" ht="15" hidden="false" customHeight="false" outlineLevel="0" collapsed="false">
      <c r="E1057" s="46"/>
      <c r="F1057" s="46"/>
      <c r="G1057" s="46"/>
    </row>
    <row r="1058" customFormat="false" ht="15" hidden="false" customHeight="false" outlineLevel="0" collapsed="false">
      <c r="E1058" s="46"/>
      <c r="F1058" s="46"/>
      <c r="G1058" s="46"/>
    </row>
    <row r="1059" customFormat="false" ht="15" hidden="false" customHeight="false" outlineLevel="0" collapsed="false">
      <c r="E1059" s="46"/>
      <c r="F1059" s="46"/>
      <c r="G1059" s="46"/>
    </row>
    <row r="1060" customFormat="false" ht="15" hidden="false" customHeight="false" outlineLevel="0" collapsed="false">
      <c r="E1060" s="46"/>
      <c r="F1060" s="46"/>
      <c r="G1060" s="46"/>
    </row>
    <row r="1061" customFormat="false" ht="15" hidden="false" customHeight="false" outlineLevel="0" collapsed="false">
      <c r="E1061" s="46"/>
      <c r="F1061" s="46"/>
      <c r="G1061" s="46"/>
    </row>
    <row r="1062" customFormat="false" ht="15" hidden="false" customHeight="false" outlineLevel="0" collapsed="false">
      <c r="E1062" s="46"/>
      <c r="F1062" s="46"/>
      <c r="G1062" s="46"/>
    </row>
    <row r="1063" customFormat="false" ht="15" hidden="false" customHeight="false" outlineLevel="0" collapsed="false">
      <c r="E1063" s="46"/>
      <c r="F1063" s="46"/>
      <c r="G1063" s="46"/>
    </row>
    <row r="1064" customFormat="false" ht="15" hidden="false" customHeight="false" outlineLevel="0" collapsed="false">
      <c r="E1064" s="46"/>
      <c r="F1064" s="46"/>
      <c r="G1064" s="46"/>
    </row>
    <row r="1065" customFormat="false" ht="15" hidden="false" customHeight="false" outlineLevel="0" collapsed="false">
      <c r="E1065" s="46"/>
      <c r="F1065" s="46"/>
      <c r="G1065" s="46"/>
    </row>
    <row r="1066" customFormat="false" ht="15" hidden="false" customHeight="false" outlineLevel="0" collapsed="false">
      <c r="E1066" s="46"/>
      <c r="F1066" s="46"/>
      <c r="G1066" s="46"/>
    </row>
    <row r="1067" customFormat="false" ht="15" hidden="false" customHeight="false" outlineLevel="0" collapsed="false">
      <c r="E1067" s="46"/>
      <c r="F1067" s="46"/>
      <c r="G1067" s="46"/>
    </row>
    <row r="1068" customFormat="false" ht="15" hidden="false" customHeight="false" outlineLevel="0" collapsed="false">
      <c r="E1068" s="46"/>
      <c r="F1068" s="46"/>
      <c r="G1068" s="46"/>
    </row>
    <row r="1069" customFormat="false" ht="15" hidden="false" customHeight="false" outlineLevel="0" collapsed="false">
      <c r="E1069" s="46"/>
      <c r="F1069" s="46"/>
      <c r="G1069" s="46"/>
    </row>
    <row r="1070" customFormat="false" ht="15" hidden="false" customHeight="false" outlineLevel="0" collapsed="false">
      <c r="E1070" s="46"/>
      <c r="F1070" s="46"/>
      <c r="G1070" s="46"/>
    </row>
    <row r="1071" customFormat="false" ht="15" hidden="false" customHeight="false" outlineLevel="0" collapsed="false">
      <c r="E1071" s="46"/>
      <c r="F1071" s="46"/>
      <c r="G1071" s="46"/>
    </row>
    <row r="1072" customFormat="false" ht="15" hidden="false" customHeight="false" outlineLevel="0" collapsed="false">
      <c r="E1072" s="46"/>
      <c r="F1072" s="46"/>
      <c r="G1072" s="46"/>
    </row>
    <row r="1073" customFormat="false" ht="15" hidden="false" customHeight="false" outlineLevel="0" collapsed="false">
      <c r="E1073" s="46"/>
      <c r="F1073" s="46"/>
      <c r="G1073" s="46"/>
    </row>
    <row r="1074" customFormat="false" ht="15" hidden="false" customHeight="false" outlineLevel="0" collapsed="false">
      <c r="E1074" s="46"/>
      <c r="F1074" s="46"/>
      <c r="G1074" s="46"/>
    </row>
    <row r="1075" customFormat="false" ht="15" hidden="false" customHeight="false" outlineLevel="0" collapsed="false">
      <c r="E1075" s="46"/>
      <c r="F1075" s="46"/>
      <c r="G1075" s="46"/>
    </row>
    <row r="1076" customFormat="false" ht="15" hidden="false" customHeight="false" outlineLevel="0" collapsed="false">
      <c r="E1076" s="46"/>
      <c r="F1076" s="46"/>
      <c r="G1076" s="46"/>
    </row>
    <row r="1077" customFormat="false" ht="15" hidden="false" customHeight="false" outlineLevel="0" collapsed="false">
      <c r="E1077" s="46"/>
      <c r="F1077" s="46"/>
      <c r="G1077" s="46"/>
    </row>
    <row r="1078" customFormat="false" ht="15" hidden="false" customHeight="false" outlineLevel="0" collapsed="false">
      <c r="E1078" s="46"/>
      <c r="F1078" s="46"/>
      <c r="G1078" s="46"/>
    </row>
    <row r="1079" customFormat="false" ht="15" hidden="false" customHeight="false" outlineLevel="0" collapsed="false">
      <c r="E1079" s="46"/>
      <c r="F1079" s="46"/>
      <c r="G1079" s="46"/>
    </row>
    <row r="1080" customFormat="false" ht="15" hidden="false" customHeight="false" outlineLevel="0" collapsed="false">
      <c r="E1080" s="46"/>
      <c r="F1080" s="46"/>
      <c r="G1080" s="46"/>
    </row>
    <row r="1081" customFormat="false" ht="15" hidden="false" customHeight="false" outlineLevel="0" collapsed="false">
      <c r="E1081" s="46"/>
      <c r="F1081" s="46"/>
      <c r="G1081" s="46"/>
    </row>
    <row r="1082" customFormat="false" ht="15" hidden="false" customHeight="false" outlineLevel="0" collapsed="false">
      <c r="E1082" s="46"/>
      <c r="F1082" s="46"/>
      <c r="G1082" s="46"/>
    </row>
    <row r="1083" customFormat="false" ht="15" hidden="false" customHeight="false" outlineLevel="0" collapsed="false">
      <c r="E1083" s="46"/>
      <c r="F1083" s="46"/>
      <c r="G1083" s="46"/>
    </row>
    <row r="1084" customFormat="false" ht="15" hidden="false" customHeight="false" outlineLevel="0" collapsed="false">
      <c r="E1084" s="46"/>
      <c r="F1084" s="46"/>
      <c r="G1084" s="46"/>
    </row>
    <row r="1085" customFormat="false" ht="15" hidden="false" customHeight="false" outlineLevel="0" collapsed="false">
      <c r="E1085" s="46"/>
      <c r="F1085" s="46"/>
      <c r="G1085" s="46"/>
    </row>
    <row r="1086" customFormat="false" ht="15" hidden="false" customHeight="false" outlineLevel="0" collapsed="false">
      <c r="E1086" s="46"/>
      <c r="F1086" s="46"/>
      <c r="G1086" s="46"/>
    </row>
    <row r="1087" customFormat="false" ht="15" hidden="false" customHeight="false" outlineLevel="0" collapsed="false">
      <c r="E1087" s="46"/>
      <c r="F1087" s="46"/>
      <c r="G1087" s="46"/>
    </row>
    <row r="1088" customFormat="false" ht="15" hidden="false" customHeight="false" outlineLevel="0" collapsed="false">
      <c r="E1088" s="46"/>
      <c r="F1088" s="46"/>
      <c r="G1088" s="46"/>
    </row>
    <row r="1089" customFormat="false" ht="15" hidden="false" customHeight="false" outlineLevel="0" collapsed="false">
      <c r="E1089" s="46"/>
      <c r="F1089" s="46"/>
      <c r="G1089" s="46"/>
    </row>
    <row r="1090" customFormat="false" ht="15" hidden="false" customHeight="false" outlineLevel="0" collapsed="false">
      <c r="E1090" s="46"/>
      <c r="F1090" s="46"/>
      <c r="G1090" s="46"/>
    </row>
    <row r="1091" customFormat="false" ht="15" hidden="false" customHeight="false" outlineLevel="0" collapsed="false">
      <c r="E1091" s="46"/>
      <c r="F1091" s="46"/>
      <c r="G1091" s="46"/>
    </row>
    <row r="1092" customFormat="false" ht="15" hidden="false" customHeight="false" outlineLevel="0" collapsed="false">
      <c r="E1092" s="46"/>
      <c r="F1092" s="46"/>
      <c r="G1092" s="46"/>
    </row>
    <row r="1093" customFormat="false" ht="15" hidden="false" customHeight="false" outlineLevel="0" collapsed="false">
      <c r="E1093" s="46"/>
      <c r="F1093" s="46"/>
      <c r="G1093" s="46"/>
    </row>
    <row r="1094" customFormat="false" ht="15" hidden="false" customHeight="false" outlineLevel="0" collapsed="false">
      <c r="E1094" s="46"/>
      <c r="F1094" s="46"/>
      <c r="G1094" s="46"/>
    </row>
    <row r="1095" customFormat="false" ht="15" hidden="false" customHeight="false" outlineLevel="0" collapsed="false">
      <c r="E1095" s="46"/>
      <c r="F1095" s="46"/>
      <c r="G1095" s="46"/>
    </row>
    <row r="1096" customFormat="false" ht="15" hidden="false" customHeight="false" outlineLevel="0" collapsed="false">
      <c r="E1096" s="46"/>
      <c r="F1096" s="46"/>
      <c r="G1096" s="46"/>
    </row>
    <row r="1097" customFormat="false" ht="15" hidden="false" customHeight="false" outlineLevel="0" collapsed="false">
      <c r="E1097" s="46"/>
      <c r="F1097" s="46"/>
      <c r="G1097" s="46"/>
    </row>
    <row r="1098" customFormat="false" ht="15" hidden="false" customHeight="false" outlineLevel="0" collapsed="false">
      <c r="E1098" s="46"/>
      <c r="F1098" s="46"/>
      <c r="G1098" s="46"/>
    </row>
    <row r="1099" customFormat="false" ht="15" hidden="false" customHeight="false" outlineLevel="0" collapsed="false">
      <c r="E1099" s="46"/>
      <c r="F1099" s="46"/>
      <c r="G1099" s="46"/>
    </row>
    <row r="1100" customFormat="false" ht="15" hidden="false" customHeight="false" outlineLevel="0" collapsed="false">
      <c r="E1100" s="46"/>
      <c r="F1100" s="46"/>
      <c r="G1100" s="46"/>
    </row>
    <row r="1101" customFormat="false" ht="15" hidden="false" customHeight="false" outlineLevel="0" collapsed="false">
      <c r="E1101" s="46"/>
      <c r="F1101" s="46"/>
      <c r="G1101" s="46"/>
    </row>
    <row r="1102" customFormat="false" ht="15" hidden="false" customHeight="false" outlineLevel="0" collapsed="false">
      <c r="E1102" s="46"/>
      <c r="F1102" s="46"/>
      <c r="G1102" s="46"/>
    </row>
    <row r="1103" customFormat="false" ht="15" hidden="false" customHeight="false" outlineLevel="0" collapsed="false">
      <c r="E1103" s="46"/>
      <c r="F1103" s="46"/>
      <c r="G1103" s="46"/>
    </row>
    <row r="1104" customFormat="false" ht="15" hidden="false" customHeight="false" outlineLevel="0" collapsed="false">
      <c r="E1104" s="46"/>
      <c r="F1104" s="46"/>
      <c r="G1104" s="46"/>
    </row>
    <row r="1105" customFormat="false" ht="15" hidden="false" customHeight="false" outlineLevel="0" collapsed="false">
      <c r="E1105" s="46"/>
      <c r="F1105" s="46"/>
      <c r="G1105" s="46"/>
    </row>
    <row r="1106" customFormat="false" ht="15" hidden="false" customHeight="false" outlineLevel="0" collapsed="false">
      <c r="E1106" s="46"/>
      <c r="F1106" s="46"/>
      <c r="G1106" s="46"/>
    </row>
    <row r="1107" customFormat="false" ht="15" hidden="false" customHeight="false" outlineLevel="0" collapsed="false">
      <c r="E1107" s="46"/>
      <c r="F1107" s="46"/>
      <c r="G1107" s="46"/>
    </row>
    <row r="1108" customFormat="false" ht="15" hidden="false" customHeight="false" outlineLevel="0" collapsed="false">
      <c r="E1108" s="46"/>
      <c r="F1108" s="46"/>
      <c r="G1108" s="46"/>
    </row>
    <row r="1109" customFormat="false" ht="15" hidden="false" customHeight="false" outlineLevel="0" collapsed="false">
      <c r="E1109" s="46"/>
      <c r="F1109" s="46"/>
      <c r="G1109" s="46"/>
    </row>
    <row r="1110" customFormat="false" ht="15" hidden="false" customHeight="false" outlineLevel="0" collapsed="false">
      <c r="E1110" s="46"/>
      <c r="F1110" s="46"/>
      <c r="G1110" s="46"/>
    </row>
    <row r="1111" customFormat="false" ht="15" hidden="false" customHeight="false" outlineLevel="0" collapsed="false">
      <c r="E1111" s="46"/>
      <c r="F1111" s="46"/>
      <c r="G1111" s="46"/>
    </row>
    <row r="1112" customFormat="false" ht="15" hidden="false" customHeight="false" outlineLevel="0" collapsed="false">
      <c r="E1112" s="46"/>
      <c r="F1112" s="46"/>
      <c r="G1112" s="46"/>
    </row>
    <row r="1113" customFormat="false" ht="15" hidden="false" customHeight="false" outlineLevel="0" collapsed="false">
      <c r="E1113" s="46"/>
      <c r="F1113" s="46"/>
      <c r="G1113" s="46"/>
    </row>
    <row r="1114" customFormat="false" ht="15" hidden="false" customHeight="false" outlineLevel="0" collapsed="false">
      <c r="E1114" s="46"/>
      <c r="F1114" s="46"/>
      <c r="G1114" s="46"/>
    </row>
    <row r="1115" customFormat="false" ht="15" hidden="false" customHeight="false" outlineLevel="0" collapsed="false">
      <c r="E1115" s="46"/>
      <c r="F1115" s="46"/>
      <c r="G1115" s="46"/>
    </row>
    <row r="1116" customFormat="false" ht="15" hidden="false" customHeight="false" outlineLevel="0" collapsed="false">
      <c r="E1116" s="46"/>
      <c r="F1116" s="46"/>
      <c r="G1116" s="46"/>
    </row>
    <row r="1117" customFormat="false" ht="15" hidden="false" customHeight="false" outlineLevel="0" collapsed="false">
      <c r="E1117" s="46"/>
      <c r="F1117" s="46"/>
      <c r="G1117" s="46"/>
    </row>
    <row r="1118" customFormat="false" ht="15" hidden="false" customHeight="false" outlineLevel="0" collapsed="false">
      <c r="E1118" s="46"/>
      <c r="F1118" s="46"/>
      <c r="G1118" s="46"/>
    </row>
    <row r="1119" customFormat="false" ht="15" hidden="false" customHeight="false" outlineLevel="0" collapsed="false">
      <c r="E1119" s="46"/>
      <c r="F1119" s="46"/>
      <c r="G1119" s="46"/>
    </row>
    <row r="1120" customFormat="false" ht="15" hidden="false" customHeight="false" outlineLevel="0" collapsed="false">
      <c r="E1120" s="46"/>
      <c r="F1120" s="46"/>
      <c r="G1120" s="46"/>
    </row>
    <row r="1121" customFormat="false" ht="15" hidden="false" customHeight="false" outlineLevel="0" collapsed="false">
      <c r="E1121" s="46"/>
      <c r="F1121" s="46"/>
      <c r="G1121" s="46"/>
    </row>
    <row r="1122" customFormat="false" ht="15" hidden="false" customHeight="false" outlineLevel="0" collapsed="false">
      <c r="E1122" s="46"/>
      <c r="F1122" s="46"/>
      <c r="G1122" s="46"/>
    </row>
    <row r="1123" customFormat="false" ht="15" hidden="false" customHeight="false" outlineLevel="0" collapsed="false">
      <c r="E1123" s="46"/>
      <c r="F1123" s="46"/>
      <c r="G1123" s="46"/>
    </row>
    <row r="1124" customFormat="false" ht="15" hidden="false" customHeight="false" outlineLevel="0" collapsed="false">
      <c r="E1124" s="46"/>
      <c r="F1124" s="46"/>
      <c r="G1124" s="46"/>
    </row>
    <row r="1125" customFormat="false" ht="15" hidden="false" customHeight="false" outlineLevel="0" collapsed="false">
      <c r="E1125" s="46"/>
      <c r="F1125" s="46"/>
      <c r="G1125" s="46"/>
    </row>
    <row r="1126" customFormat="false" ht="15" hidden="false" customHeight="false" outlineLevel="0" collapsed="false">
      <c r="E1126" s="46"/>
      <c r="F1126" s="46"/>
      <c r="G1126" s="46"/>
    </row>
    <row r="1127" customFormat="false" ht="15" hidden="false" customHeight="false" outlineLevel="0" collapsed="false">
      <c r="E1127" s="46"/>
      <c r="F1127" s="46"/>
      <c r="G1127" s="46"/>
    </row>
    <row r="1128" customFormat="false" ht="15" hidden="false" customHeight="false" outlineLevel="0" collapsed="false">
      <c r="E1128" s="46"/>
      <c r="F1128" s="46"/>
      <c r="G1128" s="46"/>
    </row>
    <row r="1129" customFormat="false" ht="15" hidden="false" customHeight="false" outlineLevel="0" collapsed="false">
      <c r="E1129" s="46"/>
      <c r="F1129" s="46"/>
      <c r="G1129" s="46"/>
    </row>
    <row r="1130" customFormat="false" ht="15" hidden="false" customHeight="false" outlineLevel="0" collapsed="false">
      <c r="E1130" s="46"/>
      <c r="F1130" s="46"/>
      <c r="G1130" s="46"/>
    </row>
    <row r="1131" customFormat="false" ht="15" hidden="false" customHeight="false" outlineLevel="0" collapsed="false">
      <c r="E1131" s="46"/>
      <c r="F1131" s="46"/>
      <c r="G1131" s="46"/>
    </row>
    <row r="1132" customFormat="false" ht="15" hidden="false" customHeight="false" outlineLevel="0" collapsed="false">
      <c r="E1132" s="46"/>
      <c r="F1132" s="46"/>
      <c r="G1132" s="46"/>
    </row>
    <row r="1133" customFormat="false" ht="15" hidden="false" customHeight="false" outlineLevel="0" collapsed="false">
      <c r="E1133" s="46"/>
      <c r="F1133" s="46"/>
      <c r="G1133" s="46"/>
    </row>
    <row r="1134" customFormat="false" ht="15" hidden="false" customHeight="false" outlineLevel="0" collapsed="false">
      <c r="E1134" s="46"/>
      <c r="F1134" s="46"/>
      <c r="G1134" s="46"/>
    </row>
    <row r="1135" customFormat="false" ht="15" hidden="false" customHeight="false" outlineLevel="0" collapsed="false">
      <c r="E1135" s="46"/>
      <c r="F1135" s="46"/>
      <c r="G1135" s="46"/>
    </row>
    <row r="1136" customFormat="false" ht="15" hidden="false" customHeight="false" outlineLevel="0" collapsed="false">
      <c r="E1136" s="46"/>
      <c r="F1136" s="46"/>
      <c r="G1136" s="46"/>
    </row>
    <row r="1137" customFormat="false" ht="15" hidden="false" customHeight="false" outlineLevel="0" collapsed="false">
      <c r="E1137" s="46"/>
      <c r="F1137" s="46"/>
      <c r="G1137" s="46"/>
    </row>
    <row r="1138" customFormat="false" ht="15" hidden="false" customHeight="false" outlineLevel="0" collapsed="false">
      <c r="E1138" s="46"/>
      <c r="F1138" s="46"/>
      <c r="G1138" s="46"/>
    </row>
    <row r="1139" customFormat="false" ht="15" hidden="false" customHeight="false" outlineLevel="0" collapsed="false">
      <c r="E1139" s="46"/>
      <c r="F1139" s="46"/>
      <c r="G1139" s="46"/>
    </row>
    <row r="1140" customFormat="false" ht="15" hidden="false" customHeight="false" outlineLevel="0" collapsed="false">
      <c r="E1140" s="46"/>
      <c r="F1140" s="46"/>
      <c r="G1140" s="46"/>
    </row>
    <row r="1141" customFormat="false" ht="15" hidden="false" customHeight="false" outlineLevel="0" collapsed="false">
      <c r="E1141" s="46"/>
      <c r="F1141" s="46"/>
      <c r="G1141" s="46"/>
    </row>
    <row r="1142" customFormat="false" ht="15" hidden="false" customHeight="false" outlineLevel="0" collapsed="false">
      <c r="E1142" s="46"/>
      <c r="F1142" s="46"/>
      <c r="G1142" s="46"/>
    </row>
    <row r="1143" customFormat="false" ht="15" hidden="false" customHeight="false" outlineLevel="0" collapsed="false">
      <c r="E1143" s="46"/>
      <c r="F1143" s="46"/>
      <c r="G1143" s="46"/>
    </row>
    <row r="1144" customFormat="false" ht="15" hidden="false" customHeight="false" outlineLevel="0" collapsed="false">
      <c r="E1144" s="46"/>
      <c r="F1144" s="46"/>
      <c r="G1144" s="46"/>
    </row>
    <row r="1145" customFormat="false" ht="15" hidden="false" customHeight="false" outlineLevel="0" collapsed="false">
      <c r="E1145" s="46"/>
      <c r="F1145" s="46"/>
      <c r="G1145" s="46"/>
    </row>
    <row r="1146" customFormat="false" ht="15" hidden="false" customHeight="false" outlineLevel="0" collapsed="false">
      <c r="E1146" s="46"/>
      <c r="F1146" s="46"/>
      <c r="G1146" s="46"/>
    </row>
    <row r="1147" customFormat="false" ht="15" hidden="false" customHeight="false" outlineLevel="0" collapsed="false">
      <c r="E1147" s="46"/>
      <c r="F1147" s="46"/>
      <c r="G1147" s="46"/>
    </row>
    <row r="1148" customFormat="false" ht="15" hidden="false" customHeight="false" outlineLevel="0" collapsed="false">
      <c r="E1148" s="46"/>
      <c r="F1148" s="46"/>
      <c r="G1148" s="46"/>
    </row>
    <row r="1149" customFormat="false" ht="15" hidden="false" customHeight="false" outlineLevel="0" collapsed="false">
      <c r="E1149" s="46"/>
      <c r="F1149" s="46"/>
      <c r="G1149" s="46"/>
    </row>
    <row r="1150" customFormat="false" ht="15" hidden="false" customHeight="false" outlineLevel="0" collapsed="false">
      <c r="E1150" s="46"/>
      <c r="F1150" s="46"/>
      <c r="G1150" s="46"/>
    </row>
    <row r="1151" customFormat="false" ht="15" hidden="false" customHeight="false" outlineLevel="0" collapsed="false">
      <c r="E1151" s="46"/>
      <c r="F1151" s="46"/>
      <c r="G1151" s="46"/>
    </row>
    <row r="1152" customFormat="false" ht="15" hidden="false" customHeight="false" outlineLevel="0" collapsed="false">
      <c r="E1152" s="46"/>
      <c r="F1152" s="46"/>
      <c r="G1152" s="46"/>
    </row>
    <row r="1153" customFormat="false" ht="15" hidden="false" customHeight="false" outlineLevel="0" collapsed="false">
      <c r="E1153" s="46"/>
      <c r="F1153" s="46"/>
      <c r="G1153" s="46"/>
    </row>
    <row r="1154" customFormat="false" ht="15" hidden="false" customHeight="false" outlineLevel="0" collapsed="false">
      <c r="E1154" s="46"/>
      <c r="F1154" s="46"/>
      <c r="G1154" s="46"/>
    </row>
    <row r="1155" customFormat="false" ht="15" hidden="false" customHeight="false" outlineLevel="0" collapsed="false">
      <c r="E1155" s="46"/>
      <c r="F1155" s="46"/>
      <c r="G1155" s="46"/>
    </row>
    <row r="1156" customFormat="false" ht="15" hidden="false" customHeight="false" outlineLevel="0" collapsed="false">
      <c r="E1156" s="46"/>
      <c r="F1156" s="46"/>
      <c r="G1156" s="46"/>
    </row>
    <row r="1157" customFormat="false" ht="15" hidden="false" customHeight="false" outlineLevel="0" collapsed="false">
      <c r="E1157" s="46"/>
      <c r="F1157" s="46"/>
      <c r="G1157" s="46"/>
    </row>
    <row r="1158" customFormat="false" ht="15" hidden="false" customHeight="false" outlineLevel="0" collapsed="false">
      <c r="E1158" s="46"/>
      <c r="F1158" s="46"/>
      <c r="G1158" s="46"/>
    </row>
    <row r="1159" customFormat="false" ht="15" hidden="false" customHeight="false" outlineLevel="0" collapsed="false">
      <c r="E1159" s="46"/>
      <c r="F1159" s="46"/>
      <c r="G1159" s="46"/>
    </row>
    <row r="1160" customFormat="false" ht="15" hidden="false" customHeight="false" outlineLevel="0" collapsed="false">
      <c r="E1160" s="46"/>
      <c r="F1160" s="46"/>
      <c r="G1160" s="46"/>
    </row>
    <row r="1161" customFormat="false" ht="15" hidden="false" customHeight="false" outlineLevel="0" collapsed="false">
      <c r="E1161" s="46"/>
      <c r="F1161" s="46"/>
      <c r="G1161" s="46"/>
    </row>
    <row r="1162" customFormat="false" ht="15" hidden="false" customHeight="false" outlineLevel="0" collapsed="false">
      <c r="E1162" s="46"/>
      <c r="F1162" s="46"/>
      <c r="G1162" s="46"/>
    </row>
    <row r="1163" customFormat="false" ht="15" hidden="false" customHeight="false" outlineLevel="0" collapsed="false">
      <c r="E1163" s="46"/>
      <c r="F1163" s="46"/>
      <c r="G1163" s="46"/>
    </row>
    <row r="1164" customFormat="false" ht="15" hidden="false" customHeight="false" outlineLevel="0" collapsed="false">
      <c r="E1164" s="46"/>
      <c r="F1164" s="46"/>
      <c r="G1164" s="46"/>
    </row>
    <row r="1165" customFormat="false" ht="15" hidden="false" customHeight="false" outlineLevel="0" collapsed="false">
      <c r="E1165" s="46"/>
      <c r="F1165" s="46"/>
      <c r="G1165" s="46"/>
    </row>
    <row r="1166" customFormat="false" ht="15" hidden="false" customHeight="false" outlineLevel="0" collapsed="false">
      <c r="E1166" s="46"/>
      <c r="F1166" s="46"/>
      <c r="G1166" s="46"/>
    </row>
    <row r="1167" customFormat="false" ht="15" hidden="false" customHeight="false" outlineLevel="0" collapsed="false">
      <c r="E1167" s="46"/>
      <c r="F1167" s="46"/>
      <c r="G1167" s="46"/>
    </row>
    <row r="1168" customFormat="false" ht="15" hidden="false" customHeight="false" outlineLevel="0" collapsed="false">
      <c r="E1168" s="46"/>
      <c r="F1168" s="46"/>
      <c r="G1168" s="46"/>
    </row>
    <row r="1169" customFormat="false" ht="15" hidden="false" customHeight="false" outlineLevel="0" collapsed="false">
      <c r="E1169" s="46"/>
      <c r="F1169" s="46"/>
      <c r="G1169" s="46"/>
    </row>
    <row r="1170" customFormat="false" ht="15" hidden="false" customHeight="false" outlineLevel="0" collapsed="false">
      <c r="E1170" s="46"/>
      <c r="F1170" s="46"/>
      <c r="G1170" s="46"/>
    </row>
    <row r="1171" customFormat="false" ht="15" hidden="false" customHeight="false" outlineLevel="0" collapsed="false">
      <c r="E1171" s="46"/>
      <c r="F1171" s="46"/>
      <c r="G1171" s="46"/>
    </row>
    <row r="1172" customFormat="false" ht="15" hidden="false" customHeight="false" outlineLevel="0" collapsed="false">
      <c r="E1172" s="46"/>
      <c r="F1172" s="46"/>
      <c r="G1172" s="46"/>
    </row>
    <row r="1173" customFormat="false" ht="15" hidden="false" customHeight="false" outlineLevel="0" collapsed="false">
      <c r="E1173" s="46"/>
      <c r="F1173" s="46"/>
      <c r="G1173" s="46"/>
    </row>
    <row r="1174" customFormat="false" ht="15" hidden="false" customHeight="false" outlineLevel="0" collapsed="false">
      <c r="E1174" s="46"/>
      <c r="F1174" s="46"/>
      <c r="G1174" s="46"/>
    </row>
    <row r="1175" customFormat="false" ht="15" hidden="false" customHeight="false" outlineLevel="0" collapsed="false">
      <c r="E1175" s="46"/>
      <c r="F1175" s="46"/>
      <c r="G1175" s="46"/>
    </row>
    <row r="1176" customFormat="false" ht="15" hidden="false" customHeight="false" outlineLevel="0" collapsed="false">
      <c r="E1176" s="46"/>
      <c r="F1176" s="46"/>
      <c r="G1176" s="46"/>
    </row>
    <row r="1177" customFormat="false" ht="15" hidden="false" customHeight="false" outlineLevel="0" collapsed="false">
      <c r="E1177" s="46"/>
      <c r="F1177" s="46"/>
      <c r="G1177" s="46"/>
    </row>
    <row r="1178" customFormat="false" ht="15" hidden="false" customHeight="false" outlineLevel="0" collapsed="false">
      <c r="E1178" s="46"/>
      <c r="F1178" s="46"/>
      <c r="G1178" s="46"/>
    </row>
    <row r="1179" customFormat="false" ht="15" hidden="false" customHeight="false" outlineLevel="0" collapsed="false">
      <c r="E1179" s="46"/>
      <c r="F1179" s="46"/>
      <c r="G1179" s="46"/>
    </row>
    <row r="1180" customFormat="false" ht="15" hidden="false" customHeight="false" outlineLevel="0" collapsed="false">
      <c r="E1180" s="46"/>
      <c r="F1180" s="46"/>
      <c r="G1180" s="46"/>
    </row>
    <row r="1181" customFormat="false" ht="15" hidden="false" customHeight="false" outlineLevel="0" collapsed="false">
      <c r="E1181" s="46"/>
      <c r="F1181" s="46"/>
      <c r="G1181" s="46"/>
    </row>
    <row r="1182" customFormat="false" ht="15" hidden="false" customHeight="false" outlineLevel="0" collapsed="false">
      <c r="E1182" s="46"/>
      <c r="F1182" s="46"/>
      <c r="G1182" s="46"/>
    </row>
    <row r="1183" customFormat="false" ht="15" hidden="false" customHeight="false" outlineLevel="0" collapsed="false">
      <c r="E1183" s="46"/>
      <c r="F1183" s="46"/>
      <c r="G1183" s="46"/>
    </row>
    <row r="1184" customFormat="false" ht="15" hidden="false" customHeight="false" outlineLevel="0" collapsed="false">
      <c r="E1184" s="46"/>
      <c r="F1184" s="46"/>
      <c r="G1184" s="46"/>
    </row>
    <row r="1185" customFormat="false" ht="15" hidden="false" customHeight="false" outlineLevel="0" collapsed="false">
      <c r="E1185" s="46"/>
      <c r="F1185" s="46"/>
      <c r="G1185" s="46"/>
    </row>
    <row r="1186" customFormat="false" ht="15" hidden="false" customHeight="false" outlineLevel="0" collapsed="false">
      <c r="E1186" s="46"/>
      <c r="F1186" s="46"/>
      <c r="G1186" s="46"/>
    </row>
    <row r="1187" customFormat="false" ht="15" hidden="false" customHeight="false" outlineLevel="0" collapsed="false">
      <c r="E1187" s="46"/>
      <c r="F1187" s="46"/>
      <c r="G1187" s="46"/>
    </row>
    <row r="1188" customFormat="false" ht="15" hidden="false" customHeight="false" outlineLevel="0" collapsed="false">
      <c r="E1188" s="46"/>
      <c r="F1188" s="46"/>
      <c r="G1188" s="46"/>
    </row>
    <row r="1189" customFormat="false" ht="15" hidden="false" customHeight="false" outlineLevel="0" collapsed="false">
      <c r="E1189" s="46"/>
      <c r="F1189" s="46"/>
      <c r="G1189" s="46"/>
    </row>
    <row r="1190" customFormat="false" ht="15" hidden="false" customHeight="false" outlineLevel="0" collapsed="false">
      <c r="E1190" s="46"/>
      <c r="F1190" s="46"/>
      <c r="G1190" s="46"/>
    </row>
    <row r="1191" customFormat="false" ht="15" hidden="false" customHeight="false" outlineLevel="0" collapsed="false">
      <c r="E1191" s="46"/>
      <c r="F1191" s="46"/>
      <c r="G1191" s="46"/>
    </row>
    <row r="1192" customFormat="false" ht="15" hidden="false" customHeight="false" outlineLevel="0" collapsed="false">
      <c r="E1192" s="46"/>
      <c r="F1192" s="46"/>
      <c r="G1192" s="46"/>
    </row>
    <row r="1193" customFormat="false" ht="15" hidden="false" customHeight="false" outlineLevel="0" collapsed="false">
      <c r="E1193" s="46"/>
      <c r="F1193" s="46"/>
      <c r="G1193" s="46"/>
    </row>
    <row r="1194" customFormat="false" ht="15" hidden="false" customHeight="false" outlineLevel="0" collapsed="false">
      <c r="E1194" s="46"/>
      <c r="F1194" s="46"/>
      <c r="G1194" s="46"/>
    </row>
    <row r="1195" customFormat="false" ht="15" hidden="false" customHeight="false" outlineLevel="0" collapsed="false">
      <c r="E1195" s="46"/>
      <c r="F1195" s="46"/>
      <c r="G1195" s="46"/>
    </row>
    <row r="1196" customFormat="false" ht="15" hidden="false" customHeight="false" outlineLevel="0" collapsed="false">
      <c r="E1196" s="46"/>
      <c r="F1196" s="46"/>
      <c r="G1196" s="46"/>
    </row>
    <row r="1197" customFormat="false" ht="15" hidden="false" customHeight="false" outlineLevel="0" collapsed="false">
      <c r="E1197" s="46"/>
      <c r="F1197" s="46"/>
      <c r="G1197" s="46"/>
    </row>
    <row r="1198" customFormat="false" ht="15" hidden="false" customHeight="false" outlineLevel="0" collapsed="false">
      <c r="E1198" s="46"/>
      <c r="F1198" s="46"/>
      <c r="G1198" s="46"/>
    </row>
    <row r="1199" customFormat="false" ht="15" hidden="false" customHeight="false" outlineLevel="0" collapsed="false">
      <c r="E1199" s="46"/>
      <c r="F1199" s="46"/>
      <c r="G1199" s="46"/>
    </row>
    <row r="1200" customFormat="false" ht="15" hidden="false" customHeight="false" outlineLevel="0" collapsed="false">
      <c r="E1200" s="46"/>
      <c r="F1200" s="46"/>
      <c r="G1200" s="46"/>
    </row>
    <row r="1201" customFormat="false" ht="15" hidden="false" customHeight="false" outlineLevel="0" collapsed="false">
      <c r="E1201" s="46"/>
      <c r="F1201" s="46"/>
      <c r="G1201" s="46"/>
    </row>
    <row r="1202" customFormat="false" ht="15" hidden="false" customHeight="false" outlineLevel="0" collapsed="false">
      <c r="E1202" s="46"/>
      <c r="F1202" s="46"/>
      <c r="G1202" s="46"/>
    </row>
    <row r="1203" customFormat="false" ht="15" hidden="false" customHeight="false" outlineLevel="0" collapsed="false">
      <c r="E1203" s="46"/>
      <c r="F1203" s="46"/>
      <c r="G1203" s="46"/>
    </row>
    <row r="1204" customFormat="false" ht="15" hidden="false" customHeight="false" outlineLevel="0" collapsed="false">
      <c r="E1204" s="46"/>
      <c r="F1204" s="46"/>
      <c r="G1204" s="46"/>
    </row>
    <row r="1205" customFormat="false" ht="15" hidden="false" customHeight="false" outlineLevel="0" collapsed="false">
      <c r="E1205" s="46"/>
      <c r="F1205" s="46"/>
      <c r="G1205" s="46"/>
    </row>
    <row r="1206" customFormat="false" ht="15" hidden="false" customHeight="false" outlineLevel="0" collapsed="false">
      <c r="E1206" s="46"/>
      <c r="F1206" s="46"/>
      <c r="G1206" s="46"/>
    </row>
    <row r="1207" customFormat="false" ht="15" hidden="false" customHeight="false" outlineLevel="0" collapsed="false">
      <c r="E1207" s="46"/>
      <c r="F1207" s="46"/>
      <c r="G1207" s="46"/>
    </row>
    <row r="1208" customFormat="false" ht="15" hidden="false" customHeight="false" outlineLevel="0" collapsed="false">
      <c r="E1208" s="46"/>
      <c r="F1208" s="46"/>
      <c r="G1208" s="46"/>
    </row>
    <row r="1209" customFormat="false" ht="15" hidden="false" customHeight="false" outlineLevel="0" collapsed="false">
      <c r="E1209" s="46"/>
      <c r="F1209" s="46"/>
      <c r="G1209" s="46"/>
    </row>
    <row r="1210" customFormat="false" ht="15" hidden="false" customHeight="false" outlineLevel="0" collapsed="false">
      <c r="E1210" s="46"/>
      <c r="F1210" s="46"/>
      <c r="G1210" s="46"/>
    </row>
    <row r="1211" customFormat="false" ht="15" hidden="false" customHeight="false" outlineLevel="0" collapsed="false">
      <c r="E1211" s="46"/>
      <c r="F1211" s="46"/>
      <c r="G1211" s="46"/>
    </row>
    <row r="1212" customFormat="false" ht="15" hidden="false" customHeight="false" outlineLevel="0" collapsed="false">
      <c r="E1212" s="46"/>
      <c r="F1212" s="46"/>
      <c r="G1212" s="46"/>
    </row>
    <row r="1213" customFormat="false" ht="15" hidden="false" customHeight="false" outlineLevel="0" collapsed="false">
      <c r="E1213" s="46"/>
      <c r="F1213" s="46"/>
      <c r="G1213" s="46"/>
    </row>
    <row r="1214" customFormat="false" ht="15" hidden="false" customHeight="false" outlineLevel="0" collapsed="false">
      <c r="E1214" s="46"/>
      <c r="F1214" s="46"/>
      <c r="G1214" s="46"/>
    </row>
    <row r="1215" customFormat="false" ht="15" hidden="false" customHeight="false" outlineLevel="0" collapsed="false">
      <c r="E1215" s="46"/>
      <c r="F1215" s="46"/>
      <c r="G1215" s="46"/>
    </row>
    <row r="1216" customFormat="false" ht="15" hidden="false" customHeight="false" outlineLevel="0" collapsed="false">
      <c r="E1216" s="46"/>
      <c r="F1216" s="46"/>
      <c r="G1216" s="46"/>
    </row>
    <row r="1217" customFormat="false" ht="15" hidden="false" customHeight="false" outlineLevel="0" collapsed="false">
      <c r="E1217" s="46"/>
      <c r="F1217" s="46"/>
      <c r="G1217" s="46"/>
    </row>
    <row r="1218" customFormat="false" ht="15" hidden="false" customHeight="false" outlineLevel="0" collapsed="false">
      <c r="E1218" s="46"/>
      <c r="F1218" s="46"/>
      <c r="G1218" s="46"/>
    </row>
    <row r="1219" customFormat="false" ht="15" hidden="false" customHeight="false" outlineLevel="0" collapsed="false">
      <c r="E1219" s="46"/>
      <c r="F1219" s="46"/>
      <c r="G1219" s="46"/>
    </row>
    <row r="1220" customFormat="false" ht="15" hidden="false" customHeight="false" outlineLevel="0" collapsed="false">
      <c r="E1220" s="46"/>
      <c r="F1220" s="46"/>
      <c r="G1220" s="46"/>
    </row>
    <row r="1221" customFormat="false" ht="15" hidden="false" customHeight="false" outlineLevel="0" collapsed="false">
      <c r="E1221" s="46"/>
      <c r="F1221" s="46"/>
      <c r="G1221" s="46"/>
    </row>
    <row r="1222" customFormat="false" ht="15" hidden="false" customHeight="false" outlineLevel="0" collapsed="false">
      <c r="E1222" s="46"/>
      <c r="F1222" s="46"/>
      <c r="G1222" s="46"/>
    </row>
    <row r="1223" customFormat="false" ht="15" hidden="false" customHeight="false" outlineLevel="0" collapsed="false">
      <c r="E1223" s="46"/>
      <c r="F1223" s="46"/>
      <c r="G1223" s="46"/>
    </row>
    <row r="1224" customFormat="false" ht="15" hidden="false" customHeight="false" outlineLevel="0" collapsed="false">
      <c r="E1224" s="46"/>
      <c r="F1224" s="46"/>
      <c r="G1224" s="46"/>
    </row>
    <row r="1225" customFormat="false" ht="15" hidden="false" customHeight="false" outlineLevel="0" collapsed="false">
      <c r="E1225" s="46"/>
      <c r="F1225" s="46"/>
      <c r="G1225" s="46"/>
    </row>
    <row r="1226" customFormat="false" ht="15" hidden="false" customHeight="false" outlineLevel="0" collapsed="false">
      <c r="E1226" s="46"/>
      <c r="F1226" s="46"/>
      <c r="G1226" s="46"/>
    </row>
    <row r="1227" customFormat="false" ht="15" hidden="false" customHeight="false" outlineLevel="0" collapsed="false">
      <c r="E1227" s="46"/>
      <c r="F1227" s="46"/>
      <c r="G1227" s="46"/>
    </row>
    <row r="1228" customFormat="false" ht="15" hidden="false" customHeight="false" outlineLevel="0" collapsed="false">
      <c r="E1228" s="46"/>
      <c r="F1228" s="46"/>
      <c r="G1228" s="46"/>
    </row>
    <row r="1229" customFormat="false" ht="15" hidden="false" customHeight="false" outlineLevel="0" collapsed="false">
      <c r="E1229" s="46"/>
      <c r="F1229" s="46"/>
      <c r="G1229" s="46"/>
    </row>
    <row r="1230" customFormat="false" ht="15" hidden="false" customHeight="false" outlineLevel="0" collapsed="false">
      <c r="E1230" s="46"/>
      <c r="F1230" s="46"/>
      <c r="G1230" s="46"/>
    </row>
    <row r="1231" customFormat="false" ht="15" hidden="false" customHeight="false" outlineLevel="0" collapsed="false">
      <c r="E1231" s="46"/>
      <c r="F1231" s="46"/>
      <c r="G1231" s="46"/>
    </row>
    <row r="1232" customFormat="false" ht="15" hidden="false" customHeight="false" outlineLevel="0" collapsed="false">
      <c r="E1232" s="46"/>
      <c r="F1232" s="46"/>
      <c r="G1232" s="46"/>
    </row>
    <row r="1233" customFormat="false" ht="15" hidden="false" customHeight="false" outlineLevel="0" collapsed="false">
      <c r="E1233" s="46"/>
      <c r="F1233" s="46"/>
      <c r="G1233" s="46"/>
    </row>
    <row r="1234" customFormat="false" ht="15" hidden="false" customHeight="false" outlineLevel="0" collapsed="false">
      <c r="E1234" s="46"/>
      <c r="F1234" s="46"/>
      <c r="G1234" s="46"/>
    </row>
    <row r="1235" customFormat="false" ht="15" hidden="false" customHeight="false" outlineLevel="0" collapsed="false">
      <c r="E1235" s="46"/>
      <c r="F1235" s="46"/>
      <c r="G1235" s="46"/>
    </row>
    <row r="1236" customFormat="false" ht="15" hidden="false" customHeight="false" outlineLevel="0" collapsed="false">
      <c r="E1236" s="46"/>
      <c r="F1236" s="46"/>
      <c r="G1236" s="46"/>
    </row>
    <row r="1237" customFormat="false" ht="15" hidden="false" customHeight="false" outlineLevel="0" collapsed="false">
      <c r="E1237" s="46"/>
      <c r="F1237" s="46"/>
      <c r="G1237" s="46"/>
    </row>
    <row r="1238" customFormat="false" ht="15" hidden="false" customHeight="false" outlineLevel="0" collapsed="false">
      <c r="E1238" s="46"/>
      <c r="F1238" s="46"/>
      <c r="G1238" s="46"/>
    </row>
    <row r="1239" customFormat="false" ht="15" hidden="false" customHeight="false" outlineLevel="0" collapsed="false">
      <c r="E1239" s="46"/>
      <c r="F1239" s="46"/>
      <c r="G1239" s="46"/>
    </row>
    <row r="1240" customFormat="false" ht="15" hidden="false" customHeight="false" outlineLevel="0" collapsed="false">
      <c r="E1240" s="46"/>
      <c r="F1240" s="46"/>
      <c r="G1240" s="46"/>
    </row>
    <row r="1241" customFormat="false" ht="15" hidden="false" customHeight="false" outlineLevel="0" collapsed="false">
      <c r="E1241" s="46"/>
      <c r="F1241" s="46"/>
      <c r="G1241" s="46"/>
    </row>
    <row r="1242" customFormat="false" ht="15" hidden="false" customHeight="false" outlineLevel="0" collapsed="false">
      <c r="E1242" s="46"/>
      <c r="F1242" s="46"/>
      <c r="G1242" s="46"/>
    </row>
    <row r="1243" customFormat="false" ht="15" hidden="false" customHeight="false" outlineLevel="0" collapsed="false">
      <c r="E1243" s="46"/>
      <c r="F1243" s="46"/>
      <c r="G1243" s="46"/>
    </row>
    <row r="1244" customFormat="false" ht="15" hidden="false" customHeight="false" outlineLevel="0" collapsed="false">
      <c r="E1244" s="46"/>
      <c r="F1244" s="46"/>
      <c r="G1244" s="46"/>
    </row>
    <row r="1245" customFormat="false" ht="15" hidden="false" customHeight="false" outlineLevel="0" collapsed="false">
      <c r="E1245" s="46"/>
      <c r="F1245" s="46"/>
      <c r="G1245" s="46"/>
    </row>
    <row r="1246" customFormat="false" ht="15" hidden="false" customHeight="false" outlineLevel="0" collapsed="false">
      <c r="E1246" s="46"/>
      <c r="F1246" s="46"/>
      <c r="G1246" s="46"/>
    </row>
    <row r="1247" customFormat="false" ht="15" hidden="false" customHeight="false" outlineLevel="0" collapsed="false">
      <c r="E1247" s="46"/>
      <c r="F1247" s="46"/>
      <c r="G1247" s="46"/>
    </row>
    <row r="1248" customFormat="false" ht="15" hidden="false" customHeight="false" outlineLevel="0" collapsed="false">
      <c r="E1248" s="46"/>
      <c r="F1248" s="46"/>
      <c r="G1248" s="46"/>
    </row>
    <row r="1249" customFormat="false" ht="15" hidden="false" customHeight="false" outlineLevel="0" collapsed="false">
      <c r="E1249" s="46"/>
      <c r="F1249" s="46"/>
      <c r="G1249" s="46"/>
    </row>
    <row r="1250" customFormat="false" ht="15" hidden="false" customHeight="false" outlineLevel="0" collapsed="false">
      <c r="E1250" s="46"/>
      <c r="F1250" s="46"/>
      <c r="G1250" s="46"/>
    </row>
    <row r="1251" customFormat="false" ht="15" hidden="false" customHeight="false" outlineLevel="0" collapsed="false">
      <c r="E1251" s="46"/>
      <c r="F1251" s="46"/>
      <c r="G1251" s="46"/>
    </row>
    <row r="1252" customFormat="false" ht="15" hidden="false" customHeight="false" outlineLevel="0" collapsed="false">
      <c r="E1252" s="46"/>
      <c r="F1252" s="46"/>
      <c r="G1252" s="46"/>
    </row>
    <row r="1253" customFormat="false" ht="15" hidden="false" customHeight="false" outlineLevel="0" collapsed="false">
      <c r="E1253" s="46"/>
      <c r="F1253" s="46"/>
      <c r="G1253" s="46"/>
    </row>
    <row r="1254" customFormat="false" ht="15" hidden="false" customHeight="false" outlineLevel="0" collapsed="false">
      <c r="E1254" s="46"/>
      <c r="F1254" s="46"/>
      <c r="G1254" s="46"/>
    </row>
    <row r="1255" customFormat="false" ht="15" hidden="false" customHeight="false" outlineLevel="0" collapsed="false">
      <c r="E1255" s="46"/>
      <c r="F1255" s="46"/>
      <c r="G1255" s="46"/>
    </row>
    <row r="1256" customFormat="false" ht="15" hidden="false" customHeight="false" outlineLevel="0" collapsed="false">
      <c r="E1256" s="46"/>
      <c r="F1256" s="46"/>
      <c r="G1256" s="46"/>
    </row>
    <row r="1257" customFormat="false" ht="15" hidden="false" customHeight="false" outlineLevel="0" collapsed="false">
      <c r="E1257" s="46"/>
      <c r="F1257" s="46"/>
      <c r="G1257" s="46"/>
    </row>
    <row r="1258" customFormat="false" ht="15" hidden="false" customHeight="false" outlineLevel="0" collapsed="false">
      <c r="E1258" s="46"/>
      <c r="F1258" s="46"/>
      <c r="G1258" s="46"/>
    </row>
    <row r="1259" customFormat="false" ht="15" hidden="false" customHeight="false" outlineLevel="0" collapsed="false">
      <c r="E1259" s="46"/>
      <c r="F1259" s="46"/>
      <c r="G1259" s="46"/>
    </row>
    <row r="1260" customFormat="false" ht="15" hidden="false" customHeight="false" outlineLevel="0" collapsed="false">
      <c r="E1260" s="46"/>
      <c r="F1260" s="46"/>
      <c r="G1260" s="46"/>
    </row>
    <row r="1261" customFormat="false" ht="15" hidden="false" customHeight="false" outlineLevel="0" collapsed="false">
      <c r="E1261" s="46"/>
      <c r="F1261" s="46"/>
      <c r="G1261" s="46"/>
    </row>
    <row r="1262" customFormat="false" ht="15" hidden="false" customHeight="false" outlineLevel="0" collapsed="false">
      <c r="E1262" s="46"/>
      <c r="F1262" s="46"/>
      <c r="G1262" s="46"/>
    </row>
    <row r="1263" customFormat="false" ht="15" hidden="false" customHeight="false" outlineLevel="0" collapsed="false">
      <c r="E1263" s="46"/>
      <c r="F1263" s="46"/>
      <c r="G1263" s="46"/>
    </row>
    <row r="1264" customFormat="false" ht="15" hidden="false" customHeight="false" outlineLevel="0" collapsed="false">
      <c r="E1264" s="46"/>
      <c r="F1264" s="46"/>
      <c r="G1264" s="46"/>
    </row>
    <row r="1265" customFormat="false" ht="15" hidden="false" customHeight="false" outlineLevel="0" collapsed="false">
      <c r="E1265" s="46"/>
      <c r="F1265" s="46"/>
      <c r="G1265" s="46"/>
    </row>
    <row r="1266" customFormat="false" ht="15" hidden="false" customHeight="false" outlineLevel="0" collapsed="false">
      <c r="E1266" s="46"/>
      <c r="F1266" s="46"/>
      <c r="G1266" s="46"/>
    </row>
    <row r="1267" customFormat="false" ht="15" hidden="false" customHeight="false" outlineLevel="0" collapsed="false">
      <c r="E1267" s="46"/>
      <c r="F1267" s="46"/>
      <c r="G1267" s="46"/>
    </row>
    <row r="1268" customFormat="false" ht="15" hidden="false" customHeight="false" outlineLevel="0" collapsed="false">
      <c r="E1268" s="46"/>
      <c r="F1268" s="46"/>
      <c r="G1268" s="46"/>
    </row>
    <row r="1269" customFormat="false" ht="15" hidden="false" customHeight="false" outlineLevel="0" collapsed="false">
      <c r="E1269" s="46"/>
      <c r="F1269" s="46"/>
      <c r="G1269" s="46"/>
    </row>
    <row r="1270" customFormat="false" ht="15" hidden="false" customHeight="false" outlineLevel="0" collapsed="false">
      <c r="E1270" s="46"/>
      <c r="F1270" s="46"/>
      <c r="G1270" s="46"/>
    </row>
    <row r="1271" customFormat="false" ht="15" hidden="false" customHeight="false" outlineLevel="0" collapsed="false">
      <c r="E1271" s="46"/>
      <c r="F1271" s="46"/>
      <c r="G1271" s="46"/>
    </row>
    <row r="1272" customFormat="false" ht="15" hidden="false" customHeight="false" outlineLevel="0" collapsed="false">
      <c r="E1272" s="46"/>
      <c r="F1272" s="46"/>
      <c r="G1272" s="46"/>
    </row>
    <row r="1273" customFormat="false" ht="15" hidden="false" customHeight="false" outlineLevel="0" collapsed="false">
      <c r="E1273" s="46"/>
      <c r="F1273" s="46"/>
      <c r="G1273" s="46"/>
    </row>
    <row r="1274" customFormat="false" ht="15" hidden="false" customHeight="false" outlineLevel="0" collapsed="false">
      <c r="E1274" s="46"/>
      <c r="F1274" s="46"/>
      <c r="G1274" s="46"/>
    </row>
    <row r="1275" customFormat="false" ht="15" hidden="false" customHeight="false" outlineLevel="0" collapsed="false">
      <c r="E1275" s="46"/>
      <c r="F1275" s="46"/>
      <c r="G1275" s="46"/>
    </row>
    <row r="1276" customFormat="false" ht="15" hidden="false" customHeight="false" outlineLevel="0" collapsed="false">
      <c r="E1276" s="46"/>
      <c r="F1276" s="46"/>
      <c r="G1276" s="46"/>
    </row>
    <row r="1277" customFormat="false" ht="15" hidden="false" customHeight="false" outlineLevel="0" collapsed="false">
      <c r="E1277" s="46"/>
      <c r="F1277" s="46"/>
      <c r="G1277" s="46"/>
    </row>
    <row r="1278" customFormat="false" ht="15" hidden="false" customHeight="false" outlineLevel="0" collapsed="false">
      <c r="E1278" s="46"/>
      <c r="F1278" s="46"/>
      <c r="G1278" s="46"/>
    </row>
    <row r="1279" customFormat="false" ht="15" hidden="false" customHeight="false" outlineLevel="0" collapsed="false">
      <c r="E1279" s="46"/>
      <c r="F1279" s="46"/>
      <c r="G1279" s="46"/>
    </row>
    <row r="1280" customFormat="false" ht="15" hidden="false" customHeight="false" outlineLevel="0" collapsed="false">
      <c r="E1280" s="46"/>
      <c r="F1280" s="46"/>
      <c r="G1280" s="46"/>
    </row>
    <row r="1281" customFormat="false" ht="15" hidden="false" customHeight="false" outlineLevel="0" collapsed="false">
      <c r="E1281" s="46"/>
      <c r="F1281" s="46"/>
      <c r="G1281" s="46"/>
    </row>
    <row r="1282" customFormat="false" ht="15" hidden="false" customHeight="false" outlineLevel="0" collapsed="false">
      <c r="E1282" s="46"/>
      <c r="F1282" s="46"/>
      <c r="G1282" s="46"/>
    </row>
    <row r="1283" customFormat="false" ht="15" hidden="false" customHeight="false" outlineLevel="0" collapsed="false">
      <c r="E1283" s="46"/>
      <c r="F1283" s="46"/>
      <c r="G1283" s="46"/>
    </row>
    <row r="1284" customFormat="false" ht="15" hidden="false" customHeight="false" outlineLevel="0" collapsed="false">
      <c r="E1284" s="46"/>
      <c r="F1284" s="46"/>
      <c r="G1284" s="46"/>
    </row>
    <row r="1285" customFormat="false" ht="15" hidden="false" customHeight="false" outlineLevel="0" collapsed="false">
      <c r="E1285" s="46"/>
      <c r="F1285" s="46"/>
      <c r="G1285" s="46"/>
    </row>
    <row r="1286" customFormat="false" ht="15" hidden="false" customHeight="false" outlineLevel="0" collapsed="false">
      <c r="E1286" s="46"/>
      <c r="F1286" s="46"/>
      <c r="G1286" s="46"/>
    </row>
    <row r="1287" customFormat="false" ht="15" hidden="false" customHeight="false" outlineLevel="0" collapsed="false">
      <c r="E1287" s="46"/>
      <c r="F1287" s="46"/>
      <c r="G1287" s="46"/>
    </row>
    <row r="1288" customFormat="false" ht="15" hidden="false" customHeight="false" outlineLevel="0" collapsed="false">
      <c r="E1288" s="46"/>
      <c r="F1288" s="46"/>
      <c r="G1288" s="46"/>
    </row>
    <row r="1289" customFormat="false" ht="15" hidden="false" customHeight="false" outlineLevel="0" collapsed="false">
      <c r="E1289" s="46"/>
      <c r="F1289" s="46"/>
      <c r="G1289" s="46"/>
    </row>
    <row r="1290" customFormat="false" ht="15" hidden="false" customHeight="false" outlineLevel="0" collapsed="false">
      <c r="E1290" s="46"/>
      <c r="F1290" s="46"/>
      <c r="G1290" s="46"/>
    </row>
    <row r="1291" customFormat="false" ht="15" hidden="false" customHeight="false" outlineLevel="0" collapsed="false">
      <c r="E1291" s="46"/>
      <c r="F1291" s="46"/>
      <c r="G1291" s="46"/>
    </row>
    <row r="1292" customFormat="false" ht="15" hidden="false" customHeight="false" outlineLevel="0" collapsed="false">
      <c r="E1292" s="46"/>
      <c r="F1292" s="46"/>
      <c r="G1292" s="46"/>
    </row>
    <row r="1293" customFormat="false" ht="15" hidden="false" customHeight="false" outlineLevel="0" collapsed="false">
      <c r="E1293" s="46"/>
      <c r="F1293" s="46"/>
      <c r="G1293" s="46"/>
    </row>
    <row r="1294" customFormat="false" ht="15" hidden="false" customHeight="false" outlineLevel="0" collapsed="false">
      <c r="E1294" s="46"/>
      <c r="F1294" s="46"/>
      <c r="G1294" s="46"/>
    </row>
    <row r="1295" customFormat="false" ht="15" hidden="false" customHeight="false" outlineLevel="0" collapsed="false">
      <c r="E1295" s="46"/>
      <c r="F1295" s="46"/>
      <c r="G1295" s="46"/>
    </row>
    <row r="1296" customFormat="false" ht="15" hidden="false" customHeight="false" outlineLevel="0" collapsed="false">
      <c r="E1296" s="46"/>
      <c r="F1296" s="46"/>
      <c r="G1296" s="46"/>
    </row>
    <row r="1297" customFormat="false" ht="15" hidden="false" customHeight="false" outlineLevel="0" collapsed="false">
      <c r="E1297" s="46"/>
      <c r="F1297" s="46"/>
      <c r="G1297" s="46"/>
    </row>
    <row r="1298" customFormat="false" ht="15" hidden="false" customHeight="false" outlineLevel="0" collapsed="false">
      <c r="E1298" s="46"/>
      <c r="F1298" s="46"/>
      <c r="G1298" s="46"/>
    </row>
    <row r="1299" customFormat="false" ht="15" hidden="false" customHeight="false" outlineLevel="0" collapsed="false">
      <c r="E1299" s="46"/>
      <c r="F1299" s="46"/>
      <c r="G1299" s="46"/>
    </row>
    <row r="1300" customFormat="false" ht="15" hidden="false" customHeight="false" outlineLevel="0" collapsed="false">
      <c r="E1300" s="46"/>
      <c r="F1300" s="46"/>
      <c r="G1300" s="46"/>
    </row>
    <row r="1301" customFormat="false" ht="15" hidden="false" customHeight="false" outlineLevel="0" collapsed="false">
      <c r="E1301" s="46"/>
      <c r="F1301" s="46"/>
      <c r="G1301" s="46"/>
    </row>
    <row r="1302" customFormat="false" ht="15" hidden="false" customHeight="false" outlineLevel="0" collapsed="false">
      <c r="E1302" s="46"/>
      <c r="F1302" s="46"/>
      <c r="G1302" s="46"/>
    </row>
    <row r="1303" customFormat="false" ht="15" hidden="false" customHeight="false" outlineLevel="0" collapsed="false">
      <c r="E1303" s="46"/>
      <c r="F1303" s="46"/>
      <c r="G1303" s="46"/>
    </row>
    <row r="1304" customFormat="false" ht="15" hidden="false" customHeight="false" outlineLevel="0" collapsed="false">
      <c r="E1304" s="46"/>
      <c r="F1304" s="46"/>
      <c r="G1304" s="46"/>
    </row>
    <row r="1305" customFormat="false" ht="15" hidden="false" customHeight="false" outlineLevel="0" collapsed="false">
      <c r="E1305" s="46"/>
      <c r="F1305" s="46"/>
      <c r="G1305" s="46"/>
    </row>
    <row r="1306" customFormat="false" ht="15" hidden="false" customHeight="false" outlineLevel="0" collapsed="false">
      <c r="E1306" s="46"/>
      <c r="F1306" s="46"/>
      <c r="G1306" s="46"/>
    </row>
    <row r="1307" customFormat="false" ht="15" hidden="false" customHeight="false" outlineLevel="0" collapsed="false">
      <c r="E1307" s="46"/>
      <c r="F1307" s="46"/>
      <c r="G1307" s="46"/>
    </row>
    <row r="1308" customFormat="false" ht="15" hidden="false" customHeight="false" outlineLevel="0" collapsed="false">
      <c r="E1308" s="46"/>
      <c r="F1308" s="46"/>
      <c r="G1308" s="46"/>
    </row>
    <row r="1309" customFormat="false" ht="15" hidden="false" customHeight="false" outlineLevel="0" collapsed="false">
      <c r="E1309" s="46"/>
      <c r="F1309" s="46"/>
      <c r="G1309" s="46"/>
    </row>
    <row r="1310" customFormat="false" ht="15" hidden="false" customHeight="false" outlineLevel="0" collapsed="false">
      <c r="E1310" s="46"/>
      <c r="F1310" s="46"/>
      <c r="G1310" s="46"/>
    </row>
    <row r="1311" customFormat="false" ht="15" hidden="false" customHeight="false" outlineLevel="0" collapsed="false">
      <c r="E1311" s="46"/>
      <c r="F1311" s="46"/>
      <c r="G1311" s="46"/>
    </row>
    <row r="1312" customFormat="false" ht="15" hidden="false" customHeight="false" outlineLevel="0" collapsed="false">
      <c r="E1312" s="46"/>
      <c r="F1312" s="46"/>
      <c r="G1312" s="46"/>
    </row>
    <row r="1313" customFormat="false" ht="15" hidden="false" customHeight="false" outlineLevel="0" collapsed="false">
      <c r="E1313" s="46"/>
      <c r="F1313" s="46"/>
      <c r="G1313" s="46"/>
    </row>
    <row r="1314" customFormat="false" ht="15" hidden="false" customHeight="false" outlineLevel="0" collapsed="false">
      <c r="E1314" s="46"/>
      <c r="F1314" s="46"/>
      <c r="G1314" s="46"/>
    </row>
    <row r="1315" customFormat="false" ht="15" hidden="false" customHeight="false" outlineLevel="0" collapsed="false">
      <c r="E1315" s="46"/>
      <c r="F1315" s="46"/>
      <c r="G1315" s="46"/>
    </row>
    <row r="1316" customFormat="false" ht="15" hidden="false" customHeight="false" outlineLevel="0" collapsed="false">
      <c r="E1316" s="46"/>
      <c r="F1316" s="46"/>
      <c r="G1316" s="46"/>
    </row>
    <row r="1317" customFormat="false" ht="15" hidden="false" customHeight="false" outlineLevel="0" collapsed="false">
      <c r="E1317" s="46"/>
      <c r="F1317" s="46"/>
      <c r="G1317" s="46"/>
    </row>
    <row r="1318" customFormat="false" ht="15" hidden="false" customHeight="false" outlineLevel="0" collapsed="false">
      <c r="E1318" s="46"/>
      <c r="F1318" s="46"/>
      <c r="G1318" s="46"/>
    </row>
    <row r="1319" customFormat="false" ht="15" hidden="false" customHeight="false" outlineLevel="0" collapsed="false">
      <c r="E1319" s="46"/>
      <c r="F1319" s="46"/>
      <c r="G1319" s="46"/>
    </row>
    <row r="1320" customFormat="false" ht="15" hidden="false" customHeight="false" outlineLevel="0" collapsed="false">
      <c r="E1320" s="46"/>
      <c r="F1320" s="46"/>
      <c r="G1320" s="46"/>
    </row>
    <row r="1321" customFormat="false" ht="15" hidden="false" customHeight="false" outlineLevel="0" collapsed="false">
      <c r="E1321" s="46"/>
      <c r="F1321" s="46"/>
      <c r="G1321" s="46"/>
    </row>
    <row r="1322" customFormat="false" ht="15" hidden="false" customHeight="false" outlineLevel="0" collapsed="false">
      <c r="E1322" s="46"/>
      <c r="F1322" s="46"/>
      <c r="G1322" s="46"/>
    </row>
    <row r="1323" customFormat="false" ht="15" hidden="false" customHeight="false" outlineLevel="0" collapsed="false">
      <c r="E1323" s="46"/>
      <c r="F1323" s="46"/>
      <c r="G1323" s="46"/>
    </row>
    <row r="1324" customFormat="false" ht="15" hidden="false" customHeight="false" outlineLevel="0" collapsed="false">
      <c r="E1324" s="46"/>
      <c r="F1324" s="46"/>
      <c r="G1324" s="46"/>
    </row>
    <row r="1325" customFormat="false" ht="15" hidden="false" customHeight="false" outlineLevel="0" collapsed="false">
      <c r="E1325" s="46"/>
      <c r="F1325" s="46"/>
      <c r="G1325" s="46"/>
    </row>
    <row r="1326" customFormat="false" ht="15" hidden="false" customHeight="false" outlineLevel="0" collapsed="false">
      <c r="E1326" s="46"/>
      <c r="F1326" s="46"/>
      <c r="G1326" s="46"/>
    </row>
    <row r="1327" customFormat="false" ht="15" hidden="false" customHeight="false" outlineLevel="0" collapsed="false">
      <c r="E1327" s="46"/>
      <c r="F1327" s="46"/>
      <c r="G1327" s="46"/>
    </row>
    <row r="1328" customFormat="false" ht="15" hidden="false" customHeight="false" outlineLevel="0" collapsed="false">
      <c r="E1328" s="46"/>
      <c r="F1328" s="46"/>
      <c r="G1328" s="46"/>
    </row>
    <row r="1329" customFormat="false" ht="15" hidden="false" customHeight="false" outlineLevel="0" collapsed="false">
      <c r="E1329" s="46"/>
      <c r="F1329" s="46"/>
      <c r="G1329" s="46"/>
    </row>
    <row r="1330" customFormat="false" ht="15" hidden="false" customHeight="false" outlineLevel="0" collapsed="false">
      <c r="E1330" s="46"/>
      <c r="F1330" s="46"/>
      <c r="G1330" s="46"/>
    </row>
    <row r="1331" customFormat="false" ht="15" hidden="false" customHeight="false" outlineLevel="0" collapsed="false">
      <c r="E1331" s="46"/>
      <c r="F1331" s="46"/>
      <c r="G1331" s="46"/>
    </row>
    <row r="1332" customFormat="false" ht="15" hidden="false" customHeight="false" outlineLevel="0" collapsed="false">
      <c r="E1332" s="46"/>
      <c r="F1332" s="46"/>
      <c r="G1332" s="46"/>
    </row>
    <row r="1333" customFormat="false" ht="15" hidden="false" customHeight="false" outlineLevel="0" collapsed="false">
      <c r="E1333" s="46"/>
      <c r="F1333" s="46"/>
      <c r="G1333" s="46"/>
    </row>
    <row r="1334" customFormat="false" ht="15" hidden="false" customHeight="false" outlineLevel="0" collapsed="false">
      <c r="E1334" s="46"/>
      <c r="F1334" s="46"/>
      <c r="G1334" s="46"/>
    </row>
    <row r="1335" customFormat="false" ht="15" hidden="false" customHeight="false" outlineLevel="0" collapsed="false">
      <c r="E1335" s="46"/>
      <c r="F1335" s="46"/>
      <c r="G1335" s="46"/>
    </row>
    <row r="1336" customFormat="false" ht="15" hidden="false" customHeight="false" outlineLevel="0" collapsed="false">
      <c r="E1336" s="46"/>
      <c r="F1336" s="46"/>
      <c r="G1336" s="46"/>
    </row>
    <row r="1337" customFormat="false" ht="15" hidden="false" customHeight="false" outlineLevel="0" collapsed="false">
      <c r="E1337" s="46"/>
      <c r="F1337" s="46"/>
      <c r="G1337" s="46"/>
    </row>
    <row r="1338" customFormat="false" ht="15" hidden="false" customHeight="false" outlineLevel="0" collapsed="false">
      <c r="E1338" s="46"/>
      <c r="F1338" s="46"/>
      <c r="G1338" s="46"/>
    </row>
    <row r="1339" customFormat="false" ht="15" hidden="false" customHeight="false" outlineLevel="0" collapsed="false">
      <c r="E1339" s="46"/>
      <c r="F1339" s="46"/>
      <c r="G1339" s="46"/>
    </row>
    <row r="1340" customFormat="false" ht="15" hidden="false" customHeight="false" outlineLevel="0" collapsed="false">
      <c r="E1340" s="46"/>
      <c r="F1340" s="46"/>
      <c r="G1340" s="46"/>
    </row>
    <row r="1341" customFormat="false" ht="15" hidden="false" customHeight="false" outlineLevel="0" collapsed="false">
      <c r="E1341" s="46"/>
      <c r="F1341" s="46"/>
      <c r="G1341" s="46"/>
    </row>
    <row r="1342" customFormat="false" ht="15" hidden="false" customHeight="false" outlineLevel="0" collapsed="false">
      <c r="E1342" s="46"/>
      <c r="F1342" s="46"/>
      <c r="G1342" s="46"/>
    </row>
    <row r="1343" customFormat="false" ht="15" hidden="false" customHeight="false" outlineLevel="0" collapsed="false">
      <c r="E1343" s="46"/>
      <c r="F1343" s="46"/>
      <c r="G1343" s="46"/>
    </row>
    <row r="1344" customFormat="false" ht="15" hidden="false" customHeight="false" outlineLevel="0" collapsed="false">
      <c r="E1344" s="46"/>
      <c r="F1344" s="46"/>
      <c r="G1344" s="46"/>
    </row>
    <row r="1345" customFormat="false" ht="15" hidden="false" customHeight="false" outlineLevel="0" collapsed="false">
      <c r="E1345" s="46"/>
      <c r="F1345" s="46"/>
      <c r="G1345" s="46"/>
    </row>
    <row r="1346" customFormat="false" ht="15" hidden="false" customHeight="false" outlineLevel="0" collapsed="false">
      <c r="E1346" s="46"/>
      <c r="F1346" s="46"/>
      <c r="G1346" s="46"/>
    </row>
    <row r="1347" customFormat="false" ht="15" hidden="false" customHeight="false" outlineLevel="0" collapsed="false">
      <c r="E1347" s="46"/>
      <c r="F1347" s="46"/>
      <c r="G1347" s="46"/>
    </row>
    <row r="1348" customFormat="false" ht="15" hidden="false" customHeight="false" outlineLevel="0" collapsed="false">
      <c r="E1348" s="46"/>
      <c r="F1348" s="46"/>
      <c r="G1348" s="46"/>
    </row>
    <row r="1349" customFormat="false" ht="15" hidden="false" customHeight="false" outlineLevel="0" collapsed="false">
      <c r="E1349" s="46"/>
      <c r="F1349" s="46"/>
      <c r="G1349" s="46"/>
    </row>
    <row r="1350" customFormat="false" ht="15" hidden="false" customHeight="false" outlineLevel="0" collapsed="false">
      <c r="E1350" s="46"/>
      <c r="F1350" s="46"/>
      <c r="G1350" s="46"/>
    </row>
    <row r="1351" customFormat="false" ht="15" hidden="false" customHeight="false" outlineLevel="0" collapsed="false">
      <c r="E1351" s="46"/>
      <c r="F1351" s="46"/>
      <c r="G1351" s="46"/>
    </row>
    <row r="1352" customFormat="false" ht="15" hidden="false" customHeight="false" outlineLevel="0" collapsed="false">
      <c r="E1352" s="46"/>
      <c r="F1352" s="46"/>
      <c r="G1352" s="46"/>
    </row>
    <row r="1353" customFormat="false" ht="15" hidden="false" customHeight="false" outlineLevel="0" collapsed="false">
      <c r="E1353" s="46"/>
      <c r="F1353" s="46"/>
      <c r="G1353" s="46"/>
    </row>
    <row r="1354" customFormat="false" ht="15" hidden="false" customHeight="false" outlineLevel="0" collapsed="false">
      <c r="E1354" s="46"/>
      <c r="F1354" s="46"/>
      <c r="G1354" s="46"/>
    </row>
    <row r="1355" customFormat="false" ht="15" hidden="false" customHeight="false" outlineLevel="0" collapsed="false">
      <c r="E1355" s="46"/>
      <c r="F1355" s="46"/>
      <c r="G1355" s="46"/>
    </row>
    <row r="1356" customFormat="false" ht="15" hidden="false" customHeight="false" outlineLevel="0" collapsed="false">
      <c r="E1356" s="46"/>
      <c r="F1356" s="46"/>
      <c r="G1356" s="46"/>
    </row>
    <row r="1357" customFormat="false" ht="15" hidden="false" customHeight="false" outlineLevel="0" collapsed="false">
      <c r="E1357" s="46"/>
      <c r="F1357" s="46"/>
      <c r="G1357" s="46"/>
    </row>
    <row r="1358" customFormat="false" ht="15" hidden="false" customHeight="false" outlineLevel="0" collapsed="false">
      <c r="E1358" s="46"/>
      <c r="F1358" s="46"/>
      <c r="G1358" s="46"/>
    </row>
    <row r="1359" customFormat="false" ht="15" hidden="false" customHeight="false" outlineLevel="0" collapsed="false">
      <c r="E1359" s="46"/>
      <c r="F1359" s="46"/>
      <c r="G1359" s="46"/>
    </row>
    <row r="1360" customFormat="false" ht="15" hidden="false" customHeight="false" outlineLevel="0" collapsed="false">
      <c r="E1360" s="46"/>
      <c r="F1360" s="46"/>
      <c r="G1360" s="46"/>
    </row>
    <row r="1361" customFormat="false" ht="15" hidden="false" customHeight="false" outlineLevel="0" collapsed="false">
      <c r="E1361" s="46"/>
      <c r="F1361" s="46"/>
      <c r="G1361" s="46"/>
    </row>
    <row r="1362" customFormat="false" ht="15" hidden="false" customHeight="false" outlineLevel="0" collapsed="false">
      <c r="E1362" s="46"/>
      <c r="F1362" s="46"/>
      <c r="G1362" s="46"/>
    </row>
    <row r="1363" customFormat="false" ht="15" hidden="false" customHeight="false" outlineLevel="0" collapsed="false">
      <c r="E1363" s="46"/>
      <c r="F1363" s="46"/>
      <c r="G1363" s="46"/>
    </row>
    <row r="1364" customFormat="false" ht="15" hidden="false" customHeight="false" outlineLevel="0" collapsed="false">
      <c r="E1364" s="46"/>
      <c r="F1364" s="46"/>
      <c r="G1364" s="46"/>
    </row>
    <row r="1365" customFormat="false" ht="15" hidden="false" customHeight="false" outlineLevel="0" collapsed="false">
      <c r="E1365" s="46"/>
      <c r="F1365" s="46"/>
      <c r="G1365" s="46"/>
    </row>
    <row r="1366" customFormat="false" ht="15" hidden="false" customHeight="false" outlineLevel="0" collapsed="false">
      <c r="E1366" s="46"/>
      <c r="F1366" s="46"/>
      <c r="G1366" s="46"/>
    </row>
    <row r="1367" customFormat="false" ht="15" hidden="false" customHeight="false" outlineLevel="0" collapsed="false">
      <c r="E1367" s="46"/>
      <c r="F1367" s="46"/>
      <c r="G1367" s="46"/>
    </row>
    <row r="1368" customFormat="false" ht="15" hidden="false" customHeight="false" outlineLevel="0" collapsed="false">
      <c r="E1368" s="46"/>
      <c r="F1368" s="46"/>
      <c r="G1368" s="46"/>
    </row>
    <row r="1369" customFormat="false" ht="15" hidden="false" customHeight="false" outlineLevel="0" collapsed="false">
      <c r="E1369" s="46"/>
      <c r="F1369" s="46"/>
      <c r="G1369" s="46"/>
    </row>
    <row r="1370" customFormat="false" ht="15" hidden="false" customHeight="false" outlineLevel="0" collapsed="false">
      <c r="E1370" s="46"/>
      <c r="F1370" s="46"/>
      <c r="G1370" s="46"/>
    </row>
    <row r="1371" customFormat="false" ht="15" hidden="false" customHeight="false" outlineLevel="0" collapsed="false">
      <c r="E1371" s="46"/>
      <c r="F1371" s="46"/>
      <c r="G1371" s="46"/>
    </row>
    <row r="1372" customFormat="false" ht="15" hidden="false" customHeight="false" outlineLevel="0" collapsed="false">
      <c r="E1372" s="46"/>
      <c r="F1372" s="46"/>
      <c r="G1372" s="46"/>
    </row>
    <row r="1373" customFormat="false" ht="15" hidden="false" customHeight="false" outlineLevel="0" collapsed="false">
      <c r="E1373" s="46"/>
      <c r="F1373" s="46"/>
      <c r="G1373" s="46"/>
    </row>
    <row r="1374" customFormat="false" ht="15" hidden="false" customHeight="false" outlineLevel="0" collapsed="false">
      <c r="E1374" s="46"/>
      <c r="F1374" s="46"/>
      <c r="G1374" s="46"/>
    </row>
    <row r="1375" customFormat="false" ht="15" hidden="false" customHeight="false" outlineLevel="0" collapsed="false">
      <c r="E1375" s="46"/>
      <c r="F1375" s="46"/>
      <c r="G1375" s="46"/>
    </row>
    <row r="1376" customFormat="false" ht="15" hidden="false" customHeight="false" outlineLevel="0" collapsed="false">
      <c r="E1376" s="46"/>
      <c r="F1376" s="46"/>
      <c r="G1376" s="46"/>
    </row>
    <row r="1377" customFormat="false" ht="15" hidden="false" customHeight="false" outlineLevel="0" collapsed="false">
      <c r="E1377" s="46"/>
      <c r="F1377" s="46"/>
      <c r="G1377" s="46"/>
    </row>
    <row r="1378" customFormat="false" ht="15" hidden="false" customHeight="false" outlineLevel="0" collapsed="false">
      <c r="E1378" s="46"/>
      <c r="F1378" s="46"/>
      <c r="G1378" s="46"/>
    </row>
    <row r="1379" customFormat="false" ht="15" hidden="false" customHeight="false" outlineLevel="0" collapsed="false">
      <c r="E1379" s="46"/>
      <c r="F1379" s="46"/>
      <c r="G1379" s="46"/>
    </row>
    <row r="1380" customFormat="false" ht="15" hidden="false" customHeight="false" outlineLevel="0" collapsed="false">
      <c r="E1380" s="46"/>
      <c r="F1380" s="46"/>
      <c r="G1380" s="46"/>
    </row>
    <row r="1381" customFormat="false" ht="15" hidden="false" customHeight="false" outlineLevel="0" collapsed="false">
      <c r="E1381" s="46"/>
      <c r="F1381" s="46"/>
      <c r="G1381" s="46"/>
    </row>
    <row r="1382" customFormat="false" ht="15" hidden="false" customHeight="false" outlineLevel="0" collapsed="false">
      <c r="E1382" s="46"/>
      <c r="F1382" s="46"/>
      <c r="G1382" s="46"/>
    </row>
    <row r="1383" customFormat="false" ht="15" hidden="false" customHeight="false" outlineLevel="0" collapsed="false">
      <c r="E1383" s="46"/>
      <c r="F1383" s="46"/>
      <c r="G1383" s="46"/>
    </row>
    <row r="1384" customFormat="false" ht="15" hidden="false" customHeight="false" outlineLevel="0" collapsed="false">
      <c r="E1384" s="46"/>
      <c r="F1384" s="46"/>
      <c r="G1384" s="46"/>
    </row>
    <row r="1385" customFormat="false" ht="15" hidden="false" customHeight="false" outlineLevel="0" collapsed="false">
      <c r="E1385" s="46"/>
      <c r="F1385" s="46"/>
      <c r="G1385" s="46"/>
    </row>
    <row r="1386" customFormat="false" ht="15" hidden="false" customHeight="false" outlineLevel="0" collapsed="false">
      <c r="E1386" s="46"/>
      <c r="F1386" s="46"/>
      <c r="G1386" s="46"/>
    </row>
    <row r="1387" customFormat="false" ht="15" hidden="false" customHeight="false" outlineLevel="0" collapsed="false">
      <c r="E1387" s="46"/>
      <c r="F1387" s="46"/>
      <c r="G1387" s="46"/>
    </row>
    <row r="1388" customFormat="false" ht="15" hidden="false" customHeight="false" outlineLevel="0" collapsed="false">
      <c r="E1388" s="46"/>
      <c r="F1388" s="46"/>
      <c r="G1388" s="46"/>
    </row>
    <row r="1389" customFormat="false" ht="15" hidden="false" customHeight="false" outlineLevel="0" collapsed="false">
      <c r="E1389" s="46"/>
      <c r="F1389" s="46"/>
      <c r="G1389" s="46"/>
    </row>
    <row r="1390" customFormat="false" ht="15" hidden="false" customHeight="false" outlineLevel="0" collapsed="false">
      <c r="E1390" s="46"/>
      <c r="F1390" s="46"/>
      <c r="G1390" s="46"/>
    </row>
    <row r="1391" customFormat="false" ht="15" hidden="false" customHeight="false" outlineLevel="0" collapsed="false">
      <c r="E1391" s="46"/>
      <c r="F1391" s="46"/>
      <c r="G1391" s="46"/>
    </row>
    <row r="1392" customFormat="false" ht="15" hidden="false" customHeight="false" outlineLevel="0" collapsed="false">
      <c r="E1392" s="46"/>
      <c r="F1392" s="46"/>
      <c r="G1392" s="46"/>
    </row>
    <row r="1393" customFormat="false" ht="15" hidden="false" customHeight="false" outlineLevel="0" collapsed="false">
      <c r="E1393" s="46"/>
      <c r="F1393" s="46"/>
      <c r="G1393" s="46"/>
    </row>
    <row r="1394" customFormat="false" ht="15" hidden="false" customHeight="false" outlineLevel="0" collapsed="false">
      <c r="E1394" s="46"/>
      <c r="F1394" s="46"/>
      <c r="G1394" s="46"/>
    </row>
    <row r="1395" customFormat="false" ht="15" hidden="false" customHeight="false" outlineLevel="0" collapsed="false">
      <c r="E1395" s="46"/>
      <c r="F1395" s="46"/>
      <c r="G1395" s="46"/>
    </row>
    <row r="1396" customFormat="false" ht="15" hidden="false" customHeight="false" outlineLevel="0" collapsed="false">
      <c r="E1396" s="46"/>
      <c r="F1396" s="46"/>
      <c r="G1396" s="46"/>
    </row>
    <row r="1397" customFormat="false" ht="15" hidden="false" customHeight="false" outlineLevel="0" collapsed="false">
      <c r="E1397" s="46"/>
      <c r="F1397" s="46"/>
      <c r="G1397" s="46"/>
    </row>
    <row r="1398" customFormat="false" ht="15" hidden="false" customHeight="false" outlineLevel="0" collapsed="false">
      <c r="E1398" s="46"/>
      <c r="F1398" s="46"/>
      <c r="G1398" s="46"/>
    </row>
    <row r="1399" customFormat="false" ht="15" hidden="false" customHeight="false" outlineLevel="0" collapsed="false">
      <c r="E1399" s="46"/>
      <c r="F1399" s="46"/>
      <c r="G1399" s="46"/>
    </row>
    <row r="1400" customFormat="false" ht="15" hidden="false" customHeight="false" outlineLevel="0" collapsed="false">
      <c r="E1400" s="46"/>
      <c r="F1400" s="46"/>
      <c r="G1400" s="46"/>
    </row>
    <row r="1401" customFormat="false" ht="15" hidden="false" customHeight="false" outlineLevel="0" collapsed="false">
      <c r="E1401" s="46"/>
      <c r="F1401" s="46"/>
      <c r="G1401" s="46"/>
    </row>
    <row r="1402" customFormat="false" ht="15" hidden="false" customHeight="false" outlineLevel="0" collapsed="false">
      <c r="E1402" s="46"/>
      <c r="F1402" s="46"/>
      <c r="G1402" s="46"/>
    </row>
    <row r="1403" customFormat="false" ht="15" hidden="false" customHeight="false" outlineLevel="0" collapsed="false">
      <c r="E1403" s="46"/>
      <c r="F1403" s="46"/>
      <c r="G1403" s="46"/>
    </row>
    <row r="1404" customFormat="false" ht="15" hidden="false" customHeight="false" outlineLevel="0" collapsed="false">
      <c r="E1404" s="46"/>
      <c r="F1404" s="46"/>
      <c r="G1404" s="46"/>
    </row>
    <row r="1405" customFormat="false" ht="15" hidden="false" customHeight="false" outlineLevel="0" collapsed="false">
      <c r="E1405" s="46"/>
      <c r="F1405" s="46"/>
      <c r="G1405" s="46"/>
    </row>
    <row r="1406" customFormat="false" ht="15" hidden="false" customHeight="false" outlineLevel="0" collapsed="false">
      <c r="E1406" s="46"/>
      <c r="F1406" s="46"/>
      <c r="G1406" s="46"/>
    </row>
    <row r="1407" customFormat="false" ht="15" hidden="false" customHeight="false" outlineLevel="0" collapsed="false">
      <c r="E1407" s="46"/>
      <c r="F1407" s="46"/>
      <c r="G1407" s="46"/>
    </row>
    <row r="1408" customFormat="false" ht="15" hidden="false" customHeight="false" outlineLevel="0" collapsed="false">
      <c r="E1408" s="46"/>
      <c r="F1408" s="46"/>
      <c r="G1408" s="46"/>
    </row>
    <row r="1409" customFormat="false" ht="15" hidden="false" customHeight="false" outlineLevel="0" collapsed="false">
      <c r="E1409" s="46"/>
      <c r="F1409" s="46"/>
      <c r="G1409" s="46"/>
    </row>
    <row r="1410" customFormat="false" ht="15" hidden="false" customHeight="false" outlineLevel="0" collapsed="false">
      <c r="E1410" s="46"/>
      <c r="F1410" s="46"/>
      <c r="G1410" s="46"/>
    </row>
    <row r="1411" customFormat="false" ht="15" hidden="false" customHeight="false" outlineLevel="0" collapsed="false">
      <c r="E1411" s="46"/>
      <c r="F1411" s="46"/>
      <c r="G1411" s="46"/>
    </row>
    <row r="1412" customFormat="false" ht="15" hidden="false" customHeight="false" outlineLevel="0" collapsed="false">
      <c r="E1412" s="46"/>
      <c r="F1412" s="46"/>
      <c r="G1412" s="46"/>
    </row>
    <row r="1413" customFormat="false" ht="15" hidden="false" customHeight="false" outlineLevel="0" collapsed="false">
      <c r="E1413" s="46"/>
      <c r="F1413" s="46"/>
      <c r="G1413" s="46"/>
    </row>
    <row r="1414" customFormat="false" ht="15" hidden="false" customHeight="false" outlineLevel="0" collapsed="false">
      <c r="E1414" s="46"/>
      <c r="F1414" s="46"/>
      <c r="G1414" s="46"/>
    </row>
    <row r="1415" customFormat="false" ht="15" hidden="false" customHeight="false" outlineLevel="0" collapsed="false">
      <c r="E1415" s="46"/>
      <c r="F1415" s="46"/>
      <c r="G1415" s="46"/>
    </row>
    <row r="1416" customFormat="false" ht="15" hidden="false" customHeight="false" outlineLevel="0" collapsed="false">
      <c r="E1416" s="46"/>
      <c r="F1416" s="46"/>
      <c r="G1416" s="46"/>
    </row>
    <row r="1417" customFormat="false" ht="15" hidden="false" customHeight="false" outlineLevel="0" collapsed="false">
      <c r="E1417" s="46"/>
      <c r="F1417" s="46"/>
      <c r="G1417" s="46"/>
    </row>
    <row r="1418" customFormat="false" ht="15" hidden="false" customHeight="false" outlineLevel="0" collapsed="false">
      <c r="E1418" s="46"/>
      <c r="F1418" s="46"/>
      <c r="G1418" s="46"/>
    </row>
    <row r="1419" customFormat="false" ht="15" hidden="false" customHeight="false" outlineLevel="0" collapsed="false">
      <c r="E1419" s="46"/>
      <c r="F1419" s="46"/>
      <c r="G1419" s="46"/>
    </row>
    <row r="1420" customFormat="false" ht="15" hidden="false" customHeight="false" outlineLevel="0" collapsed="false">
      <c r="E1420" s="46"/>
      <c r="F1420" s="46"/>
      <c r="G1420" s="46"/>
    </row>
    <row r="1421" customFormat="false" ht="15" hidden="false" customHeight="false" outlineLevel="0" collapsed="false">
      <c r="E1421" s="46"/>
      <c r="F1421" s="46"/>
      <c r="G1421" s="46"/>
    </row>
    <row r="1422" customFormat="false" ht="15" hidden="false" customHeight="false" outlineLevel="0" collapsed="false">
      <c r="E1422" s="46"/>
      <c r="F1422" s="46"/>
      <c r="G1422" s="46"/>
    </row>
    <row r="1423" customFormat="false" ht="15" hidden="false" customHeight="false" outlineLevel="0" collapsed="false">
      <c r="E1423" s="46"/>
      <c r="F1423" s="46"/>
      <c r="G1423" s="46"/>
    </row>
    <row r="1424" customFormat="false" ht="15" hidden="false" customHeight="false" outlineLevel="0" collapsed="false">
      <c r="E1424" s="46"/>
      <c r="F1424" s="46"/>
      <c r="G1424" s="46"/>
    </row>
    <row r="1425" customFormat="false" ht="15" hidden="false" customHeight="false" outlineLevel="0" collapsed="false">
      <c r="E1425" s="46"/>
      <c r="F1425" s="46"/>
      <c r="G1425" s="46"/>
    </row>
    <row r="1426" customFormat="false" ht="15" hidden="false" customHeight="false" outlineLevel="0" collapsed="false">
      <c r="E1426" s="46"/>
      <c r="F1426" s="46"/>
      <c r="G1426" s="46"/>
    </row>
    <row r="1427" customFormat="false" ht="15" hidden="false" customHeight="false" outlineLevel="0" collapsed="false">
      <c r="E1427" s="46"/>
      <c r="F1427" s="46"/>
      <c r="G1427" s="46"/>
    </row>
    <row r="1428" customFormat="false" ht="15" hidden="false" customHeight="false" outlineLevel="0" collapsed="false">
      <c r="E1428" s="46"/>
      <c r="F1428" s="46"/>
      <c r="G1428" s="46"/>
    </row>
    <row r="1429" customFormat="false" ht="15" hidden="false" customHeight="false" outlineLevel="0" collapsed="false">
      <c r="E1429" s="46"/>
      <c r="F1429" s="46"/>
      <c r="G1429" s="46"/>
    </row>
    <row r="1430" customFormat="false" ht="15" hidden="false" customHeight="false" outlineLevel="0" collapsed="false">
      <c r="E1430" s="46"/>
      <c r="F1430" s="46"/>
      <c r="G1430" s="46"/>
    </row>
    <row r="1431" customFormat="false" ht="15" hidden="false" customHeight="false" outlineLevel="0" collapsed="false">
      <c r="E1431" s="46"/>
      <c r="F1431" s="46"/>
      <c r="G1431" s="46"/>
    </row>
    <row r="1432" customFormat="false" ht="15" hidden="false" customHeight="false" outlineLevel="0" collapsed="false">
      <c r="E1432" s="46"/>
      <c r="F1432" s="46"/>
      <c r="G1432" s="46"/>
    </row>
    <row r="1433" customFormat="false" ht="15" hidden="false" customHeight="false" outlineLevel="0" collapsed="false">
      <c r="E1433" s="46"/>
      <c r="F1433" s="46"/>
      <c r="G1433" s="46"/>
    </row>
    <row r="1434" customFormat="false" ht="15" hidden="false" customHeight="false" outlineLevel="0" collapsed="false">
      <c r="E1434" s="46"/>
      <c r="F1434" s="46"/>
      <c r="G1434" s="46"/>
    </row>
    <row r="1435" customFormat="false" ht="15" hidden="false" customHeight="false" outlineLevel="0" collapsed="false">
      <c r="E1435" s="46"/>
      <c r="F1435" s="46"/>
      <c r="G1435" s="46"/>
    </row>
    <row r="1436" customFormat="false" ht="15" hidden="false" customHeight="false" outlineLevel="0" collapsed="false">
      <c r="E1436" s="46"/>
      <c r="F1436" s="46"/>
      <c r="G1436" s="46"/>
    </row>
    <row r="1437" customFormat="false" ht="15" hidden="false" customHeight="false" outlineLevel="0" collapsed="false">
      <c r="E1437" s="46"/>
      <c r="F1437" s="46"/>
      <c r="G1437" s="46"/>
    </row>
    <row r="1438" customFormat="false" ht="15" hidden="false" customHeight="false" outlineLevel="0" collapsed="false">
      <c r="E1438" s="46"/>
      <c r="F1438" s="46"/>
      <c r="G1438" s="46"/>
    </row>
    <row r="1439" customFormat="false" ht="15" hidden="false" customHeight="false" outlineLevel="0" collapsed="false">
      <c r="E1439" s="46"/>
      <c r="F1439" s="46"/>
      <c r="G1439" s="46"/>
    </row>
    <row r="1440" customFormat="false" ht="15" hidden="false" customHeight="false" outlineLevel="0" collapsed="false">
      <c r="E1440" s="46"/>
      <c r="F1440" s="46"/>
      <c r="G1440" s="46"/>
    </row>
    <row r="1441" customFormat="false" ht="15" hidden="false" customHeight="false" outlineLevel="0" collapsed="false">
      <c r="E1441" s="46"/>
      <c r="F1441" s="46"/>
      <c r="G1441" s="46"/>
    </row>
    <row r="1442" customFormat="false" ht="15" hidden="false" customHeight="false" outlineLevel="0" collapsed="false">
      <c r="E1442" s="46"/>
      <c r="F1442" s="46"/>
      <c r="G1442" s="46"/>
    </row>
    <row r="1443" customFormat="false" ht="15" hidden="false" customHeight="false" outlineLevel="0" collapsed="false">
      <c r="E1443" s="46"/>
      <c r="F1443" s="46"/>
      <c r="G1443" s="46"/>
    </row>
    <row r="1444" customFormat="false" ht="15" hidden="false" customHeight="false" outlineLevel="0" collapsed="false">
      <c r="E1444" s="46"/>
      <c r="F1444" s="46"/>
      <c r="G1444" s="46"/>
    </row>
    <row r="1445" customFormat="false" ht="15" hidden="false" customHeight="false" outlineLevel="0" collapsed="false">
      <c r="E1445" s="46"/>
      <c r="F1445" s="46"/>
      <c r="G1445" s="46"/>
    </row>
    <row r="1446" customFormat="false" ht="15" hidden="false" customHeight="false" outlineLevel="0" collapsed="false">
      <c r="E1446" s="46"/>
      <c r="F1446" s="46"/>
      <c r="G1446" s="46"/>
    </row>
    <row r="1447" customFormat="false" ht="15" hidden="false" customHeight="false" outlineLevel="0" collapsed="false">
      <c r="E1447" s="46"/>
      <c r="F1447" s="46"/>
      <c r="G1447" s="46"/>
    </row>
    <row r="1448" customFormat="false" ht="15" hidden="false" customHeight="false" outlineLevel="0" collapsed="false">
      <c r="E1448" s="46"/>
      <c r="F1448" s="46"/>
      <c r="G1448" s="46"/>
    </row>
    <row r="1449" customFormat="false" ht="15" hidden="false" customHeight="false" outlineLevel="0" collapsed="false">
      <c r="E1449" s="46"/>
      <c r="F1449" s="46"/>
      <c r="G1449" s="46"/>
    </row>
    <row r="1450" customFormat="false" ht="15" hidden="false" customHeight="false" outlineLevel="0" collapsed="false">
      <c r="E1450" s="46"/>
      <c r="F1450" s="46"/>
      <c r="G1450" s="46"/>
    </row>
    <row r="1451" customFormat="false" ht="15" hidden="false" customHeight="false" outlineLevel="0" collapsed="false">
      <c r="E1451" s="46"/>
      <c r="F1451" s="46"/>
      <c r="G1451" s="46"/>
    </row>
    <row r="1452" customFormat="false" ht="15" hidden="false" customHeight="false" outlineLevel="0" collapsed="false">
      <c r="E1452" s="46"/>
      <c r="F1452" s="46"/>
      <c r="G1452" s="46"/>
    </row>
    <row r="1453" customFormat="false" ht="15" hidden="false" customHeight="false" outlineLevel="0" collapsed="false">
      <c r="E1453" s="46"/>
      <c r="F1453" s="46"/>
      <c r="G1453" s="46"/>
    </row>
    <row r="1454" customFormat="false" ht="15" hidden="false" customHeight="false" outlineLevel="0" collapsed="false">
      <c r="E1454" s="46"/>
      <c r="F1454" s="46"/>
      <c r="G1454" s="46"/>
    </row>
    <row r="1455" customFormat="false" ht="15" hidden="false" customHeight="false" outlineLevel="0" collapsed="false">
      <c r="E1455" s="46"/>
      <c r="F1455" s="46"/>
      <c r="G1455" s="46"/>
    </row>
    <row r="1456" customFormat="false" ht="15" hidden="false" customHeight="false" outlineLevel="0" collapsed="false">
      <c r="E1456" s="46"/>
      <c r="F1456" s="46"/>
      <c r="G1456" s="46"/>
    </row>
    <row r="1457" customFormat="false" ht="15" hidden="false" customHeight="false" outlineLevel="0" collapsed="false">
      <c r="E1457" s="46"/>
      <c r="F1457" s="46"/>
      <c r="G1457" s="46"/>
    </row>
    <row r="1458" customFormat="false" ht="15" hidden="false" customHeight="false" outlineLevel="0" collapsed="false">
      <c r="E1458" s="46"/>
      <c r="F1458" s="46"/>
      <c r="G1458" s="46"/>
    </row>
    <row r="1459" customFormat="false" ht="15" hidden="false" customHeight="false" outlineLevel="0" collapsed="false">
      <c r="E1459" s="46"/>
      <c r="F1459" s="46"/>
      <c r="G1459" s="46"/>
    </row>
    <row r="1460" customFormat="false" ht="15" hidden="false" customHeight="false" outlineLevel="0" collapsed="false">
      <c r="E1460" s="46"/>
      <c r="F1460" s="46"/>
      <c r="G1460" s="46"/>
    </row>
    <row r="1461" customFormat="false" ht="15" hidden="false" customHeight="false" outlineLevel="0" collapsed="false">
      <c r="E1461" s="46"/>
      <c r="F1461" s="46"/>
      <c r="G1461" s="46"/>
    </row>
    <row r="1462" customFormat="false" ht="15" hidden="false" customHeight="false" outlineLevel="0" collapsed="false">
      <c r="E1462" s="46"/>
      <c r="F1462" s="46"/>
      <c r="G1462" s="46"/>
    </row>
    <row r="1463" customFormat="false" ht="15" hidden="false" customHeight="false" outlineLevel="0" collapsed="false">
      <c r="E1463" s="46"/>
      <c r="F1463" s="46"/>
      <c r="G1463" s="46"/>
    </row>
    <row r="1464" customFormat="false" ht="15" hidden="false" customHeight="false" outlineLevel="0" collapsed="false">
      <c r="E1464" s="46"/>
      <c r="F1464" s="46"/>
      <c r="G1464" s="46"/>
    </row>
    <row r="1465" customFormat="false" ht="15" hidden="false" customHeight="false" outlineLevel="0" collapsed="false">
      <c r="E1465" s="46"/>
      <c r="F1465" s="46"/>
      <c r="G1465" s="46"/>
    </row>
    <row r="1466" customFormat="false" ht="15" hidden="false" customHeight="false" outlineLevel="0" collapsed="false">
      <c r="E1466" s="46"/>
      <c r="F1466" s="46"/>
      <c r="G1466" s="46"/>
    </row>
    <row r="1467" customFormat="false" ht="15" hidden="false" customHeight="false" outlineLevel="0" collapsed="false">
      <c r="E1467" s="46"/>
      <c r="F1467" s="46"/>
      <c r="G1467" s="46"/>
    </row>
    <row r="1468" customFormat="false" ht="15" hidden="false" customHeight="false" outlineLevel="0" collapsed="false">
      <c r="E1468" s="46"/>
      <c r="F1468" s="46"/>
      <c r="G1468" s="46"/>
    </row>
    <row r="1469" customFormat="false" ht="15" hidden="false" customHeight="false" outlineLevel="0" collapsed="false">
      <c r="E1469" s="46"/>
      <c r="F1469" s="46"/>
      <c r="G1469" s="46"/>
    </row>
    <row r="1470" customFormat="false" ht="15" hidden="false" customHeight="false" outlineLevel="0" collapsed="false">
      <c r="E1470" s="46"/>
      <c r="F1470" s="46"/>
      <c r="G1470" s="46"/>
    </row>
    <row r="1471" customFormat="false" ht="15" hidden="false" customHeight="false" outlineLevel="0" collapsed="false">
      <c r="E1471" s="46"/>
      <c r="F1471" s="46"/>
      <c r="G1471" s="46"/>
    </row>
    <row r="1472" customFormat="false" ht="15" hidden="false" customHeight="false" outlineLevel="0" collapsed="false">
      <c r="E1472" s="46"/>
      <c r="F1472" s="46"/>
      <c r="G1472" s="46"/>
    </row>
    <row r="1473" customFormat="false" ht="15" hidden="false" customHeight="false" outlineLevel="0" collapsed="false">
      <c r="E1473" s="46"/>
      <c r="F1473" s="46"/>
      <c r="G1473" s="46"/>
    </row>
    <row r="1474" customFormat="false" ht="15" hidden="false" customHeight="false" outlineLevel="0" collapsed="false">
      <c r="E1474" s="46"/>
      <c r="F1474" s="46"/>
      <c r="G1474" s="46"/>
    </row>
    <row r="1475" customFormat="false" ht="15" hidden="false" customHeight="false" outlineLevel="0" collapsed="false">
      <c r="E1475" s="46"/>
      <c r="F1475" s="46"/>
      <c r="G1475" s="46"/>
    </row>
    <row r="1476" customFormat="false" ht="15" hidden="false" customHeight="false" outlineLevel="0" collapsed="false">
      <c r="E1476" s="46"/>
      <c r="F1476" s="46"/>
      <c r="G1476" s="46"/>
    </row>
    <row r="1477" customFormat="false" ht="15" hidden="false" customHeight="false" outlineLevel="0" collapsed="false">
      <c r="E1477" s="46"/>
      <c r="F1477" s="46"/>
      <c r="G1477" s="46"/>
    </row>
    <row r="1478" customFormat="false" ht="15" hidden="false" customHeight="false" outlineLevel="0" collapsed="false">
      <c r="E1478" s="46"/>
      <c r="F1478" s="46"/>
      <c r="G1478" s="46"/>
    </row>
    <row r="1479" customFormat="false" ht="15" hidden="false" customHeight="false" outlineLevel="0" collapsed="false">
      <c r="E1479" s="46"/>
      <c r="F1479" s="46"/>
      <c r="G1479" s="46"/>
    </row>
    <row r="1480" customFormat="false" ht="15" hidden="false" customHeight="false" outlineLevel="0" collapsed="false">
      <c r="E1480" s="46"/>
      <c r="F1480" s="46"/>
      <c r="G1480" s="46"/>
    </row>
    <row r="1481" customFormat="false" ht="15" hidden="false" customHeight="false" outlineLevel="0" collapsed="false">
      <c r="E1481" s="46"/>
      <c r="F1481" s="46"/>
      <c r="G1481" s="46"/>
    </row>
    <row r="1482" customFormat="false" ht="15" hidden="false" customHeight="false" outlineLevel="0" collapsed="false">
      <c r="E1482" s="46"/>
      <c r="F1482" s="46"/>
      <c r="G1482" s="46"/>
    </row>
    <row r="1483" customFormat="false" ht="15" hidden="false" customHeight="false" outlineLevel="0" collapsed="false">
      <c r="E1483" s="46"/>
      <c r="F1483" s="46"/>
      <c r="G1483" s="46"/>
    </row>
    <row r="1484" customFormat="false" ht="15" hidden="false" customHeight="false" outlineLevel="0" collapsed="false">
      <c r="E1484" s="46"/>
      <c r="F1484" s="46"/>
      <c r="G1484" s="46"/>
    </row>
    <row r="1485" customFormat="false" ht="15" hidden="false" customHeight="false" outlineLevel="0" collapsed="false">
      <c r="E1485" s="46"/>
      <c r="F1485" s="46"/>
      <c r="G1485" s="46"/>
    </row>
    <row r="1486" customFormat="false" ht="15" hidden="false" customHeight="false" outlineLevel="0" collapsed="false">
      <c r="E1486" s="46"/>
      <c r="F1486" s="46"/>
      <c r="G1486" s="46"/>
    </row>
    <row r="1487" customFormat="false" ht="15" hidden="false" customHeight="false" outlineLevel="0" collapsed="false">
      <c r="E1487" s="46"/>
      <c r="F1487" s="46"/>
      <c r="G1487" s="46"/>
    </row>
    <row r="1488" customFormat="false" ht="15" hidden="false" customHeight="false" outlineLevel="0" collapsed="false">
      <c r="E1488" s="46"/>
      <c r="F1488" s="46"/>
      <c r="G1488" s="46"/>
    </row>
    <row r="1489" customFormat="false" ht="15" hidden="false" customHeight="false" outlineLevel="0" collapsed="false">
      <c r="E1489" s="46"/>
      <c r="F1489" s="46"/>
      <c r="G1489" s="46"/>
    </row>
    <row r="1490" customFormat="false" ht="15" hidden="false" customHeight="false" outlineLevel="0" collapsed="false">
      <c r="E1490" s="46"/>
      <c r="F1490" s="46"/>
      <c r="G1490" s="46"/>
    </row>
    <row r="1491" customFormat="false" ht="15" hidden="false" customHeight="false" outlineLevel="0" collapsed="false">
      <c r="E1491" s="46"/>
      <c r="F1491" s="46"/>
      <c r="G1491" s="46"/>
    </row>
    <row r="1492" customFormat="false" ht="15" hidden="false" customHeight="false" outlineLevel="0" collapsed="false">
      <c r="E1492" s="46"/>
      <c r="F1492" s="46"/>
      <c r="G1492" s="46"/>
    </row>
    <row r="1493" customFormat="false" ht="15" hidden="false" customHeight="false" outlineLevel="0" collapsed="false">
      <c r="E1493" s="46"/>
      <c r="F1493" s="46"/>
      <c r="G1493" s="46"/>
    </row>
    <row r="1494" customFormat="false" ht="15" hidden="false" customHeight="false" outlineLevel="0" collapsed="false">
      <c r="E1494" s="46"/>
      <c r="F1494" s="46"/>
      <c r="G1494" s="46"/>
    </row>
    <row r="1495" customFormat="false" ht="15" hidden="false" customHeight="false" outlineLevel="0" collapsed="false">
      <c r="E1495" s="46"/>
      <c r="F1495" s="46"/>
      <c r="G1495" s="46"/>
    </row>
    <row r="1496" customFormat="false" ht="15" hidden="false" customHeight="false" outlineLevel="0" collapsed="false">
      <c r="E1496" s="46"/>
      <c r="F1496" s="46"/>
      <c r="G1496" s="46"/>
    </row>
    <row r="1497" customFormat="false" ht="15" hidden="false" customHeight="false" outlineLevel="0" collapsed="false">
      <c r="E1497" s="46"/>
      <c r="F1497" s="46"/>
      <c r="G1497" s="46"/>
    </row>
    <row r="1498" customFormat="false" ht="15" hidden="false" customHeight="false" outlineLevel="0" collapsed="false">
      <c r="E1498" s="46"/>
      <c r="F1498" s="46"/>
      <c r="G1498" s="46"/>
    </row>
    <row r="1499" customFormat="false" ht="15" hidden="false" customHeight="false" outlineLevel="0" collapsed="false">
      <c r="E1499" s="46"/>
      <c r="F1499" s="46"/>
      <c r="G1499" s="46"/>
    </row>
    <row r="1500" customFormat="false" ht="15" hidden="false" customHeight="false" outlineLevel="0" collapsed="false">
      <c r="E1500" s="46"/>
      <c r="F1500" s="46"/>
      <c r="G1500" s="46"/>
    </row>
    <row r="1501" customFormat="false" ht="15" hidden="false" customHeight="false" outlineLevel="0" collapsed="false">
      <c r="E1501" s="46"/>
      <c r="F1501" s="46"/>
      <c r="G1501" s="46"/>
    </row>
    <row r="1502" customFormat="false" ht="15" hidden="false" customHeight="false" outlineLevel="0" collapsed="false">
      <c r="E1502" s="46"/>
      <c r="F1502" s="46"/>
      <c r="G1502" s="46"/>
    </row>
    <row r="1503" customFormat="false" ht="15" hidden="false" customHeight="false" outlineLevel="0" collapsed="false">
      <c r="E1503" s="46"/>
      <c r="F1503" s="46"/>
      <c r="G1503" s="46"/>
    </row>
    <row r="1504" customFormat="false" ht="15" hidden="false" customHeight="false" outlineLevel="0" collapsed="false">
      <c r="E1504" s="46"/>
      <c r="F1504" s="46"/>
      <c r="G1504" s="46"/>
    </row>
    <row r="1505" customFormat="false" ht="15" hidden="false" customHeight="false" outlineLevel="0" collapsed="false">
      <c r="E1505" s="46"/>
      <c r="F1505" s="46"/>
      <c r="G1505" s="46"/>
    </row>
    <row r="1506" customFormat="false" ht="15" hidden="false" customHeight="false" outlineLevel="0" collapsed="false">
      <c r="E1506" s="46"/>
      <c r="F1506" s="46"/>
      <c r="G1506" s="46"/>
    </row>
    <row r="1507" customFormat="false" ht="15" hidden="false" customHeight="false" outlineLevel="0" collapsed="false">
      <c r="E1507" s="46"/>
      <c r="F1507" s="46"/>
      <c r="G1507" s="46"/>
    </row>
    <row r="1508" customFormat="false" ht="15" hidden="false" customHeight="false" outlineLevel="0" collapsed="false">
      <c r="E1508" s="46"/>
      <c r="F1508" s="46"/>
      <c r="G1508" s="46"/>
    </row>
    <row r="1509" customFormat="false" ht="15" hidden="false" customHeight="false" outlineLevel="0" collapsed="false">
      <c r="E1509" s="46"/>
      <c r="F1509" s="46"/>
      <c r="G1509" s="46"/>
    </row>
    <row r="1510" customFormat="false" ht="15" hidden="false" customHeight="false" outlineLevel="0" collapsed="false">
      <c r="E1510" s="46"/>
      <c r="F1510" s="46"/>
      <c r="G1510" s="46"/>
    </row>
    <row r="1511" customFormat="false" ht="15" hidden="false" customHeight="false" outlineLevel="0" collapsed="false">
      <c r="E1511" s="46"/>
      <c r="F1511" s="46"/>
      <c r="G1511" s="46"/>
    </row>
    <row r="1512" customFormat="false" ht="15" hidden="false" customHeight="false" outlineLevel="0" collapsed="false">
      <c r="E1512" s="46"/>
      <c r="F1512" s="46"/>
      <c r="G1512" s="46"/>
    </row>
    <row r="1513" customFormat="false" ht="15" hidden="false" customHeight="false" outlineLevel="0" collapsed="false">
      <c r="E1513" s="46"/>
      <c r="F1513" s="46"/>
      <c r="G1513" s="46"/>
    </row>
    <row r="1514" customFormat="false" ht="15" hidden="false" customHeight="false" outlineLevel="0" collapsed="false">
      <c r="E1514" s="46"/>
      <c r="F1514" s="46"/>
      <c r="G1514" s="46"/>
    </row>
    <row r="1515" customFormat="false" ht="15" hidden="false" customHeight="false" outlineLevel="0" collapsed="false">
      <c r="E1515" s="46"/>
      <c r="F1515" s="46"/>
      <c r="G1515" s="46"/>
    </row>
    <row r="1516" customFormat="false" ht="15" hidden="false" customHeight="false" outlineLevel="0" collapsed="false">
      <c r="E1516" s="46"/>
      <c r="F1516" s="46"/>
      <c r="G1516" s="46"/>
    </row>
    <row r="1517" customFormat="false" ht="15" hidden="false" customHeight="false" outlineLevel="0" collapsed="false">
      <c r="E1517" s="46"/>
      <c r="F1517" s="46"/>
      <c r="G1517" s="46"/>
    </row>
    <row r="1518" customFormat="false" ht="15" hidden="false" customHeight="false" outlineLevel="0" collapsed="false">
      <c r="E1518" s="46"/>
      <c r="F1518" s="46"/>
      <c r="G1518" s="46"/>
    </row>
    <row r="1519" customFormat="false" ht="15" hidden="false" customHeight="false" outlineLevel="0" collapsed="false">
      <c r="E1519" s="46"/>
      <c r="F1519" s="46"/>
      <c r="G1519" s="46"/>
    </row>
    <row r="1520" customFormat="false" ht="15" hidden="false" customHeight="false" outlineLevel="0" collapsed="false">
      <c r="E1520" s="46"/>
      <c r="F1520" s="46"/>
      <c r="G1520" s="46"/>
    </row>
    <row r="1521" customFormat="false" ht="15" hidden="false" customHeight="false" outlineLevel="0" collapsed="false">
      <c r="E1521" s="46"/>
      <c r="F1521" s="46"/>
      <c r="G1521" s="46"/>
    </row>
    <row r="1522" customFormat="false" ht="15" hidden="false" customHeight="false" outlineLevel="0" collapsed="false">
      <c r="E1522" s="46"/>
      <c r="F1522" s="46"/>
      <c r="G1522" s="46"/>
    </row>
    <row r="1523" customFormat="false" ht="15" hidden="false" customHeight="false" outlineLevel="0" collapsed="false">
      <c r="E1523" s="46"/>
      <c r="F1523" s="46"/>
      <c r="G1523" s="46"/>
    </row>
    <row r="1524" customFormat="false" ht="15" hidden="false" customHeight="false" outlineLevel="0" collapsed="false">
      <c r="E1524" s="46"/>
      <c r="F1524" s="46"/>
      <c r="G1524" s="46"/>
    </row>
    <row r="1525" customFormat="false" ht="15" hidden="false" customHeight="false" outlineLevel="0" collapsed="false">
      <c r="E1525" s="46"/>
      <c r="F1525" s="46"/>
      <c r="G1525" s="46"/>
    </row>
    <row r="1526" customFormat="false" ht="15" hidden="false" customHeight="false" outlineLevel="0" collapsed="false">
      <c r="E1526" s="46"/>
      <c r="F1526" s="46"/>
      <c r="G1526" s="46"/>
    </row>
    <row r="1527" customFormat="false" ht="15" hidden="false" customHeight="false" outlineLevel="0" collapsed="false">
      <c r="E1527" s="46"/>
      <c r="F1527" s="46"/>
      <c r="G1527" s="46"/>
    </row>
    <row r="1528" customFormat="false" ht="15" hidden="false" customHeight="false" outlineLevel="0" collapsed="false">
      <c r="E1528" s="46"/>
      <c r="F1528" s="46"/>
      <c r="G1528" s="46"/>
    </row>
    <row r="1529" customFormat="false" ht="15" hidden="false" customHeight="false" outlineLevel="0" collapsed="false">
      <c r="E1529" s="46"/>
      <c r="F1529" s="46"/>
      <c r="G1529" s="46"/>
    </row>
    <row r="1530" customFormat="false" ht="15" hidden="false" customHeight="false" outlineLevel="0" collapsed="false">
      <c r="E1530" s="46"/>
      <c r="F1530" s="46"/>
      <c r="G1530" s="46"/>
    </row>
    <row r="1531" customFormat="false" ht="15" hidden="false" customHeight="false" outlineLevel="0" collapsed="false">
      <c r="E1531" s="46"/>
      <c r="F1531" s="46"/>
      <c r="G1531" s="46"/>
    </row>
    <row r="1532" customFormat="false" ht="15" hidden="false" customHeight="false" outlineLevel="0" collapsed="false">
      <c r="E1532" s="46"/>
      <c r="F1532" s="46"/>
      <c r="G1532" s="46"/>
    </row>
    <row r="1533" customFormat="false" ht="15" hidden="false" customHeight="false" outlineLevel="0" collapsed="false">
      <c r="E1533" s="46"/>
      <c r="F1533" s="46"/>
      <c r="G1533" s="46"/>
    </row>
    <row r="1534" customFormat="false" ht="15" hidden="false" customHeight="false" outlineLevel="0" collapsed="false">
      <c r="E1534" s="46"/>
      <c r="F1534" s="46"/>
      <c r="G1534" s="46"/>
    </row>
    <row r="1535" customFormat="false" ht="15" hidden="false" customHeight="false" outlineLevel="0" collapsed="false">
      <c r="E1535" s="46"/>
      <c r="F1535" s="46"/>
      <c r="G1535" s="46"/>
    </row>
    <row r="1536" customFormat="false" ht="15" hidden="false" customHeight="false" outlineLevel="0" collapsed="false">
      <c r="E1536" s="46"/>
      <c r="F1536" s="46"/>
      <c r="G1536" s="46"/>
    </row>
    <row r="1537" customFormat="false" ht="15" hidden="false" customHeight="false" outlineLevel="0" collapsed="false">
      <c r="E1537" s="46"/>
      <c r="F1537" s="46"/>
      <c r="G1537" s="46"/>
    </row>
    <row r="1538" customFormat="false" ht="15" hidden="false" customHeight="false" outlineLevel="0" collapsed="false">
      <c r="E1538" s="46"/>
      <c r="F1538" s="46"/>
      <c r="G1538" s="46"/>
    </row>
    <row r="1539" customFormat="false" ht="15" hidden="false" customHeight="false" outlineLevel="0" collapsed="false">
      <c r="E1539" s="46"/>
      <c r="F1539" s="46"/>
      <c r="G1539" s="46"/>
    </row>
    <row r="1540" customFormat="false" ht="15" hidden="false" customHeight="false" outlineLevel="0" collapsed="false">
      <c r="E1540" s="46"/>
      <c r="F1540" s="46"/>
      <c r="G1540" s="46"/>
    </row>
    <row r="1541" customFormat="false" ht="15" hidden="false" customHeight="false" outlineLevel="0" collapsed="false">
      <c r="E1541" s="46"/>
      <c r="F1541" s="46"/>
      <c r="G1541" s="46"/>
    </row>
    <row r="1542" customFormat="false" ht="15" hidden="false" customHeight="false" outlineLevel="0" collapsed="false">
      <c r="E1542" s="46"/>
      <c r="F1542" s="46"/>
      <c r="G1542" s="46"/>
    </row>
    <row r="1543" customFormat="false" ht="15" hidden="false" customHeight="false" outlineLevel="0" collapsed="false">
      <c r="E1543" s="46"/>
      <c r="F1543" s="46"/>
      <c r="G1543" s="46"/>
    </row>
    <row r="1544" customFormat="false" ht="15" hidden="false" customHeight="false" outlineLevel="0" collapsed="false">
      <c r="E1544" s="46"/>
      <c r="F1544" s="46"/>
      <c r="G1544" s="46"/>
    </row>
    <row r="1545" customFormat="false" ht="15" hidden="false" customHeight="false" outlineLevel="0" collapsed="false">
      <c r="E1545" s="46"/>
      <c r="F1545" s="46"/>
      <c r="G1545" s="46"/>
    </row>
    <row r="1546" customFormat="false" ht="15" hidden="false" customHeight="false" outlineLevel="0" collapsed="false">
      <c r="E1546" s="46"/>
      <c r="F1546" s="46"/>
      <c r="G1546" s="46"/>
    </row>
    <row r="1547" customFormat="false" ht="15" hidden="false" customHeight="false" outlineLevel="0" collapsed="false">
      <c r="E1547" s="46"/>
      <c r="F1547" s="46"/>
      <c r="G1547" s="46"/>
    </row>
    <row r="1548" customFormat="false" ht="15" hidden="false" customHeight="false" outlineLevel="0" collapsed="false">
      <c r="E1548" s="46"/>
      <c r="F1548" s="46"/>
      <c r="G1548" s="46"/>
    </row>
    <row r="1549" customFormat="false" ht="15" hidden="false" customHeight="false" outlineLevel="0" collapsed="false">
      <c r="E1549" s="46"/>
      <c r="F1549" s="46"/>
      <c r="G1549" s="46"/>
    </row>
    <row r="1550" customFormat="false" ht="15" hidden="false" customHeight="false" outlineLevel="0" collapsed="false">
      <c r="E1550" s="46"/>
      <c r="F1550" s="46"/>
      <c r="G1550" s="46"/>
    </row>
    <row r="1551" customFormat="false" ht="15" hidden="false" customHeight="false" outlineLevel="0" collapsed="false">
      <c r="E1551" s="46"/>
      <c r="F1551" s="46"/>
      <c r="G1551" s="46"/>
    </row>
    <row r="1552" customFormat="false" ht="15" hidden="false" customHeight="false" outlineLevel="0" collapsed="false">
      <c r="E1552" s="46"/>
      <c r="F1552" s="46"/>
      <c r="G1552" s="46"/>
    </row>
    <row r="1553" customFormat="false" ht="15" hidden="false" customHeight="false" outlineLevel="0" collapsed="false">
      <c r="E1553" s="46"/>
      <c r="F1553" s="46"/>
      <c r="G1553" s="46"/>
    </row>
    <row r="1554" customFormat="false" ht="15" hidden="false" customHeight="false" outlineLevel="0" collapsed="false">
      <c r="E1554" s="46"/>
      <c r="F1554" s="46"/>
      <c r="G1554" s="46"/>
    </row>
    <row r="1555" customFormat="false" ht="15" hidden="false" customHeight="false" outlineLevel="0" collapsed="false">
      <c r="E1555" s="46"/>
      <c r="F1555" s="46"/>
      <c r="G1555" s="46"/>
    </row>
    <row r="1556" customFormat="false" ht="15" hidden="false" customHeight="false" outlineLevel="0" collapsed="false">
      <c r="E1556" s="46"/>
      <c r="F1556" s="46"/>
      <c r="G1556" s="46"/>
    </row>
    <row r="1557" customFormat="false" ht="15" hidden="false" customHeight="false" outlineLevel="0" collapsed="false">
      <c r="E1557" s="46"/>
      <c r="F1557" s="46"/>
      <c r="G1557" s="46"/>
    </row>
    <row r="1558" customFormat="false" ht="15" hidden="false" customHeight="false" outlineLevel="0" collapsed="false">
      <c r="E1558" s="46"/>
      <c r="F1558" s="46"/>
      <c r="G1558" s="46"/>
    </row>
    <row r="1559" customFormat="false" ht="15" hidden="false" customHeight="false" outlineLevel="0" collapsed="false">
      <c r="E1559" s="46"/>
      <c r="F1559" s="46"/>
      <c r="G1559" s="46"/>
    </row>
    <row r="1560" customFormat="false" ht="15" hidden="false" customHeight="false" outlineLevel="0" collapsed="false">
      <c r="E1560" s="46"/>
      <c r="F1560" s="46"/>
      <c r="G1560" s="46"/>
    </row>
    <row r="1561" customFormat="false" ht="15" hidden="false" customHeight="false" outlineLevel="0" collapsed="false">
      <c r="E1561" s="46"/>
      <c r="F1561" s="46"/>
      <c r="G1561" s="46"/>
    </row>
    <row r="1562" customFormat="false" ht="15" hidden="false" customHeight="false" outlineLevel="0" collapsed="false">
      <c r="E1562" s="46"/>
      <c r="F1562" s="46"/>
      <c r="G1562" s="46"/>
    </row>
    <row r="1563" customFormat="false" ht="15" hidden="false" customHeight="false" outlineLevel="0" collapsed="false">
      <c r="E1563" s="46"/>
      <c r="F1563" s="46"/>
      <c r="G1563" s="46"/>
    </row>
    <row r="1564" customFormat="false" ht="15" hidden="false" customHeight="false" outlineLevel="0" collapsed="false">
      <c r="E1564" s="46"/>
      <c r="F1564" s="46"/>
      <c r="G1564" s="46"/>
    </row>
    <row r="1565" customFormat="false" ht="15" hidden="false" customHeight="false" outlineLevel="0" collapsed="false">
      <c r="E1565" s="46"/>
      <c r="F1565" s="46"/>
      <c r="G1565" s="46"/>
    </row>
    <row r="1566" customFormat="false" ht="15" hidden="false" customHeight="false" outlineLevel="0" collapsed="false">
      <c r="E1566" s="46"/>
      <c r="F1566" s="46"/>
      <c r="G1566" s="46"/>
    </row>
    <row r="1567" customFormat="false" ht="15" hidden="false" customHeight="false" outlineLevel="0" collapsed="false">
      <c r="E1567" s="46"/>
      <c r="F1567" s="46"/>
      <c r="G1567" s="46"/>
    </row>
    <row r="1568" customFormat="false" ht="15" hidden="false" customHeight="false" outlineLevel="0" collapsed="false">
      <c r="E1568" s="46"/>
      <c r="F1568" s="46"/>
      <c r="G1568" s="46"/>
    </row>
    <row r="1569" customFormat="false" ht="15" hidden="false" customHeight="false" outlineLevel="0" collapsed="false">
      <c r="E1569" s="46"/>
      <c r="F1569" s="46"/>
      <c r="G1569" s="46"/>
    </row>
    <row r="1570" customFormat="false" ht="15" hidden="false" customHeight="false" outlineLevel="0" collapsed="false">
      <c r="E1570" s="46"/>
      <c r="F1570" s="46"/>
      <c r="G1570" s="46"/>
    </row>
    <row r="1571" customFormat="false" ht="15" hidden="false" customHeight="false" outlineLevel="0" collapsed="false">
      <c r="E1571" s="46"/>
      <c r="F1571" s="46"/>
      <c r="G1571" s="46"/>
    </row>
    <row r="1572" customFormat="false" ht="15" hidden="false" customHeight="false" outlineLevel="0" collapsed="false">
      <c r="E1572" s="46"/>
      <c r="F1572" s="46"/>
      <c r="G1572" s="46"/>
    </row>
    <row r="1573" customFormat="false" ht="15" hidden="false" customHeight="false" outlineLevel="0" collapsed="false">
      <c r="E1573" s="46"/>
      <c r="F1573" s="46"/>
      <c r="G1573" s="46"/>
    </row>
    <row r="1574" customFormat="false" ht="15" hidden="false" customHeight="false" outlineLevel="0" collapsed="false">
      <c r="E1574" s="46"/>
      <c r="F1574" s="46"/>
      <c r="G1574" s="46"/>
    </row>
    <row r="1575" customFormat="false" ht="15" hidden="false" customHeight="false" outlineLevel="0" collapsed="false">
      <c r="E1575" s="46"/>
      <c r="F1575" s="46"/>
      <c r="G1575" s="46"/>
    </row>
    <row r="1576" customFormat="false" ht="15" hidden="false" customHeight="false" outlineLevel="0" collapsed="false">
      <c r="E1576" s="46"/>
      <c r="F1576" s="46"/>
      <c r="G1576" s="46"/>
    </row>
    <row r="1577" customFormat="false" ht="15" hidden="false" customHeight="false" outlineLevel="0" collapsed="false">
      <c r="E1577" s="46"/>
      <c r="F1577" s="46"/>
      <c r="G1577" s="46"/>
    </row>
    <row r="1578" customFormat="false" ht="15" hidden="false" customHeight="false" outlineLevel="0" collapsed="false">
      <c r="E1578" s="46"/>
      <c r="F1578" s="46"/>
      <c r="G1578" s="46"/>
    </row>
    <row r="1579" customFormat="false" ht="15" hidden="false" customHeight="false" outlineLevel="0" collapsed="false">
      <c r="E1579" s="46"/>
      <c r="F1579" s="46"/>
      <c r="G1579" s="46"/>
    </row>
    <row r="1580" customFormat="false" ht="15" hidden="false" customHeight="false" outlineLevel="0" collapsed="false">
      <c r="E1580" s="46"/>
      <c r="F1580" s="46"/>
      <c r="G1580" s="46"/>
    </row>
    <row r="1581" customFormat="false" ht="15" hidden="false" customHeight="false" outlineLevel="0" collapsed="false">
      <c r="E1581" s="46"/>
      <c r="F1581" s="46"/>
      <c r="G1581" s="46"/>
    </row>
    <row r="1582" customFormat="false" ht="15" hidden="false" customHeight="false" outlineLevel="0" collapsed="false">
      <c r="E1582" s="46"/>
      <c r="F1582" s="46"/>
      <c r="G1582" s="46"/>
    </row>
    <row r="1583" customFormat="false" ht="15" hidden="false" customHeight="false" outlineLevel="0" collapsed="false">
      <c r="E1583" s="46"/>
      <c r="F1583" s="46"/>
      <c r="G1583" s="46"/>
    </row>
    <row r="1584" customFormat="false" ht="15" hidden="false" customHeight="false" outlineLevel="0" collapsed="false">
      <c r="E1584" s="46"/>
      <c r="F1584" s="46"/>
      <c r="G1584" s="46"/>
    </row>
    <row r="1585" customFormat="false" ht="15" hidden="false" customHeight="false" outlineLevel="0" collapsed="false">
      <c r="E1585" s="46"/>
      <c r="F1585" s="46"/>
      <c r="G1585" s="46"/>
    </row>
    <row r="1586" customFormat="false" ht="15" hidden="false" customHeight="false" outlineLevel="0" collapsed="false">
      <c r="E1586" s="46"/>
      <c r="F1586" s="46"/>
      <c r="G1586" s="46"/>
    </row>
    <row r="1587" customFormat="false" ht="15" hidden="false" customHeight="false" outlineLevel="0" collapsed="false">
      <c r="E1587" s="46"/>
      <c r="F1587" s="46"/>
      <c r="G1587" s="46"/>
    </row>
    <row r="1588" customFormat="false" ht="15" hidden="false" customHeight="false" outlineLevel="0" collapsed="false">
      <c r="E1588" s="46"/>
      <c r="F1588" s="46"/>
      <c r="G1588" s="46"/>
    </row>
    <row r="1589" customFormat="false" ht="15" hidden="false" customHeight="false" outlineLevel="0" collapsed="false">
      <c r="E1589" s="46"/>
      <c r="F1589" s="46"/>
      <c r="G1589" s="46"/>
    </row>
    <row r="1590" customFormat="false" ht="15" hidden="false" customHeight="false" outlineLevel="0" collapsed="false">
      <c r="E1590" s="46"/>
      <c r="F1590" s="46"/>
      <c r="G1590" s="46"/>
    </row>
    <row r="1591" customFormat="false" ht="15" hidden="false" customHeight="false" outlineLevel="0" collapsed="false">
      <c r="E1591" s="46"/>
      <c r="F1591" s="46"/>
      <c r="G1591" s="46"/>
    </row>
    <row r="1592" customFormat="false" ht="15" hidden="false" customHeight="false" outlineLevel="0" collapsed="false">
      <c r="E1592" s="46"/>
      <c r="F1592" s="46"/>
      <c r="G1592" s="46"/>
    </row>
    <row r="1593" customFormat="false" ht="15" hidden="false" customHeight="false" outlineLevel="0" collapsed="false">
      <c r="E1593" s="46"/>
      <c r="F1593" s="46"/>
      <c r="G1593" s="46"/>
    </row>
    <row r="1594" customFormat="false" ht="15" hidden="false" customHeight="false" outlineLevel="0" collapsed="false">
      <c r="E1594" s="46"/>
      <c r="F1594" s="46"/>
      <c r="G1594" s="46"/>
    </row>
    <row r="1595" customFormat="false" ht="15" hidden="false" customHeight="false" outlineLevel="0" collapsed="false">
      <c r="E1595" s="46"/>
      <c r="F1595" s="46"/>
      <c r="G1595" s="46"/>
    </row>
    <row r="1596" customFormat="false" ht="15" hidden="false" customHeight="false" outlineLevel="0" collapsed="false">
      <c r="E1596" s="46"/>
      <c r="F1596" s="46"/>
      <c r="G1596" s="46"/>
    </row>
    <row r="1597" customFormat="false" ht="15" hidden="false" customHeight="false" outlineLevel="0" collapsed="false">
      <c r="E1597" s="46"/>
      <c r="F1597" s="46"/>
      <c r="G1597" s="46"/>
    </row>
    <row r="1598" customFormat="false" ht="15" hidden="false" customHeight="false" outlineLevel="0" collapsed="false">
      <c r="E1598" s="46"/>
      <c r="F1598" s="46"/>
      <c r="G1598" s="46"/>
    </row>
    <row r="1599" customFormat="false" ht="15" hidden="false" customHeight="false" outlineLevel="0" collapsed="false">
      <c r="E1599" s="46"/>
      <c r="F1599" s="46"/>
      <c r="G1599" s="46"/>
    </row>
    <row r="1600" customFormat="false" ht="15" hidden="false" customHeight="false" outlineLevel="0" collapsed="false">
      <c r="E1600" s="46"/>
      <c r="F1600" s="46"/>
      <c r="G1600" s="46"/>
    </row>
    <row r="1601" customFormat="false" ht="15" hidden="false" customHeight="false" outlineLevel="0" collapsed="false">
      <c r="E1601" s="46"/>
      <c r="F1601" s="46"/>
      <c r="G1601" s="46"/>
    </row>
    <row r="1602" customFormat="false" ht="15" hidden="false" customHeight="false" outlineLevel="0" collapsed="false">
      <c r="E1602" s="46"/>
      <c r="F1602" s="46"/>
      <c r="G1602" s="46"/>
    </row>
    <row r="1603" customFormat="false" ht="15" hidden="false" customHeight="false" outlineLevel="0" collapsed="false">
      <c r="E1603" s="46"/>
      <c r="F1603" s="46"/>
      <c r="G1603" s="46"/>
    </row>
    <row r="1604" customFormat="false" ht="15" hidden="false" customHeight="false" outlineLevel="0" collapsed="false">
      <c r="E1604" s="46"/>
      <c r="F1604" s="46"/>
      <c r="G1604" s="46"/>
    </row>
    <row r="1605" customFormat="false" ht="15" hidden="false" customHeight="false" outlineLevel="0" collapsed="false">
      <c r="E1605" s="46"/>
      <c r="F1605" s="46"/>
      <c r="G1605" s="46"/>
    </row>
    <row r="1606" customFormat="false" ht="15" hidden="false" customHeight="false" outlineLevel="0" collapsed="false">
      <c r="E1606" s="46"/>
      <c r="F1606" s="46"/>
      <c r="G1606" s="46"/>
    </row>
    <row r="1607" customFormat="false" ht="15" hidden="false" customHeight="false" outlineLevel="0" collapsed="false">
      <c r="E1607" s="46"/>
      <c r="F1607" s="46"/>
      <c r="G1607" s="46"/>
    </row>
    <row r="1608" customFormat="false" ht="15" hidden="false" customHeight="false" outlineLevel="0" collapsed="false">
      <c r="E1608" s="46"/>
      <c r="F1608" s="46"/>
      <c r="G1608" s="46"/>
    </row>
    <row r="1609" customFormat="false" ht="15" hidden="false" customHeight="false" outlineLevel="0" collapsed="false">
      <c r="E1609" s="46"/>
      <c r="F1609" s="46"/>
      <c r="G1609" s="46"/>
    </row>
    <row r="1610" customFormat="false" ht="15" hidden="false" customHeight="false" outlineLevel="0" collapsed="false">
      <c r="E1610" s="46"/>
      <c r="F1610" s="46"/>
      <c r="G1610" s="46"/>
    </row>
    <row r="1611" customFormat="false" ht="15" hidden="false" customHeight="false" outlineLevel="0" collapsed="false">
      <c r="E1611" s="46"/>
      <c r="F1611" s="46"/>
      <c r="G1611" s="46"/>
    </row>
    <row r="1612" customFormat="false" ht="15" hidden="false" customHeight="false" outlineLevel="0" collapsed="false">
      <c r="E1612" s="46"/>
      <c r="F1612" s="46"/>
      <c r="G1612" s="46"/>
    </row>
    <row r="1613" customFormat="false" ht="15" hidden="false" customHeight="false" outlineLevel="0" collapsed="false">
      <c r="E1613" s="46"/>
      <c r="F1613" s="46"/>
      <c r="G1613" s="46"/>
    </row>
    <row r="1614" customFormat="false" ht="15" hidden="false" customHeight="false" outlineLevel="0" collapsed="false">
      <c r="E1614" s="46"/>
      <c r="F1614" s="46"/>
      <c r="G1614" s="46"/>
    </row>
    <row r="1615" customFormat="false" ht="15" hidden="false" customHeight="false" outlineLevel="0" collapsed="false">
      <c r="E1615" s="46"/>
      <c r="F1615" s="46"/>
      <c r="G1615" s="46"/>
    </row>
    <row r="1616" customFormat="false" ht="15" hidden="false" customHeight="false" outlineLevel="0" collapsed="false">
      <c r="E1616" s="46"/>
      <c r="F1616" s="46"/>
      <c r="G1616" s="46"/>
    </row>
    <row r="1617" customFormat="false" ht="15" hidden="false" customHeight="false" outlineLevel="0" collapsed="false">
      <c r="E1617" s="46"/>
      <c r="F1617" s="46"/>
      <c r="G1617" s="46"/>
    </row>
    <row r="1618" customFormat="false" ht="15" hidden="false" customHeight="false" outlineLevel="0" collapsed="false">
      <c r="E1618" s="46"/>
      <c r="F1618" s="46"/>
      <c r="G1618" s="46"/>
    </row>
    <row r="1619" customFormat="false" ht="15" hidden="false" customHeight="false" outlineLevel="0" collapsed="false">
      <c r="E1619" s="46"/>
      <c r="F1619" s="46"/>
      <c r="G1619" s="46"/>
    </row>
    <row r="1620" customFormat="false" ht="15" hidden="false" customHeight="false" outlineLevel="0" collapsed="false">
      <c r="E1620" s="46"/>
      <c r="F1620" s="46"/>
      <c r="G1620" s="46"/>
    </row>
    <row r="1621" customFormat="false" ht="15" hidden="false" customHeight="false" outlineLevel="0" collapsed="false">
      <c r="E1621" s="46"/>
      <c r="F1621" s="46"/>
      <c r="G1621" s="46"/>
    </row>
    <row r="1622" customFormat="false" ht="15" hidden="false" customHeight="false" outlineLevel="0" collapsed="false">
      <c r="E1622" s="46"/>
      <c r="F1622" s="46"/>
      <c r="G1622" s="46"/>
    </row>
    <row r="1623" customFormat="false" ht="15" hidden="false" customHeight="false" outlineLevel="0" collapsed="false">
      <c r="E1623" s="46"/>
      <c r="F1623" s="46"/>
      <c r="G1623" s="46"/>
    </row>
    <row r="1624" customFormat="false" ht="15" hidden="false" customHeight="false" outlineLevel="0" collapsed="false">
      <c r="E1624" s="46"/>
      <c r="F1624" s="46"/>
      <c r="G1624" s="46"/>
    </row>
    <row r="1625" customFormat="false" ht="15" hidden="false" customHeight="false" outlineLevel="0" collapsed="false">
      <c r="E1625" s="46"/>
      <c r="F1625" s="46"/>
      <c r="G1625" s="46"/>
    </row>
    <row r="1626" customFormat="false" ht="15" hidden="false" customHeight="false" outlineLevel="0" collapsed="false">
      <c r="E1626" s="46"/>
      <c r="F1626" s="46"/>
      <c r="G1626" s="46"/>
    </row>
    <row r="1627" customFormat="false" ht="15" hidden="false" customHeight="false" outlineLevel="0" collapsed="false">
      <c r="E1627" s="46"/>
      <c r="F1627" s="46"/>
      <c r="G1627" s="46"/>
    </row>
    <row r="1628" customFormat="false" ht="15" hidden="false" customHeight="false" outlineLevel="0" collapsed="false">
      <c r="E1628" s="46"/>
      <c r="F1628" s="46"/>
      <c r="G1628" s="46"/>
    </row>
    <row r="1629" customFormat="false" ht="15" hidden="false" customHeight="false" outlineLevel="0" collapsed="false">
      <c r="E1629" s="46"/>
      <c r="F1629" s="46"/>
      <c r="G1629" s="46"/>
    </row>
    <row r="1630" customFormat="false" ht="15" hidden="false" customHeight="false" outlineLevel="0" collapsed="false">
      <c r="E1630" s="46"/>
      <c r="F1630" s="46"/>
      <c r="G1630" s="46"/>
    </row>
    <row r="1631" customFormat="false" ht="15" hidden="false" customHeight="false" outlineLevel="0" collapsed="false">
      <c r="E1631" s="46"/>
      <c r="F1631" s="46"/>
      <c r="G1631" s="46"/>
    </row>
    <row r="1632" customFormat="false" ht="15" hidden="false" customHeight="false" outlineLevel="0" collapsed="false">
      <c r="E1632" s="46"/>
      <c r="F1632" s="46"/>
      <c r="G1632" s="46"/>
    </row>
    <row r="1633" customFormat="false" ht="15" hidden="false" customHeight="false" outlineLevel="0" collapsed="false">
      <c r="E1633" s="46"/>
      <c r="F1633" s="46"/>
      <c r="G1633" s="46"/>
    </row>
    <row r="1634" customFormat="false" ht="15" hidden="false" customHeight="false" outlineLevel="0" collapsed="false">
      <c r="E1634" s="46"/>
      <c r="F1634" s="46"/>
      <c r="G1634" s="46"/>
    </row>
    <row r="1635" customFormat="false" ht="15" hidden="false" customHeight="false" outlineLevel="0" collapsed="false">
      <c r="E1635" s="46"/>
      <c r="F1635" s="46"/>
      <c r="G1635" s="46"/>
    </row>
    <row r="1636" customFormat="false" ht="15" hidden="false" customHeight="false" outlineLevel="0" collapsed="false">
      <c r="E1636" s="46"/>
      <c r="F1636" s="46"/>
      <c r="G1636" s="46"/>
    </row>
    <row r="1637" customFormat="false" ht="15" hidden="false" customHeight="false" outlineLevel="0" collapsed="false">
      <c r="E1637" s="46"/>
      <c r="F1637" s="46"/>
      <c r="G1637" s="46"/>
    </row>
    <row r="1638" customFormat="false" ht="15" hidden="false" customHeight="false" outlineLevel="0" collapsed="false">
      <c r="E1638" s="46"/>
      <c r="F1638" s="46"/>
      <c r="G1638" s="46"/>
    </row>
    <row r="1639" customFormat="false" ht="15" hidden="false" customHeight="false" outlineLevel="0" collapsed="false">
      <c r="E1639" s="46"/>
      <c r="F1639" s="46"/>
      <c r="G1639" s="46"/>
    </row>
    <row r="1640" customFormat="false" ht="15" hidden="false" customHeight="false" outlineLevel="0" collapsed="false">
      <c r="E1640" s="46"/>
      <c r="F1640" s="46"/>
      <c r="G1640" s="46"/>
    </row>
    <row r="1641" customFormat="false" ht="15" hidden="false" customHeight="false" outlineLevel="0" collapsed="false">
      <c r="E1641" s="46"/>
      <c r="F1641" s="46"/>
      <c r="G1641" s="46"/>
    </row>
    <row r="1642" customFormat="false" ht="15" hidden="false" customHeight="false" outlineLevel="0" collapsed="false">
      <c r="E1642" s="46"/>
      <c r="F1642" s="46"/>
      <c r="G1642" s="46"/>
    </row>
    <row r="1643" customFormat="false" ht="15" hidden="false" customHeight="false" outlineLevel="0" collapsed="false">
      <c r="E1643" s="46"/>
      <c r="F1643" s="46"/>
      <c r="G1643" s="46"/>
    </row>
    <row r="1644" customFormat="false" ht="15" hidden="false" customHeight="false" outlineLevel="0" collapsed="false">
      <c r="E1644" s="46"/>
      <c r="F1644" s="46"/>
      <c r="G1644" s="46"/>
    </row>
    <row r="1645" customFormat="false" ht="15" hidden="false" customHeight="false" outlineLevel="0" collapsed="false">
      <c r="E1645" s="46"/>
      <c r="F1645" s="46"/>
      <c r="G1645" s="46"/>
    </row>
    <row r="1646" customFormat="false" ht="15" hidden="false" customHeight="false" outlineLevel="0" collapsed="false">
      <c r="E1646" s="46"/>
      <c r="F1646" s="46"/>
      <c r="G1646" s="46"/>
    </row>
    <row r="1647" customFormat="false" ht="15" hidden="false" customHeight="false" outlineLevel="0" collapsed="false">
      <c r="E1647" s="46"/>
      <c r="F1647" s="46"/>
      <c r="G1647" s="46"/>
    </row>
    <row r="1648" customFormat="false" ht="15" hidden="false" customHeight="false" outlineLevel="0" collapsed="false">
      <c r="E1648" s="46"/>
      <c r="F1648" s="46"/>
      <c r="G1648" s="46"/>
    </row>
    <row r="1649" customFormat="false" ht="15" hidden="false" customHeight="false" outlineLevel="0" collapsed="false">
      <c r="E1649" s="46"/>
      <c r="F1649" s="46"/>
      <c r="G1649" s="46"/>
    </row>
    <row r="1650" customFormat="false" ht="15" hidden="false" customHeight="false" outlineLevel="0" collapsed="false">
      <c r="E1650" s="46"/>
      <c r="F1650" s="46"/>
      <c r="G1650" s="46"/>
    </row>
    <row r="1651" customFormat="false" ht="15" hidden="false" customHeight="false" outlineLevel="0" collapsed="false">
      <c r="E1651" s="46"/>
      <c r="F1651" s="46"/>
      <c r="G1651" s="46"/>
    </row>
    <row r="1652" customFormat="false" ht="15" hidden="false" customHeight="false" outlineLevel="0" collapsed="false">
      <c r="E1652" s="46"/>
      <c r="F1652" s="46"/>
      <c r="G1652" s="46"/>
    </row>
    <row r="1653" customFormat="false" ht="15" hidden="false" customHeight="false" outlineLevel="0" collapsed="false">
      <c r="E1653" s="46"/>
      <c r="F1653" s="46"/>
      <c r="G1653" s="46"/>
    </row>
    <row r="1654" customFormat="false" ht="15" hidden="false" customHeight="false" outlineLevel="0" collapsed="false">
      <c r="E1654" s="46"/>
      <c r="F1654" s="46"/>
      <c r="G1654" s="46"/>
    </row>
    <row r="1655" customFormat="false" ht="15" hidden="false" customHeight="false" outlineLevel="0" collapsed="false">
      <c r="E1655" s="46"/>
      <c r="F1655" s="46"/>
      <c r="G1655" s="46"/>
    </row>
    <row r="1656" customFormat="false" ht="15" hidden="false" customHeight="false" outlineLevel="0" collapsed="false">
      <c r="E1656" s="46"/>
      <c r="F1656" s="46"/>
      <c r="G1656" s="46"/>
    </row>
    <row r="1657" customFormat="false" ht="15" hidden="false" customHeight="false" outlineLevel="0" collapsed="false">
      <c r="E1657" s="46"/>
      <c r="F1657" s="46"/>
      <c r="G1657" s="46"/>
    </row>
    <row r="1658" customFormat="false" ht="15" hidden="false" customHeight="false" outlineLevel="0" collapsed="false">
      <c r="E1658" s="46"/>
      <c r="F1658" s="46"/>
      <c r="G1658" s="46"/>
    </row>
    <row r="1659" customFormat="false" ht="15" hidden="false" customHeight="false" outlineLevel="0" collapsed="false">
      <c r="E1659" s="46"/>
      <c r="F1659" s="46"/>
      <c r="G1659" s="46"/>
    </row>
    <row r="1660" customFormat="false" ht="15" hidden="false" customHeight="false" outlineLevel="0" collapsed="false">
      <c r="E1660" s="46"/>
      <c r="F1660" s="46"/>
      <c r="G1660" s="46"/>
    </row>
    <row r="1661" customFormat="false" ht="15" hidden="false" customHeight="false" outlineLevel="0" collapsed="false">
      <c r="E1661" s="46"/>
      <c r="F1661" s="46"/>
      <c r="G1661" s="46"/>
    </row>
    <row r="1662" customFormat="false" ht="15" hidden="false" customHeight="false" outlineLevel="0" collapsed="false">
      <c r="E1662" s="46"/>
      <c r="F1662" s="46"/>
      <c r="G1662" s="46"/>
    </row>
    <row r="1663" customFormat="false" ht="15" hidden="false" customHeight="false" outlineLevel="0" collapsed="false">
      <c r="E1663" s="46"/>
      <c r="F1663" s="46"/>
      <c r="G1663" s="46"/>
    </row>
    <row r="1664" customFormat="false" ht="15" hidden="false" customHeight="false" outlineLevel="0" collapsed="false">
      <c r="E1664" s="46"/>
      <c r="F1664" s="46"/>
      <c r="G1664" s="46"/>
    </row>
    <row r="1665" customFormat="false" ht="15" hidden="false" customHeight="false" outlineLevel="0" collapsed="false">
      <c r="E1665" s="46"/>
      <c r="F1665" s="46"/>
      <c r="G1665" s="46"/>
    </row>
    <row r="1666" customFormat="false" ht="15" hidden="false" customHeight="false" outlineLevel="0" collapsed="false">
      <c r="E1666" s="46"/>
      <c r="F1666" s="46"/>
      <c r="G1666" s="46"/>
    </row>
    <row r="1667" customFormat="false" ht="15" hidden="false" customHeight="false" outlineLevel="0" collapsed="false">
      <c r="E1667" s="46"/>
      <c r="F1667" s="46"/>
      <c r="G1667" s="46"/>
    </row>
    <row r="1668" customFormat="false" ht="15" hidden="false" customHeight="false" outlineLevel="0" collapsed="false">
      <c r="E1668" s="46"/>
      <c r="F1668" s="46"/>
      <c r="G1668" s="46"/>
    </row>
    <row r="1669" customFormat="false" ht="15" hidden="false" customHeight="false" outlineLevel="0" collapsed="false">
      <c r="E1669" s="46"/>
      <c r="F1669" s="46"/>
      <c r="G1669" s="46"/>
    </row>
    <row r="1670" customFormat="false" ht="15" hidden="false" customHeight="false" outlineLevel="0" collapsed="false">
      <c r="E1670" s="46"/>
      <c r="F1670" s="46"/>
      <c r="G1670" s="46"/>
    </row>
    <row r="1671" customFormat="false" ht="15" hidden="false" customHeight="false" outlineLevel="0" collapsed="false">
      <c r="E1671" s="46"/>
      <c r="F1671" s="46"/>
      <c r="G1671" s="46"/>
    </row>
    <row r="1672" customFormat="false" ht="15" hidden="false" customHeight="false" outlineLevel="0" collapsed="false">
      <c r="E1672" s="46"/>
      <c r="F1672" s="46"/>
      <c r="G1672" s="46"/>
    </row>
    <row r="1673" customFormat="false" ht="15" hidden="false" customHeight="false" outlineLevel="0" collapsed="false">
      <c r="E1673" s="46"/>
      <c r="F1673" s="46"/>
      <c r="G1673" s="46"/>
    </row>
    <row r="1674" customFormat="false" ht="15" hidden="false" customHeight="false" outlineLevel="0" collapsed="false">
      <c r="E1674" s="46"/>
      <c r="F1674" s="46"/>
      <c r="G1674" s="46"/>
    </row>
    <row r="1675" customFormat="false" ht="15" hidden="false" customHeight="false" outlineLevel="0" collapsed="false">
      <c r="E1675" s="46"/>
      <c r="F1675" s="46"/>
      <c r="G1675" s="46"/>
    </row>
    <row r="1676" customFormat="false" ht="15" hidden="false" customHeight="false" outlineLevel="0" collapsed="false">
      <c r="E1676" s="46"/>
      <c r="F1676" s="46"/>
      <c r="G1676" s="46"/>
    </row>
    <row r="1677" customFormat="false" ht="15" hidden="false" customHeight="false" outlineLevel="0" collapsed="false">
      <c r="E1677" s="46"/>
      <c r="F1677" s="46"/>
      <c r="G1677" s="46"/>
    </row>
    <row r="1678" customFormat="false" ht="15" hidden="false" customHeight="false" outlineLevel="0" collapsed="false">
      <c r="E1678" s="46"/>
      <c r="F1678" s="46"/>
      <c r="G1678" s="46"/>
    </row>
    <row r="1679" customFormat="false" ht="15" hidden="false" customHeight="false" outlineLevel="0" collapsed="false">
      <c r="E1679" s="46"/>
      <c r="F1679" s="46"/>
      <c r="G1679" s="46"/>
    </row>
    <row r="1680" customFormat="false" ht="15" hidden="false" customHeight="false" outlineLevel="0" collapsed="false">
      <c r="E1680" s="46"/>
      <c r="F1680" s="46"/>
      <c r="G1680" s="46"/>
    </row>
    <row r="1681" customFormat="false" ht="15" hidden="false" customHeight="false" outlineLevel="0" collapsed="false">
      <c r="E1681" s="46"/>
      <c r="F1681" s="46"/>
      <c r="G1681" s="46"/>
    </row>
    <row r="1682" customFormat="false" ht="15" hidden="false" customHeight="false" outlineLevel="0" collapsed="false">
      <c r="E1682" s="46"/>
      <c r="F1682" s="46"/>
      <c r="G1682" s="46"/>
    </row>
    <row r="1683" customFormat="false" ht="15" hidden="false" customHeight="false" outlineLevel="0" collapsed="false">
      <c r="E1683" s="46"/>
      <c r="F1683" s="46"/>
      <c r="G1683" s="46"/>
    </row>
    <row r="1684" customFormat="false" ht="15" hidden="false" customHeight="false" outlineLevel="0" collapsed="false">
      <c r="E1684" s="46"/>
      <c r="F1684" s="46"/>
      <c r="G1684" s="46"/>
    </row>
    <row r="1685" customFormat="false" ht="15" hidden="false" customHeight="false" outlineLevel="0" collapsed="false">
      <c r="E1685" s="46"/>
      <c r="F1685" s="46"/>
      <c r="G1685" s="46"/>
    </row>
    <row r="1686" customFormat="false" ht="15" hidden="false" customHeight="false" outlineLevel="0" collapsed="false">
      <c r="E1686" s="46"/>
      <c r="F1686" s="46"/>
      <c r="G1686" s="46"/>
    </row>
    <row r="1687" customFormat="false" ht="15" hidden="false" customHeight="false" outlineLevel="0" collapsed="false">
      <c r="E1687" s="46"/>
      <c r="F1687" s="46"/>
      <c r="G1687" s="46"/>
    </row>
    <row r="1688" customFormat="false" ht="15" hidden="false" customHeight="false" outlineLevel="0" collapsed="false">
      <c r="E1688" s="46"/>
      <c r="F1688" s="46"/>
      <c r="G1688" s="46"/>
    </row>
    <row r="1689" customFormat="false" ht="15" hidden="false" customHeight="false" outlineLevel="0" collapsed="false">
      <c r="E1689" s="46"/>
      <c r="F1689" s="46"/>
      <c r="G1689" s="46"/>
    </row>
    <row r="1690" customFormat="false" ht="15" hidden="false" customHeight="false" outlineLevel="0" collapsed="false">
      <c r="E1690" s="46"/>
      <c r="F1690" s="46"/>
      <c r="G1690" s="46"/>
    </row>
    <row r="1691" customFormat="false" ht="15" hidden="false" customHeight="false" outlineLevel="0" collapsed="false">
      <c r="E1691" s="46"/>
      <c r="F1691" s="46"/>
      <c r="G1691" s="46"/>
    </row>
    <row r="1692" customFormat="false" ht="15" hidden="false" customHeight="false" outlineLevel="0" collapsed="false">
      <c r="E1692" s="46"/>
      <c r="F1692" s="46"/>
      <c r="G1692" s="46"/>
    </row>
    <row r="1693" customFormat="false" ht="15" hidden="false" customHeight="false" outlineLevel="0" collapsed="false">
      <c r="E1693" s="46"/>
      <c r="F1693" s="46"/>
      <c r="G1693" s="46"/>
    </row>
    <row r="1694" customFormat="false" ht="15" hidden="false" customHeight="false" outlineLevel="0" collapsed="false">
      <c r="E1694" s="46"/>
      <c r="F1694" s="46"/>
      <c r="G1694" s="46"/>
    </row>
    <row r="1695" customFormat="false" ht="15" hidden="false" customHeight="false" outlineLevel="0" collapsed="false">
      <c r="E1695" s="46"/>
      <c r="F1695" s="46"/>
      <c r="G1695" s="46"/>
    </row>
    <row r="1696" customFormat="false" ht="15" hidden="false" customHeight="false" outlineLevel="0" collapsed="false">
      <c r="E1696" s="46"/>
      <c r="F1696" s="46"/>
      <c r="G1696" s="46"/>
    </row>
    <row r="1697" customFormat="false" ht="15" hidden="false" customHeight="false" outlineLevel="0" collapsed="false">
      <c r="E1697" s="46"/>
      <c r="F1697" s="46"/>
      <c r="G1697" s="46"/>
    </row>
    <row r="1698" customFormat="false" ht="15" hidden="false" customHeight="false" outlineLevel="0" collapsed="false">
      <c r="E1698" s="46"/>
      <c r="F1698" s="46"/>
      <c r="G1698" s="46"/>
    </row>
    <row r="1699" customFormat="false" ht="15" hidden="false" customHeight="false" outlineLevel="0" collapsed="false">
      <c r="E1699" s="46"/>
      <c r="F1699" s="46"/>
      <c r="G1699" s="46"/>
    </row>
    <row r="1700" customFormat="false" ht="15" hidden="false" customHeight="false" outlineLevel="0" collapsed="false">
      <c r="E1700" s="46"/>
      <c r="F1700" s="46"/>
      <c r="G1700" s="46"/>
    </row>
    <row r="1701" customFormat="false" ht="15" hidden="false" customHeight="false" outlineLevel="0" collapsed="false">
      <c r="E1701" s="46"/>
      <c r="F1701" s="46"/>
      <c r="G1701" s="46"/>
    </row>
    <row r="1702" customFormat="false" ht="15" hidden="false" customHeight="false" outlineLevel="0" collapsed="false">
      <c r="E1702" s="46"/>
      <c r="F1702" s="46"/>
      <c r="G1702" s="46"/>
    </row>
    <row r="1703" customFormat="false" ht="15" hidden="false" customHeight="false" outlineLevel="0" collapsed="false">
      <c r="E1703" s="46"/>
      <c r="F1703" s="46"/>
      <c r="G1703" s="46"/>
    </row>
    <row r="1704" customFormat="false" ht="15" hidden="false" customHeight="false" outlineLevel="0" collapsed="false">
      <c r="E1704" s="46"/>
      <c r="F1704" s="46"/>
      <c r="G1704" s="46"/>
    </row>
    <row r="1705" customFormat="false" ht="15" hidden="false" customHeight="false" outlineLevel="0" collapsed="false">
      <c r="E1705" s="46"/>
      <c r="F1705" s="46"/>
      <c r="G1705" s="46"/>
    </row>
    <row r="1706" customFormat="false" ht="15" hidden="false" customHeight="false" outlineLevel="0" collapsed="false">
      <c r="E1706" s="46"/>
      <c r="F1706" s="46"/>
      <c r="G1706" s="46"/>
    </row>
    <row r="1707" customFormat="false" ht="15" hidden="false" customHeight="false" outlineLevel="0" collapsed="false">
      <c r="E1707" s="46"/>
      <c r="F1707" s="46"/>
      <c r="G1707" s="46"/>
    </row>
    <row r="1708" customFormat="false" ht="15" hidden="false" customHeight="false" outlineLevel="0" collapsed="false">
      <c r="E1708" s="46"/>
      <c r="F1708" s="46"/>
      <c r="G1708" s="46"/>
    </row>
    <row r="1709" customFormat="false" ht="15" hidden="false" customHeight="false" outlineLevel="0" collapsed="false">
      <c r="E1709" s="46"/>
      <c r="F1709" s="46"/>
      <c r="G1709" s="46"/>
    </row>
    <row r="1710" customFormat="false" ht="15" hidden="false" customHeight="false" outlineLevel="0" collapsed="false">
      <c r="E1710" s="46"/>
      <c r="F1710" s="46"/>
      <c r="G1710" s="46"/>
    </row>
    <row r="1711" customFormat="false" ht="15" hidden="false" customHeight="false" outlineLevel="0" collapsed="false">
      <c r="E1711" s="46"/>
      <c r="F1711" s="46"/>
      <c r="G1711" s="46"/>
    </row>
    <row r="1712" customFormat="false" ht="15" hidden="false" customHeight="false" outlineLevel="0" collapsed="false">
      <c r="E1712" s="46"/>
      <c r="F1712" s="46"/>
      <c r="G1712" s="46"/>
    </row>
    <row r="1713" customFormat="false" ht="15" hidden="false" customHeight="false" outlineLevel="0" collapsed="false">
      <c r="E1713" s="46"/>
      <c r="F1713" s="46"/>
      <c r="G1713" s="46"/>
    </row>
    <row r="1714" customFormat="false" ht="15" hidden="false" customHeight="false" outlineLevel="0" collapsed="false">
      <c r="E1714" s="46"/>
      <c r="F1714" s="46"/>
      <c r="G1714" s="46"/>
    </row>
    <row r="1715" customFormat="false" ht="15" hidden="false" customHeight="false" outlineLevel="0" collapsed="false">
      <c r="E1715" s="46"/>
      <c r="F1715" s="46"/>
      <c r="G1715" s="46"/>
    </row>
    <row r="1716" customFormat="false" ht="15" hidden="false" customHeight="false" outlineLevel="0" collapsed="false">
      <c r="E1716" s="46"/>
      <c r="F1716" s="46"/>
      <c r="G1716" s="46"/>
    </row>
    <row r="1717" customFormat="false" ht="15" hidden="false" customHeight="false" outlineLevel="0" collapsed="false">
      <c r="E1717" s="46"/>
      <c r="F1717" s="46"/>
      <c r="G1717" s="46"/>
    </row>
    <row r="1718" customFormat="false" ht="15" hidden="false" customHeight="false" outlineLevel="0" collapsed="false">
      <c r="E1718" s="46"/>
      <c r="F1718" s="46"/>
      <c r="G1718" s="46"/>
    </row>
    <row r="1719" customFormat="false" ht="15" hidden="false" customHeight="false" outlineLevel="0" collapsed="false">
      <c r="E1719" s="46"/>
      <c r="F1719" s="46"/>
      <c r="G1719" s="46"/>
    </row>
    <row r="1720" customFormat="false" ht="15" hidden="false" customHeight="false" outlineLevel="0" collapsed="false">
      <c r="E1720" s="46"/>
      <c r="F1720" s="46"/>
      <c r="G1720" s="46"/>
    </row>
    <row r="1721" customFormat="false" ht="15" hidden="false" customHeight="false" outlineLevel="0" collapsed="false">
      <c r="E1721" s="46"/>
      <c r="F1721" s="46"/>
      <c r="G1721" s="46"/>
    </row>
    <row r="1722" customFormat="false" ht="15" hidden="false" customHeight="false" outlineLevel="0" collapsed="false">
      <c r="E1722" s="46"/>
      <c r="F1722" s="46"/>
      <c r="G1722" s="46"/>
    </row>
    <row r="1723" customFormat="false" ht="15" hidden="false" customHeight="false" outlineLevel="0" collapsed="false">
      <c r="E1723" s="46"/>
      <c r="F1723" s="46"/>
      <c r="G1723" s="46"/>
    </row>
    <row r="1724" customFormat="false" ht="15" hidden="false" customHeight="false" outlineLevel="0" collapsed="false">
      <c r="E1724" s="46"/>
      <c r="F1724" s="46"/>
      <c r="G1724" s="46"/>
    </row>
    <row r="1725" customFormat="false" ht="15" hidden="false" customHeight="false" outlineLevel="0" collapsed="false">
      <c r="E1725" s="46"/>
      <c r="F1725" s="46"/>
      <c r="G1725" s="46"/>
    </row>
    <row r="1726" customFormat="false" ht="15" hidden="false" customHeight="false" outlineLevel="0" collapsed="false">
      <c r="E1726" s="46"/>
      <c r="F1726" s="46"/>
      <c r="G1726" s="46"/>
    </row>
    <row r="1727" customFormat="false" ht="15" hidden="false" customHeight="false" outlineLevel="0" collapsed="false">
      <c r="E1727" s="46"/>
      <c r="F1727" s="46"/>
      <c r="G1727" s="46"/>
    </row>
    <row r="1728" customFormat="false" ht="15" hidden="false" customHeight="false" outlineLevel="0" collapsed="false">
      <c r="E1728" s="46"/>
      <c r="F1728" s="46"/>
      <c r="G1728" s="46"/>
    </row>
    <row r="1729" customFormat="false" ht="15" hidden="false" customHeight="false" outlineLevel="0" collapsed="false">
      <c r="E1729" s="46"/>
      <c r="F1729" s="46"/>
      <c r="G1729" s="46"/>
    </row>
    <row r="1730" customFormat="false" ht="15" hidden="false" customHeight="false" outlineLevel="0" collapsed="false">
      <c r="E1730" s="46"/>
      <c r="F1730" s="46"/>
      <c r="G1730" s="46"/>
    </row>
    <row r="1731" customFormat="false" ht="15" hidden="false" customHeight="false" outlineLevel="0" collapsed="false">
      <c r="E1731" s="46"/>
      <c r="F1731" s="46"/>
      <c r="G1731" s="46"/>
    </row>
    <row r="1732" customFormat="false" ht="15" hidden="false" customHeight="false" outlineLevel="0" collapsed="false">
      <c r="E1732" s="46"/>
      <c r="F1732" s="46"/>
      <c r="G1732" s="46"/>
    </row>
    <row r="1733" customFormat="false" ht="15" hidden="false" customHeight="false" outlineLevel="0" collapsed="false">
      <c r="E1733" s="46"/>
      <c r="F1733" s="46"/>
      <c r="G1733" s="46"/>
    </row>
    <row r="1734" customFormat="false" ht="15" hidden="false" customHeight="false" outlineLevel="0" collapsed="false">
      <c r="E1734" s="46"/>
      <c r="F1734" s="46"/>
      <c r="G1734" s="46"/>
    </row>
    <row r="1735" customFormat="false" ht="15" hidden="false" customHeight="false" outlineLevel="0" collapsed="false">
      <c r="E1735" s="46"/>
      <c r="F1735" s="46"/>
      <c r="G1735" s="46"/>
    </row>
    <row r="1736" customFormat="false" ht="15" hidden="false" customHeight="false" outlineLevel="0" collapsed="false">
      <c r="E1736" s="46"/>
      <c r="F1736" s="46"/>
      <c r="G1736" s="46"/>
    </row>
    <row r="1737" customFormat="false" ht="15" hidden="false" customHeight="false" outlineLevel="0" collapsed="false">
      <c r="E1737" s="46"/>
      <c r="F1737" s="46"/>
      <c r="G1737" s="46"/>
    </row>
    <row r="1738" customFormat="false" ht="15" hidden="false" customHeight="false" outlineLevel="0" collapsed="false">
      <c r="E1738" s="46"/>
      <c r="F1738" s="46"/>
      <c r="G1738" s="46"/>
    </row>
    <row r="1739" customFormat="false" ht="15" hidden="false" customHeight="false" outlineLevel="0" collapsed="false">
      <c r="E1739" s="46"/>
      <c r="F1739" s="46"/>
      <c r="G1739" s="46"/>
    </row>
    <row r="1740" customFormat="false" ht="15" hidden="false" customHeight="false" outlineLevel="0" collapsed="false">
      <c r="E1740" s="46"/>
      <c r="F1740" s="46"/>
      <c r="G1740" s="46"/>
    </row>
    <row r="1741" customFormat="false" ht="15" hidden="false" customHeight="false" outlineLevel="0" collapsed="false">
      <c r="E1741" s="46"/>
      <c r="F1741" s="46"/>
      <c r="G1741" s="46"/>
    </row>
    <row r="1742" customFormat="false" ht="15" hidden="false" customHeight="false" outlineLevel="0" collapsed="false">
      <c r="E1742" s="46"/>
      <c r="F1742" s="46"/>
      <c r="G1742" s="46"/>
    </row>
    <row r="1743" customFormat="false" ht="15" hidden="false" customHeight="false" outlineLevel="0" collapsed="false">
      <c r="E1743" s="46"/>
      <c r="F1743" s="46"/>
      <c r="G1743" s="46"/>
    </row>
    <row r="1744" customFormat="false" ht="15" hidden="false" customHeight="false" outlineLevel="0" collapsed="false">
      <c r="E1744" s="46"/>
      <c r="F1744" s="46"/>
      <c r="G1744" s="46"/>
    </row>
    <row r="1745" customFormat="false" ht="15" hidden="false" customHeight="false" outlineLevel="0" collapsed="false">
      <c r="E1745" s="46"/>
      <c r="F1745" s="46"/>
      <c r="G1745" s="46"/>
    </row>
    <row r="1746" customFormat="false" ht="15" hidden="false" customHeight="false" outlineLevel="0" collapsed="false">
      <c r="E1746" s="46"/>
      <c r="F1746" s="46"/>
      <c r="G1746" s="46"/>
    </row>
    <row r="1747" customFormat="false" ht="15" hidden="false" customHeight="false" outlineLevel="0" collapsed="false">
      <c r="E1747" s="46"/>
      <c r="F1747" s="46"/>
      <c r="G1747" s="46"/>
    </row>
    <row r="1748" customFormat="false" ht="15" hidden="false" customHeight="false" outlineLevel="0" collapsed="false">
      <c r="E1748" s="46"/>
      <c r="F1748" s="46"/>
      <c r="G1748" s="46"/>
    </row>
    <row r="1749" customFormat="false" ht="15" hidden="false" customHeight="false" outlineLevel="0" collapsed="false">
      <c r="E1749" s="46"/>
      <c r="F1749" s="46"/>
      <c r="G1749" s="46"/>
    </row>
    <row r="1750" customFormat="false" ht="15" hidden="false" customHeight="false" outlineLevel="0" collapsed="false">
      <c r="E1750" s="46"/>
      <c r="F1750" s="46"/>
      <c r="G1750" s="46"/>
    </row>
    <row r="1751" customFormat="false" ht="15" hidden="false" customHeight="false" outlineLevel="0" collapsed="false">
      <c r="E1751" s="46"/>
      <c r="F1751" s="46"/>
      <c r="G1751" s="46"/>
    </row>
    <row r="1752" customFormat="false" ht="15" hidden="false" customHeight="false" outlineLevel="0" collapsed="false">
      <c r="E1752" s="46"/>
      <c r="F1752" s="46"/>
      <c r="G1752" s="46"/>
    </row>
    <row r="1753" customFormat="false" ht="15" hidden="false" customHeight="false" outlineLevel="0" collapsed="false">
      <c r="E1753" s="46"/>
      <c r="F1753" s="46"/>
      <c r="G1753" s="46"/>
    </row>
    <row r="1754" customFormat="false" ht="15" hidden="false" customHeight="false" outlineLevel="0" collapsed="false">
      <c r="E1754" s="46"/>
      <c r="F1754" s="46"/>
      <c r="G1754" s="46"/>
    </row>
    <row r="1755" customFormat="false" ht="15" hidden="false" customHeight="false" outlineLevel="0" collapsed="false">
      <c r="E1755" s="46"/>
      <c r="F1755" s="46"/>
      <c r="G1755" s="46"/>
    </row>
    <row r="1756" customFormat="false" ht="15" hidden="false" customHeight="false" outlineLevel="0" collapsed="false">
      <c r="E1756" s="46"/>
      <c r="F1756" s="46"/>
      <c r="G1756" s="46"/>
    </row>
    <row r="1757" customFormat="false" ht="15" hidden="false" customHeight="false" outlineLevel="0" collapsed="false">
      <c r="E1757" s="46"/>
      <c r="F1757" s="46"/>
      <c r="G1757" s="46"/>
    </row>
    <row r="1758" customFormat="false" ht="15" hidden="false" customHeight="false" outlineLevel="0" collapsed="false">
      <c r="E1758" s="46"/>
      <c r="F1758" s="46"/>
      <c r="G1758" s="46"/>
    </row>
    <row r="1759" customFormat="false" ht="15" hidden="false" customHeight="false" outlineLevel="0" collapsed="false">
      <c r="E1759" s="46"/>
      <c r="F1759" s="46"/>
      <c r="G1759" s="46"/>
    </row>
    <row r="1760" customFormat="false" ht="15" hidden="false" customHeight="false" outlineLevel="0" collapsed="false">
      <c r="E1760" s="46"/>
      <c r="F1760" s="46"/>
      <c r="G1760" s="46"/>
    </row>
    <row r="1761" customFormat="false" ht="15" hidden="false" customHeight="false" outlineLevel="0" collapsed="false">
      <c r="E1761" s="46"/>
      <c r="F1761" s="46"/>
      <c r="G1761" s="46"/>
    </row>
    <row r="1762" customFormat="false" ht="15" hidden="false" customHeight="false" outlineLevel="0" collapsed="false">
      <c r="E1762" s="46"/>
      <c r="F1762" s="46"/>
      <c r="G1762" s="46"/>
    </row>
    <row r="1763" customFormat="false" ht="15" hidden="false" customHeight="false" outlineLevel="0" collapsed="false">
      <c r="E1763" s="46"/>
      <c r="F1763" s="46"/>
      <c r="G1763" s="46"/>
    </row>
    <row r="1764" customFormat="false" ht="15" hidden="false" customHeight="false" outlineLevel="0" collapsed="false">
      <c r="E1764" s="46"/>
      <c r="F1764" s="46"/>
      <c r="G1764" s="46"/>
    </row>
    <row r="1765" customFormat="false" ht="15" hidden="false" customHeight="false" outlineLevel="0" collapsed="false">
      <c r="E1765" s="46"/>
      <c r="F1765" s="46"/>
      <c r="G1765" s="46"/>
    </row>
    <row r="1766" customFormat="false" ht="15" hidden="false" customHeight="false" outlineLevel="0" collapsed="false">
      <c r="E1766" s="46"/>
      <c r="F1766" s="46"/>
      <c r="G1766" s="46"/>
    </row>
    <row r="1767" customFormat="false" ht="15" hidden="false" customHeight="false" outlineLevel="0" collapsed="false">
      <c r="E1767" s="46"/>
      <c r="F1767" s="46"/>
      <c r="G1767" s="46"/>
    </row>
    <row r="1768" customFormat="false" ht="15" hidden="false" customHeight="false" outlineLevel="0" collapsed="false">
      <c r="E1768" s="46"/>
      <c r="F1768" s="46"/>
      <c r="G1768" s="46"/>
    </row>
    <row r="1769" customFormat="false" ht="15" hidden="false" customHeight="false" outlineLevel="0" collapsed="false">
      <c r="E1769" s="46"/>
      <c r="F1769" s="46"/>
      <c r="G1769" s="46"/>
    </row>
    <row r="1770" customFormat="false" ht="15" hidden="false" customHeight="false" outlineLevel="0" collapsed="false">
      <c r="E1770" s="46"/>
      <c r="F1770" s="46"/>
      <c r="G1770" s="46"/>
    </row>
    <row r="1771" customFormat="false" ht="15" hidden="false" customHeight="false" outlineLevel="0" collapsed="false">
      <c r="E1771" s="46"/>
      <c r="F1771" s="46"/>
      <c r="G1771" s="46"/>
    </row>
    <row r="1772" customFormat="false" ht="15" hidden="false" customHeight="false" outlineLevel="0" collapsed="false">
      <c r="E1772" s="46"/>
      <c r="F1772" s="46"/>
      <c r="G1772" s="46"/>
    </row>
    <row r="1773" customFormat="false" ht="15" hidden="false" customHeight="false" outlineLevel="0" collapsed="false">
      <c r="E1773" s="46"/>
      <c r="F1773" s="46"/>
      <c r="G1773" s="46"/>
    </row>
    <row r="1774" customFormat="false" ht="15" hidden="false" customHeight="false" outlineLevel="0" collapsed="false">
      <c r="E1774" s="46"/>
      <c r="F1774" s="46"/>
      <c r="G1774" s="46"/>
    </row>
    <row r="1775" customFormat="false" ht="15" hidden="false" customHeight="false" outlineLevel="0" collapsed="false">
      <c r="E1775" s="46"/>
      <c r="F1775" s="46"/>
      <c r="G1775" s="46"/>
    </row>
    <row r="1776" customFormat="false" ht="15" hidden="false" customHeight="false" outlineLevel="0" collapsed="false">
      <c r="E1776" s="46"/>
      <c r="F1776" s="46"/>
      <c r="G1776" s="46"/>
    </row>
    <row r="1777" customFormat="false" ht="15" hidden="false" customHeight="false" outlineLevel="0" collapsed="false">
      <c r="E1777" s="46"/>
      <c r="F1777" s="46"/>
      <c r="G1777" s="46"/>
    </row>
    <row r="1778" customFormat="false" ht="15" hidden="false" customHeight="false" outlineLevel="0" collapsed="false">
      <c r="E1778" s="46"/>
      <c r="F1778" s="46"/>
      <c r="G1778" s="46"/>
    </row>
    <row r="1779" customFormat="false" ht="15" hidden="false" customHeight="false" outlineLevel="0" collapsed="false">
      <c r="E1779" s="46"/>
      <c r="F1779" s="46"/>
      <c r="G1779" s="46"/>
    </row>
    <row r="1780" customFormat="false" ht="15" hidden="false" customHeight="false" outlineLevel="0" collapsed="false">
      <c r="E1780" s="46"/>
      <c r="F1780" s="46"/>
      <c r="G1780" s="46"/>
    </row>
    <row r="1781" customFormat="false" ht="15" hidden="false" customHeight="false" outlineLevel="0" collapsed="false">
      <c r="E1781" s="46"/>
      <c r="F1781" s="46"/>
      <c r="G1781" s="46"/>
    </row>
    <row r="1782" customFormat="false" ht="15" hidden="false" customHeight="false" outlineLevel="0" collapsed="false">
      <c r="E1782" s="46"/>
      <c r="F1782" s="46"/>
      <c r="G1782" s="46"/>
    </row>
    <row r="1783" customFormat="false" ht="15" hidden="false" customHeight="false" outlineLevel="0" collapsed="false">
      <c r="E1783" s="46"/>
      <c r="F1783" s="46"/>
      <c r="G1783" s="46"/>
    </row>
    <row r="1784" customFormat="false" ht="15" hidden="false" customHeight="false" outlineLevel="0" collapsed="false">
      <c r="E1784" s="46"/>
      <c r="F1784" s="46"/>
      <c r="G1784" s="46"/>
    </row>
    <row r="1785" customFormat="false" ht="15" hidden="false" customHeight="false" outlineLevel="0" collapsed="false">
      <c r="E1785" s="46"/>
      <c r="F1785" s="46"/>
      <c r="G1785" s="46"/>
    </row>
    <row r="1786" customFormat="false" ht="15" hidden="false" customHeight="false" outlineLevel="0" collapsed="false">
      <c r="E1786" s="46"/>
      <c r="F1786" s="46"/>
      <c r="G1786" s="46"/>
    </row>
    <row r="1787" customFormat="false" ht="15" hidden="false" customHeight="false" outlineLevel="0" collapsed="false">
      <c r="E1787" s="46"/>
      <c r="F1787" s="46"/>
      <c r="G1787" s="46"/>
    </row>
    <row r="1788" customFormat="false" ht="15" hidden="false" customHeight="false" outlineLevel="0" collapsed="false">
      <c r="E1788" s="46"/>
      <c r="F1788" s="46"/>
      <c r="G1788" s="46"/>
    </row>
    <row r="1789" customFormat="false" ht="15" hidden="false" customHeight="false" outlineLevel="0" collapsed="false">
      <c r="E1789" s="46"/>
      <c r="F1789" s="46"/>
      <c r="G1789" s="46"/>
    </row>
    <row r="1790" customFormat="false" ht="15" hidden="false" customHeight="false" outlineLevel="0" collapsed="false">
      <c r="E1790" s="46"/>
      <c r="F1790" s="46"/>
      <c r="G1790" s="46"/>
    </row>
    <row r="1791" customFormat="false" ht="15" hidden="false" customHeight="false" outlineLevel="0" collapsed="false">
      <c r="E1791" s="46"/>
      <c r="F1791" s="46"/>
      <c r="G1791" s="46"/>
    </row>
    <row r="1792" customFormat="false" ht="15" hidden="false" customHeight="false" outlineLevel="0" collapsed="false">
      <c r="E1792" s="46"/>
      <c r="F1792" s="46"/>
      <c r="G1792" s="46"/>
    </row>
    <row r="1793" customFormat="false" ht="15" hidden="false" customHeight="false" outlineLevel="0" collapsed="false">
      <c r="E1793" s="46"/>
      <c r="F1793" s="46"/>
      <c r="G1793" s="46"/>
    </row>
    <row r="1794" customFormat="false" ht="15" hidden="false" customHeight="false" outlineLevel="0" collapsed="false">
      <c r="E1794" s="46"/>
      <c r="F1794" s="46"/>
      <c r="G1794" s="46"/>
    </row>
    <row r="1795" customFormat="false" ht="15" hidden="false" customHeight="false" outlineLevel="0" collapsed="false">
      <c r="E1795" s="46"/>
      <c r="F1795" s="46"/>
      <c r="G1795" s="46"/>
    </row>
    <row r="1796" customFormat="false" ht="15" hidden="false" customHeight="false" outlineLevel="0" collapsed="false">
      <c r="E1796" s="46"/>
      <c r="F1796" s="46"/>
      <c r="G1796" s="46"/>
    </row>
    <row r="1797" customFormat="false" ht="15" hidden="false" customHeight="false" outlineLevel="0" collapsed="false">
      <c r="E1797" s="46"/>
      <c r="F1797" s="46"/>
      <c r="G1797" s="46"/>
    </row>
    <row r="1798" customFormat="false" ht="15" hidden="false" customHeight="false" outlineLevel="0" collapsed="false">
      <c r="E1798" s="46"/>
      <c r="F1798" s="46"/>
      <c r="G1798" s="46"/>
    </row>
    <row r="1799" customFormat="false" ht="15" hidden="false" customHeight="false" outlineLevel="0" collapsed="false">
      <c r="E1799" s="46"/>
      <c r="F1799" s="46"/>
      <c r="G1799" s="46"/>
    </row>
    <row r="1800" customFormat="false" ht="15" hidden="false" customHeight="false" outlineLevel="0" collapsed="false">
      <c r="E1800" s="46"/>
      <c r="F1800" s="46"/>
      <c r="G1800" s="46"/>
    </row>
    <row r="1801" customFormat="false" ht="15" hidden="false" customHeight="false" outlineLevel="0" collapsed="false">
      <c r="E1801" s="46"/>
      <c r="F1801" s="46"/>
      <c r="G1801" s="46"/>
    </row>
    <row r="1802" customFormat="false" ht="15" hidden="false" customHeight="false" outlineLevel="0" collapsed="false">
      <c r="E1802" s="46"/>
      <c r="F1802" s="46"/>
      <c r="G1802" s="46"/>
    </row>
    <row r="1803" customFormat="false" ht="15" hidden="false" customHeight="false" outlineLevel="0" collapsed="false">
      <c r="E1803" s="46"/>
      <c r="F1803" s="46"/>
      <c r="G1803" s="46"/>
    </row>
    <row r="1804" customFormat="false" ht="15" hidden="false" customHeight="false" outlineLevel="0" collapsed="false">
      <c r="E1804" s="46"/>
      <c r="F1804" s="46"/>
      <c r="G1804" s="46"/>
    </row>
    <row r="1805" customFormat="false" ht="15" hidden="false" customHeight="false" outlineLevel="0" collapsed="false">
      <c r="E1805" s="46"/>
      <c r="F1805" s="46"/>
      <c r="G1805" s="46"/>
    </row>
    <row r="1806" customFormat="false" ht="15" hidden="false" customHeight="false" outlineLevel="0" collapsed="false">
      <c r="E1806" s="46"/>
      <c r="F1806" s="46"/>
      <c r="G1806" s="46"/>
    </row>
    <row r="1807" customFormat="false" ht="15" hidden="false" customHeight="false" outlineLevel="0" collapsed="false">
      <c r="E1807" s="46"/>
      <c r="F1807" s="46"/>
      <c r="G1807" s="46"/>
    </row>
    <row r="1808" customFormat="false" ht="15" hidden="false" customHeight="false" outlineLevel="0" collapsed="false">
      <c r="E1808" s="46"/>
      <c r="F1808" s="46"/>
      <c r="G1808" s="46"/>
    </row>
    <row r="1809" customFormat="false" ht="15" hidden="false" customHeight="false" outlineLevel="0" collapsed="false">
      <c r="E1809" s="46"/>
      <c r="F1809" s="46"/>
      <c r="G1809" s="46"/>
    </row>
    <row r="1810" customFormat="false" ht="15" hidden="false" customHeight="false" outlineLevel="0" collapsed="false">
      <c r="E1810" s="46"/>
      <c r="F1810" s="46"/>
      <c r="G1810" s="46"/>
    </row>
    <row r="1811" customFormat="false" ht="15" hidden="false" customHeight="false" outlineLevel="0" collapsed="false">
      <c r="E1811" s="46"/>
      <c r="F1811" s="46"/>
      <c r="G1811" s="46"/>
    </row>
    <row r="1812" customFormat="false" ht="15" hidden="false" customHeight="false" outlineLevel="0" collapsed="false">
      <c r="E1812" s="46"/>
      <c r="F1812" s="46"/>
      <c r="G1812" s="46"/>
    </row>
    <row r="1813" customFormat="false" ht="15" hidden="false" customHeight="false" outlineLevel="0" collapsed="false">
      <c r="E1813" s="46"/>
      <c r="F1813" s="46"/>
      <c r="G1813" s="46"/>
    </row>
    <row r="1814" customFormat="false" ht="15" hidden="false" customHeight="false" outlineLevel="0" collapsed="false">
      <c r="E1814" s="46"/>
      <c r="F1814" s="46"/>
      <c r="G1814" s="46"/>
    </row>
    <row r="1815" customFormat="false" ht="15" hidden="false" customHeight="false" outlineLevel="0" collapsed="false">
      <c r="E1815" s="46"/>
      <c r="F1815" s="46"/>
      <c r="G1815" s="46"/>
    </row>
    <row r="1816" customFormat="false" ht="15" hidden="false" customHeight="false" outlineLevel="0" collapsed="false">
      <c r="E1816" s="46"/>
      <c r="F1816" s="46"/>
      <c r="G1816" s="46"/>
    </row>
    <row r="1817" customFormat="false" ht="15" hidden="false" customHeight="false" outlineLevel="0" collapsed="false">
      <c r="E1817" s="46"/>
      <c r="F1817" s="46"/>
      <c r="G1817" s="46"/>
    </row>
    <row r="1818" customFormat="false" ht="15" hidden="false" customHeight="false" outlineLevel="0" collapsed="false">
      <c r="E1818" s="46"/>
      <c r="F1818" s="46"/>
      <c r="G1818" s="46"/>
    </row>
    <row r="1819" customFormat="false" ht="15" hidden="false" customHeight="false" outlineLevel="0" collapsed="false">
      <c r="E1819" s="46"/>
      <c r="F1819" s="46"/>
      <c r="G1819" s="46"/>
    </row>
    <row r="1820" customFormat="false" ht="15" hidden="false" customHeight="false" outlineLevel="0" collapsed="false">
      <c r="E1820" s="46"/>
      <c r="F1820" s="46"/>
      <c r="G1820" s="46"/>
    </row>
    <row r="1821" customFormat="false" ht="15" hidden="false" customHeight="false" outlineLevel="0" collapsed="false">
      <c r="E1821" s="46"/>
      <c r="F1821" s="46"/>
      <c r="G1821" s="46"/>
    </row>
    <row r="1822" customFormat="false" ht="15" hidden="false" customHeight="false" outlineLevel="0" collapsed="false">
      <c r="E1822" s="46"/>
      <c r="F1822" s="46"/>
      <c r="G1822" s="46"/>
    </row>
    <row r="1823" customFormat="false" ht="15" hidden="false" customHeight="false" outlineLevel="0" collapsed="false">
      <c r="E1823" s="46"/>
      <c r="F1823" s="46"/>
      <c r="G1823" s="46"/>
    </row>
    <row r="1824" customFormat="false" ht="15" hidden="false" customHeight="false" outlineLevel="0" collapsed="false">
      <c r="E1824" s="46"/>
      <c r="F1824" s="46"/>
      <c r="G1824" s="46"/>
    </row>
    <row r="1825" customFormat="false" ht="15" hidden="false" customHeight="false" outlineLevel="0" collapsed="false">
      <c r="E1825" s="46"/>
      <c r="F1825" s="46"/>
      <c r="G1825" s="46"/>
    </row>
    <row r="1826" customFormat="false" ht="15" hidden="false" customHeight="false" outlineLevel="0" collapsed="false">
      <c r="E1826" s="46"/>
      <c r="F1826" s="46"/>
      <c r="G1826" s="46"/>
    </row>
    <row r="1827" customFormat="false" ht="15" hidden="false" customHeight="false" outlineLevel="0" collapsed="false">
      <c r="E1827" s="46"/>
      <c r="F1827" s="46"/>
      <c r="G1827" s="46"/>
    </row>
    <row r="1828" customFormat="false" ht="15" hidden="false" customHeight="false" outlineLevel="0" collapsed="false">
      <c r="E1828" s="46"/>
      <c r="F1828" s="46"/>
      <c r="G1828" s="46"/>
    </row>
    <row r="1829" customFormat="false" ht="15" hidden="false" customHeight="false" outlineLevel="0" collapsed="false">
      <c r="E1829" s="46"/>
      <c r="F1829" s="46"/>
      <c r="G1829" s="46"/>
    </row>
    <row r="1830" customFormat="false" ht="15" hidden="false" customHeight="false" outlineLevel="0" collapsed="false">
      <c r="E1830" s="46"/>
      <c r="F1830" s="46"/>
      <c r="G1830" s="46"/>
    </row>
    <row r="1831" customFormat="false" ht="15" hidden="false" customHeight="false" outlineLevel="0" collapsed="false">
      <c r="E1831" s="46"/>
      <c r="F1831" s="46"/>
      <c r="G1831" s="46"/>
    </row>
    <row r="1832" customFormat="false" ht="15" hidden="false" customHeight="false" outlineLevel="0" collapsed="false">
      <c r="E1832" s="46"/>
      <c r="F1832" s="46"/>
      <c r="G1832" s="46"/>
    </row>
    <row r="1833" customFormat="false" ht="15" hidden="false" customHeight="false" outlineLevel="0" collapsed="false">
      <c r="E1833" s="46"/>
      <c r="F1833" s="46"/>
      <c r="G1833" s="46"/>
    </row>
    <row r="1834" customFormat="false" ht="15" hidden="false" customHeight="false" outlineLevel="0" collapsed="false">
      <c r="E1834" s="46"/>
      <c r="F1834" s="46"/>
      <c r="G1834" s="46"/>
    </row>
    <row r="1835" customFormat="false" ht="15" hidden="false" customHeight="false" outlineLevel="0" collapsed="false">
      <c r="E1835" s="46"/>
      <c r="F1835" s="46"/>
      <c r="G1835" s="46"/>
    </row>
    <row r="1836" customFormat="false" ht="15" hidden="false" customHeight="false" outlineLevel="0" collapsed="false">
      <c r="E1836" s="46"/>
      <c r="F1836" s="46"/>
      <c r="G1836" s="46"/>
    </row>
    <row r="1837" customFormat="false" ht="15" hidden="false" customHeight="false" outlineLevel="0" collapsed="false">
      <c r="E1837" s="46"/>
      <c r="F1837" s="46"/>
      <c r="G1837" s="46"/>
    </row>
    <row r="1838" customFormat="false" ht="15" hidden="false" customHeight="false" outlineLevel="0" collapsed="false">
      <c r="E1838" s="46"/>
      <c r="F1838" s="46"/>
      <c r="G1838" s="46"/>
    </row>
    <row r="1839" customFormat="false" ht="15" hidden="false" customHeight="false" outlineLevel="0" collapsed="false">
      <c r="E1839" s="46"/>
      <c r="F1839" s="46"/>
      <c r="G1839" s="46"/>
    </row>
    <row r="1840" customFormat="false" ht="15" hidden="false" customHeight="false" outlineLevel="0" collapsed="false">
      <c r="E1840" s="46"/>
      <c r="F1840" s="46"/>
      <c r="G1840" s="46"/>
    </row>
    <row r="1841" customFormat="false" ht="15" hidden="false" customHeight="false" outlineLevel="0" collapsed="false">
      <c r="E1841" s="46"/>
      <c r="F1841" s="46"/>
      <c r="G1841" s="46"/>
    </row>
    <row r="1842" customFormat="false" ht="15" hidden="false" customHeight="false" outlineLevel="0" collapsed="false">
      <c r="E1842" s="46"/>
      <c r="F1842" s="46"/>
      <c r="G1842" s="46"/>
    </row>
    <row r="1843" customFormat="false" ht="15" hidden="false" customHeight="false" outlineLevel="0" collapsed="false">
      <c r="E1843" s="46"/>
      <c r="F1843" s="46"/>
      <c r="G1843" s="46"/>
    </row>
    <row r="1844" customFormat="false" ht="15" hidden="false" customHeight="false" outlineLevel="0" collapsed="false">
      <c r="E1844" s="46"/>
      <c r="F1844" s="46"/>
      <c r="G1844" s="46"/>
    </row>
    <row r="1845" customFormat="false" ht="15" hidden="false" customHeight="false" outlineLevel="0" collapsed="false">
      <c r="E1845" s="46"/>
      <c r="F1845" s="46"/>
      <c r="G1845" s="46"/>
    </row>
    <row r="1846" customFormat="false" ht="15" hidden="false" customHeight="false" outlineLevel="0" collapsed="false">
      <c r="E1846" s="46"/>
      <c r="F1846" s="46"/>
      <c r="G1846" s="46"/>
    </row>
    <row r="1847" customFormat="false" ht="15" hidden="false" customHeight="false" outlineLevel="0" collapsed="false">
      <c r="E1847" s="46"/>
      <c r="F1847" s="46"/>
      <c r="G1847" s="46"/>
    </row>
    <row r="1848" customFormat="false" ht="15" hidden="false" customHeight="false" outlineLevel="0" collapsed="false">
      <c r="E1848" s="46"/>
      <c r="F1848" s="46"/>
      <c r="G1848" s="46"/>
    </row>
    <row r="1849" customFormat="false" ht="15" hidden="false" customHeight="false" outlineLevel="0" collapsed="false">
      <c r="E1849" s="46"/>
      <c r="F1849" s="46"/>
      <c r="G1849" s="46"/>
    </row>
    <row r="1850" customFormat="false" ht="15" hidden="false" customHeight="false" outlineLevel="0" collapsed="false">
      <c r="E1850" s="46"/>
      <c r="F1850" s="46"/>
      <c r="G1850" s="46"/>
    </row>
    <row r="1851" customFormat="false" ht="15" hidden="false" customHeight="false" outlineLevel="0" collapsed="false">
      <c r="E1851" s="46"/>
      <c r="F1851" s="46"/>
      <c r="G1851" s="46"/>
    </row>
    <row r="1852" customFormat="false" ht="15" hidden="false" customHeight="false" outlineLevel="0" collapsed="false">
      <c r="E1852" s="46"/>
      <c r="F1852" s="46"/>
      <c r="G1852" s="46"/>
    </row>
    <row r="1853" customFormat="false" ht="15" hidden="false" customHeight="false" outlineLevel="0" collapsed="false">
      <c r="E1853" s="46"/>
      <c r="F1853" s="46"/>
      <c r="G1853" s="46"/>
    </row>
    <row r="1854" customFormat="false" ht="15" hidden="false" customHeight="false" outlineLevel="0" collapsed="false">
      <c r="E1854" s="46"/>
      <c r="F1854" s="46"/>
      <c r="G1854" s="46"/>
    </row>
    <row r="1855" customFormat="false" ht="15" hidden="false" customHeight="false" outlineLevel="0" collapsed="false">
      <c r="E1855" s="46"/>
      <c r="F1855" s="46"/>
      <c r="G1855" s="46"/>
    </row>
    <row r="1856" customFormat="false" ht="15" hidden="false" customHeight="false" outlineLevel="0" collapsed="false">
      <c r="E1856" s="46"/>
      <c r="F1856" s="46"/>
      <c r="G1856" s="46"/>
    </row>
    <row r="1857" customFormat="false" ht="15" hidden="false" customHeight="false" outlineLevel="0" collapsed="false">
      <c r="E1857" s="46"/>
      <c r="F1857" s="46"/>
      <c r="G1857" s="46"/>
    </row>
    <row r="1858" customFormat="false" ht="15" hidden="false" customHeight="false" outlineLevel="0" collapsed="false">
      <c r="E1858" s="46"/>
      <c r="F1858" s="46"/>
      <c r="G1858" s="46"/>
    </row>
    <row r="1859" customFormat="false" ht="15" hidden="false" customHeight="false" outlineLevel="0" collapsed="false">
      <c r="E1859" s="46"/>
      <c r="F1859" s="46"/>
      <c r="G1859" s="46"/>
    </row>
    <row r="1860" customFormat="false" ht="15" hidden="false" customHeight="false" outlineLevel="0" collapsed="false">
      <c r="E1860" s="46"/>
      <c r="F1860" s="46"/>
      <c r="G1860" s="46"/>
    </row>
    <row r="1861" customFormat="false" ht="15" hidden="false" customHeight="false" outlineLevel="0" collapsed="false">
      <c r="E1861" s="46"/>
      <c r="F1861" s="46"/>
      <c r="G1861" s="46"/>
    </row>
    <row r="1862" customFormat="false" ht="15" hidden="false" customHeight="false" outlineLevel="0" collapsed="false">
      <c r="E1862" s="46"/>
      <c r="F1862" s="46"/>
      <c r="G1862" s="46"/>
    </row>
    <row r="1863" customFormat="false" ht="15" hidden="false" customHeight="false" outlineLevel="0" collapsed="false">
      <c r="E1863" s="46"/>
      <c r="F1863" s="46"/>
      <c r="G1863" s="46"/>
    </row>
    <row r="1864" customFormat="false" ht="15" hidden="false" customHeight="false" outlineLevel="0" collapsed="false">
      <c r="E1864" s="46"/>
      <c r="F1864" s="46"/>
      <c r="G1864" s="46"/>
    </row>
    <row r="1865" customFormat="false" ht="15" hidden="false" customHeight="false" outlineLevel="0" collapsed="false">
      <c r="E1865" s="46"/>
      <c r="F1865" s="46"/>
      <c r="G1865" s="46"/>
    </row>
    <row r="1866" customFormat="false" ht="15" hidden="false" customHeight="false" outlineLevel="0" collapsed="false">
      <c r="E1866" s="46"/>
      <c r="F1866" s="46"/>
      <c r="G1866" s="46"/>
    </row>
    <row r="1867" customFormat="false" ht="15" hidden="false" customHeight="false" outlineLevel="0" collapsed="false">
      <c r="E1867" s="46"/>
      <c r="F1867" s="46"/>
      <c r="G1867" s="46"/>
    </row>
    <row r="1868" customFormat="false" ht="15" hidden="false" customHeight="false" outlineLevel="0" collapsed="false">
      <c r="E1868" s="46"/>
      <c r="F1868" s="46"/>
      <c r="G1868" s="46"/>
    </row>
    <row r="1869" customFormat="false" ht="15" hidden="false" customHeight="false" outlineLevel="0" collapsed="false">
      <c r="E1869" s="46"/>
      <c r="F1869" s="46"/>
      <c r="G1869" s="46"/>
    </row>
    <row r="1870" customFormat="false" ht="15" hidden="false" customHeight="false" outlineLevel="0" collapsed="false">
      <c r="E1870" s="46"/>
      <c r="F1870" s="46"/>
      <c r="G1870" s="46"/>
    </row>
    <row r="1871" customFormat="false" ht="15" hidden="false" customHeight="false" outlineLevel="0" collapsed="false">
      <c r="E1871" s="46"/>
      <c r="F1871" s="46"/>
      <c r="G1871" s="46"/>
    </row>
    <row r="1872" customFormat="false" ht="15" hidden="false" customHeight="false" outlineLevel="0" collapsed="false">
      <c r="E1872" s="46"/>
      <c r="F1872" s="46"/>
      <c r="G1872" s="46"/>
    </row>
    <row r="1873" customFormat="false" ht="15" hidden="false" customHeight="false" outlineLevel="0" collapsed="false">
      <c r="E1873" s="46"/>
      <c r="F1873" s="46"/>
      <c r="G1873" s="46"/>
    </row>
    <row r="1874" customFormat="false" ht="15" hidden="false" customHeight="false" outlineLevel="0" collapsed="false">
      <c r="E1874" s="46"/>
      <c r="F1874" s="46"/>
      <c r="G1874" s="46"/>
    </row>
    <row r="1875" customFormat="false" ht="15" hidden="false" customHeight="false" outlineLevel="0" collapsed="false">
      <c r="E1875" s="46"/>
      <c r="F1875" s="46"/>
      <c r="G1875" s="46"/>
    </row>
    <row r="1876" customFormat="false" ht="15" hidden="false" customHeight="false" outlineLevel="0" collapsed="false">
      <c r="E1876" s="46"/>
      <c r="F1876" s="46"/>
      <c r="G1876" s="46"/>
    </row>
    <row r="1877" customFormat="false" ht="15" hidden="false" customHeight="false" outlineLevel="0" collapsed="false">
      <c r="E1877" s="46"/>
      <c r="F1877" s="46"/>
      <c r="G1877" s="46"/>
    </row>
    <row r="1878" customFormat="false" ht="15" hidden="false" customHeight="false" outlineLevel="0" collapsed="false">
      <c r="E1878" s="46"/>
      <c r="F1878" s="46"/>
      <c r="G1878" s="46"/>
    </row>
    <row r="1879" customFormat="false" ht="15" hidden="false" customHeight="false" outlineLevel="0" collapsed="false">
      <c r="E1879" s="46"/>
      <c r="F1879" s="46"/>
      <c r="G1879" s="46"/>
    </row>
    <row r="1880" customFormat="false" ht="15" hidden="false" customHeight="false" outlineLevel="0" collapsed="false">
      <c r="E1880" s="46"/>
      <c r="F1880" s="46"/>
      <c r="G1880" s="46"/>
    </row>
    <row r="1881" customFormat="false" ht="15" hidden="false" customHeight="false" outlineLevel="0" collapsed="false">
      <c r="E1881" s="46"/>
      <c r="F1881" s="46"/>
      <c r="G1881" s="46"/>
    </row>
    <row r="1882" customFormat="false" ht="15" hidden="false" customHeight="false" outlineLevel="0" collapsed="false">
      <c r="E1882" s="46"/>
      <c r="F1882" s="46"/>
      <c r="G1882" s="46"/>
    </row>
    <row r="1883" customFormat="false" ht="15" hidden="false" customHeight="false" outlineLevel="0" collapsed="false">
      <c r="E1883" s="46"/>
      <c r="F1883" s="46"/>
      <c r="G1883" s="46"/>
    </row>
    <row r="1884" customFormat="false" ht="15" hidden="false" customHeight="false" outlineLevel="0" collapsed="false">
      <c r="E1884" s="46"/>
      <c r="F1884" s="46"/>
      <c r="G1884" s="46"/>
    </row>
    <row r="1885" customFormat="false" ht="15" hidden="false" customHeight="false" outlineLevel="0" collapsed="false">
      <c r="E1885" s="46"/>
      <c r="F1885" s="46"/>
      <c r="G1885" s="46"/>
    </row>
    <row r="1886" customFormat="false" ht="15" hidden="false" customHeight="false" outlineLevel="0" collapsed="false">
      <c r="E1886" s="46"/>
      <c r="F1886" s="46"/>
      <c r="G1886" s="46"/>
    </row>
    <row r="1887" customFormat="false" ht="15" hidden="false" customHeight="false" outlineLevel="0" collapsed="false">
      <c r="E1887" s="46"/>
      <c r="F1887" s="46"/>
      <c r="G1887" s="46"/>
    </row>
    <row r="1888" customFormat="false" ht="15" hidden="false" customHeight="false" outlineLevel="0" collapsed="false">
      <c r="E1888" s="46"/>
      <c r="F1888" s="46"/>
      <c r="G1888" s="46"/>
    </row>
    <row r="1889" customFormat="false" ht="15" hidden="false" customHeight="false" outlineLevel="0" collapsed="false">
      <c r="E1889" s="46"/>
      <c r="F1889" s="46"/>
      <c r="G1889" s="46"/>
    </row>
    <row r="1890" customFormat="false" ht="15" hidden="false" customHeight="false" outlineLevel="0" collapsed="false">
      <c r="E1890" s="46"/>
      <c r="F1890" s="46"/>
      <c r="G1890" s="46"/>
    </row>
    <row r="1891" customFormat="false" ht="15" hidden="false" customHeight="false" outlineLevel="0" collapsed="false">
      <c r="E1891" s="46"/>
      <c r="F1891" s="46"/>
      <c r="G1891" s="46"/>
    </row>
    <row r="1892" customFormat="false" ht="15" hidden="false" customHeight="false" outlineLevel="0" collapsed="false">
      <c r="E1892" s="46"/>
      <c r="F1892" s="46"/>
      <c r="G1892" s="46"/>
    </row>
    <row r="1893" customFormat="false" ht="15" hidden="false" customHeight="false" outlineLevel="0" collapsed="false">
      <c r="E1893" s="46"/>
      <c r="F1893" s="46"/>
      <c r="G1893" s="46"/>
    </row>
    <row r="1894" customFormat="false" ht="15" hidden="false" customHeight="false" outlineLevel="0" collapsed="false">
      <c r="E1894" s="46"/>
      <c r="F1894" s="46"/>
      <c r="G1894" s="46"/>
    </row>
    <row r="1895" customFormat="false" ht="15" hidden="false" customHeight="false" outlineLevel="0" collapsed="false">
      <c r="E1895" s="46"/>
      <c r="F1895" s="46"/>
      <c r="G1895" s="46"/>
    </row>
    <row r="1896" customFormat="false" ht="15" hidden="false" customHeight="false" outlineLevel="0" collapsed="false">
      <c r="E1896" s="46"/>
      <c r="F1896" s="46"/>
      <c r="G1896" s="46"/>
    </row>
    <row r="1897" customFormat="false" ht="15" hidden="false" customHeight="false" outlineLevel="0" collapsed="false">
      <c r="E1897" s="46"/>
      <c r="F1897" s="46"/>
      <c r="G1897" s="46"/>
    </row>
    <row r="1898" customFormat="false" ht="15" hidden="false" customHeight="false" outlineLevel="0" collapsed="false">
      <c r="E1898" s="46"/>
      <c r="F1898" s="46"/>
      <c r="G1898" s="46"/>
    </row>
    <row r="1899" customFormat="false" ht="15" hidden="false" customHeight="false" outlineLevel="0" collapsed="false">
      <c r="E1899" s="46"/>
      <c r="F1899" s="46"/>
      <c r="G1899" s="46"/>
    </row>
    <row r="1900" customFormat="false" ht="15" hidden="false" customHeight="false" outlineLevel="0" collapsed="false">
      <c r="E1900" s="46"/>
      <c r="F1900" s="46"/>
      <c r="G1900" s="46"/>
    </row>
    <row r="1901" customFormat="false" ht="15" hidden="false" customHeight="false" outlineLevel="0" collapsed="false">
      <c r="E1901" s="46"/>
      <c r="F1901" s="46"/>
      <c r="G1901" s="46"/>
    </row>
    <row r="1902" customFormat="false" ht="15" hidden="false" customHeight="false" outlineLevel="0" collapsed="false">
      <c r="E1902" s="46"/>
      <c r="F1902" s="46"/>
      <c r="G1902" s="46"/>
    </row>
    <row r="1903" customFormat="false" ht="15" hidden="false" customHeight="false" outlineLevel="0" collapsed="false">
      <c r="E1903" s="46"/>
      <c r="F1903" s="46"/>
      <c r="G1903" s="46"/>
    </row>
    <row r="1904" customFormat="false" ht="15" hidden="false" customHeight="false" outlineLevel="0" collapsed="false">
      <c r="E1904" s="46"/>
      <c r="F1904" s="46"/>
      <c r="G1904" s="46"/>
    </row>
    <row r="1905" customFormat="false" ht="15" hidden="false" customHeight="false" outlineLevel="0" collapsed="false">
      <c r="E1905" s="46"/>
      <c r="F1905" s="46"/>
      <c r="G1905" s="46"/>
    </row>
    <row r="1906" customFormat="false" ht="15" hidden="false" customHeight="false" outlineLevel="0" collapsed="false">
      <c r="E1906" s="46"/>
      <c r="F1906" s="46"/>
      <c r="G1906" s="46"/>
    </row>
    <row r="1907" customFormat="false" ht="15" hidden="false" customHeight="false" outlineLevel="0" collapsed="false">
      <c r="E1907" s="46"/>
      <c r="F1907" s="46"/>
      <c r="G1907" s="46"/>
    </row>
    <row r="1908" customFormat="false" ht="15" hidden="false" customHeight="false" outlineLevel="0" collapsed="false">
      <c r="E1908" s="46"/>
      <c r="F1908" s="46"/>
      <c r="G1908" s="46"/>
    </row>
    <row r="1909" customFormat="false" ht="15" hidden="false" customHeight="false" outlineLevel="0" collapsed="false">
      <c r="E1909" s="46"/>
      <c r="F1909" s="46"/>
      <c r="G1909" s="46"/>
    </row>
    <row r="1910" customFormat="false" ht="15" hidden="false" customHeight="false" outlineLevel="0" collapsed="false">
      <c r="E1910" s="46"/>
      <c r="F1910" s="46"/>
      <c r="G1910" s="46"/>
    </row>
    <row r="1911" customFormat="false" ht="15" hidden="false" customHeight="false" outlineLevel="0" collapsed="false">
      <c r="E1911" s="46"/>
      <c r="F1911" s="46"/>
      <c r="G1911" s="46"/>
    </row>
    <row r="1912" customFormat="false" ht="15" hidden="false" customHeight="false" outlineLevel="0" collapsed="false">
      <c r="E1912" s="46"/>
      <c r="F1912" s="46"/>
      <c r="G1912" s="46"/>
    </row>
    <row r="1913" customFormat="false" ht="15" hidden="false" customHeight="false" outlineLevel="0" collapsed="false">
      <c r="E1913" s="46"/>
      <c r="F1913" s="46"/>
      <c r="G1913" s="46"/>
    </row>
    <row r="1914" customFormat="false" ht="15" hidden="false" customHeight="false" outlineLevel="0" collapsed="false">
      <c r="E1914" s="46"/>
      <c r="F1914" s="46"/>
      <c r="G1914" s="46"/>
    </row>
    <row r="1915" customFormat="false" ht="15" hidden="false" customHeight="false" outlineLevel="0" collapsed="false">
      <c r="E1915" s="46"/>
      <c r="F1915" s="46"/>
      <c r="G1915" s="46"/>
    </row>
    <row r="1916" customFormat="false" ht="15" hidden="false" customHeight="false" outlineLevel="0" collapsed="false">
      <c r="E1916" s="46"/>
      <c r="F1916" s="46"/>
      <c r="G1916" s="46"/>
    </row>
    <row r="1917" customFormat="false" ht="15" hidden="false" customHeight="false" outlineLevel="0" collapsed="false">
      <c r="E1917" s="46"/>
      <c r="F1917" s="46"/>
      <c r="G1917" s="46"/>
    </row>
    <row r="1918" customFormat="false" ht="15" hidden="false" customHeight="false" outlineLevel="0" collapsed="false">
      <c r="E1918" s="46"/>
      <c r="F1918" s="46"/>
      <c r="G1918" s="46"/>
    </row>
    <row r="1919" customFormat="false" ht="15" hidden="false" customHeight="false" outlineLevel="0" collapsed="false">
      <c r="E1919" s="46"/>
      <c r="F1919" s="46"/>
      <c r="G1919" s="46"/>
    </row>
    <row r="1920" customFormat="false" ht="15" hidden="false" customHeight="false" outlineLevel="0" collapsed="false">
      <c r="E1920" s="46"/>
      <c r="F1920" s="46"/>
      <c r="G1920" s="46"/>
    </row>
    <row r="1921" customFormat="false" ht="15" hidden="false" customHeight="false" outlineLevel="0" collapsed="false">
      <c r="E1921" s="46"/>
      <c r="F1921" s="46"/>
      <c r="G1921" s="46"/>
    </row>
    <row r="1922" customFormat="false" ht="15" hidden="false" customHeight="false" outlineLevel="0" collapsed="false">
      <c r="E1922" s="46"/>
      <c r="F1922" s="46"/>
      <c r="G1922" s="46"/>
    </row>
    <row r="1923" customFormat="false" ht="15" hidden="false" customHeight="false" outlineLevel="0" collapsed="false">
      <c r="E1923" s="46"/>
      <c r="F1923" s="46"/>
      <c r="G1923" s="46"/>
    </row>
    <row r="1924" customFormat="false" ht="15" hidden="false" customHeight="false" outlineLevel="0" collapsed="false">
      <c r="E1924" s="46"/>
      <c r="F1924" s="46"/>
      <c r="G1924" s="46"/>
    </row>
    <row r="1925" customFormat="false" ht="15" hidden="false" customHeight="false" outlineLevel="0" collapsed="false">
      <c r="E1925" s="46"/>
      <c r="F1925" s="46"/>
      <c r="G1925" s="46"/>
    </row>
    <row r="1926" customFormat="false" ht="15" hidden="false" customHeight="false" outlineLevel="0" collapsed="false">
      <c r="E1926" s="46"/>
      <c r="F1926" s="46"/>
      <c r="G1926" s="46"/>
    </row>
    <row r="1927" customFormat="false" ht="15" hidden="false" customHeight="false" outlineLevel="0" collapsed="false">
      <c r="E1927" s="46"/>
      <c r="F1927" s="46"/>
      <c r="G1927" s="46"/>
    </row>
    <row r="1928" customFormat="false" ht="15" hidden="false" customHeight="false" outlineLevel="0" collapsed="false">
      <c r="E1928" s="46"/>
      <c r="F1928" s="46"/>
      <c r="G1928" s="46"/>
    </row>
    <row r="1929" customFormat="false" ht="15" hidden="false" customHeight="false" outlineLevel="0" collapsed="false">
      <c r="E1929" s="46"/>
      <c r="F1929" s="46"/>
      <c r="G1929" s="46"/>
    </row>
    <row r="1930" customFormat="false" ht="15" hidden="false" customHeight="false" outlineLevel="0" collapsed="false">
      <c r="E1930" s="46"/>
      <c r="F1930" s="46"/>
      <c r="G1930" s="46"/>
    </row>
    <row r="1931" customFormat="false" ht="15" hidden="false" customHeight="false" outlineLevel="0" collapsed="false">
      <c r="E1931" s="46"/>
      <c r="F1931" s="46"/>
      <c r="G1931" s="46"/>
    </row>
    <row r="1932" customFormat="false" ht="15" hidden="false" customHeight="false" outlineLevel="0" collapsed="false">
      <c r="E1932" s="46"/>
      <c r="F1932" s="46"/>
      <c r="G1932" s="46"/>
    </row>
    <row r="1933" customFormat="false" ht="15" hidden="false" customHeight="false" outlineLevel="0" collapsed="false">
      <c r="E1933" s="46"/>
      <c r="F1933" s="46"/>
      <c r="G1933" s="46"/>
    </row>
    <row r="1934" customFormat="false" ht="15" hidden="false" customHeight="false" outlineLevel="0" collapsed="false">
      <c r="E1934" s="46"/>
      <c r="F1934" s="46"/>
      <c r="G1934" s="46"/>
    </row>
    <row r="1935" customFormat="false" ht="15" hidden="false" customHeight="false" outlineLevel="0" collapsed="false">
      <c r="E1935" s="46"/>
      <c r="F1935" s="46"/>
      <c r="G1935" s="46"/>
    </row>
    <row r="1936" customFormat="false" ht="15" hidden="false" customHeight="false" outlineLevel="0" collapsed="false">
      <c r="E1936" s="46"/>
      <c r="F1936" s="46"/>
      <c r="G1936" s="46"/>
    </row>
    <row r="1937" customFormat="false" ht="15" hidden="false" customHeight="false" outlineLevel="0" collapsed="false">
      <c r="E1937" s="46"/>
      <c r="F1937" s="46"/>
      <c r="G1937" s="46"/>
    </row>
    <row r="1938" customFormat="false" ht="15" hidden="false" customHeight="false" outlineLevel="0" collapsed="false">
      <c r="E1938" s="46"/>
      <c r="F1938" s="46"/>
      <c r="G1938" s="46"/>
    </row>
    <row r="1939" customFormat="false" ht="15" hidden="false" customHeight="false" outlineLevel="0" collapsed="false">
      <c r="E1939" s="46"/>
      <c r="F1939" s="46"/>
      <c r="G1939" s="46"/>
    </row>
    <row r="1940" customFormat="false" ht="15" hidden="false" customHeight="false" outlineLevel="0" collapsed="false">
      <c r="E1940" s="46"/>
      <c r="F1940" s="46"/>
      <c r="G1940" s="46"/>
    </row>
    <row r="1941" customFormat="false" ht="15" hidden="false" customHeight="false" outlineLevel="0" collapsed="false">
      <c r="E1941" s="46"/>
      <c r="F1941" s="46"/>
      <c r="G1941" s="46"/>
    </row>
    <row r="1942" customFormat="false" ht="15" hidden="false" customHeight="false" outlineLevel="0" collapsed="false">
      <c r="E1942" s="46"/>
      <c r="F1942" s="46"/>
      <c r="G1942" s="46"/>
    </row>
    <row r="1943" customFormat="false" ht="15" hidden="false" customHeight="false" outlineLevel="0" collapsed="false">
      <c r="E1943" s="46"/>
      <c r="F1943" s="46"/>
      <c r="G1943" s="46"/>
    </row>
    <row r="1944" customFormat="false" ht="15" hidden="false" customHeight="false" outlineLevel="0" collapsed="false">
      <c r="E1944" s="46"/>
      <c r="F1944" s="46"/>
      <c r="G1944" s="46"/>
    </row>
    <row r="1945" customFormat="false" ht="15" hidden="false" customHeight="false" outlineLevel="0" collapsed="false">
      <c r="E1945" s="46"/>
      <c r="F1945" s="46"/>
      <c r="G1945" s="46"/>
    </row>
    <row r="1946" customFormat="false" ht="15" hidden="false" customHeight="false" outlineLevel="0" collapsed="false">
      <c r="E1946" s="46"/>
      <c r="F1946" s="46"/>
      <c r="G1946" s="46"/>
    </row>
    <row r="1947" customFormat="false" ht="15" hidden="false" customHeight="false" outlineLevel="0" collapsed="false">
      <c r="E1947" s="46"/>
      <c r="F1947" s="46"/>
      <c r="G1947" s="46"/>
    </row>
    <row r="1948" customFormat="false" ht="15" hidden="false" customHeight="false" outlineLevel="0" collapsed="false">
      <c r="E1948" s="46"/>
      <c r="F1948" s="46"/>
      <c r="G1948" s="46"/>
    </row>
    <row r="1949" customFormat="false" ht="15" hidden="false" customHeight="false" outlineLevel="0" collapsed="false">
      <c r="E1949" s="46"/>
      <c r="F1949" s="46"/>
      <c r="G1949" s="46"/>
    </row>
    <row r="1950" customFormat="false" ht="15" hidden="false" customHeight="false" outlineLevel="0" collapsed="false">
      <c r="E1950" s="46"/>
      <c r="F1950" s="46"/>
      <c r="G1950" s="46"/>
    </row>
    <row r="1951" customFormat="false" ht="15" hidden="false" customHeight="false" outlineLevel="0" collapsed="false">
      <c r="E1951" s="46"/>
      <c r="F1951" s="46"/>
      <c r="G1951" s="46"/>
    </row>
    <row r="1952" customFormat="false" ht="15" hidden="false" customHeight="false" outlineLevel="0" collapsed="false">
      <c r="E1952" s="46"/>
      <c r="F1952" s="46"/>
      <c r="G1952" s="46"/>
    </row>
    <row r="1953" customFormat="false" ht="15" hidden="false" customHeight="false" outlineLevel="0" collapsed="false">
      <c r="E1953" s="46"/>
      <c r="F1953" s="46"/>
      <c r="G1953" s="46"/>
    </row>
    <row r="1954" customFormat="false" ht="15" hidden="false" customHeight="false" outlineLevel="0" collapsed="false">
      <c r="E1954" s="46"/>
      <c r="F1954" s="46"/>
      <c r="G1954" s="46"/>
    </row>
    <row r="1955" customFormat="false" ht="15" hidden="false" customHeight="false" outlineLevel="0" collapsed="false">
      <c r="E1955" s="46"/>
      <c r="F1955" s="46"/>
      <c r="G1955" s="46"/>
    </row>
    <row r="1956" customFormat="false" ht="15" hidden="false" customHeight="false" outlineLevel="0" collapsed="false">
      <c r="E1956" s="46"/>
      <c r="F1956" s="46"/>
      <c r="G1956" s="46"/>
    </row>
    <row r="1957" customFormat="false" ht="15" hidden="false" customHeight="false" outlineLevel="0" collapsed="false">
      <c r="E1957" s="46"/>
      <c r="F1957" s="46"/>
      <c r="G1957" s="46"/>
    </row>
    <row r="1958" customFormat="false" ht="15" hidden="false" customHeight="false" outlineLevel="0" collapsed="false">
      <c r="E1958" s="46"/>
      <c r="F1958" s="46"/>
      <c r="G1958" s="46"/>
    </row>
    <row r="1959" customFormat="false" ht="15" hidden="false" customHeight="false" outlineLevel="0" collapsed="false">
      <c r="E1959" s="46"/>
      <c r="F1959" s="46"/>
      <c r="G1959" s="46"/>
    </row>
    <row r="1960" customFormat="false" ht="15" hidden="false" customHeight="false" outlineLevel="0" collapsed="false">
      <c r="E1960" s="46"/>
      <c r="F1960" s="46"/>
      <c r="G1960" s="46"/>
    </row>
    <row r="1961" customFormat="false" ht="15" hidden="false" customHeight="false" outlineLevel="0" collapsed="false">
      <c r="E1961" s="46"/>
      <c r="F1961" s="46"/>
      <c r="G1961" s="46"/>
    </row>
    <row r="1962" customFormat="false" ht="15" hidden="false" customHeight="false" outlineLevel="0" collapsed="false">
      <c r="E1962" s="46"/>
      <c r="F1962" s="46"/>
      <c r="G1962" s="46"/>
    </row>
    <row r="1963" customFormat="false" ht="15" hidden="false" customHeight="false" outlineLevel="0" collapsed="false">
      <c r="E1963" s="46"/>
      <c r="F1963" s="46"/>
      <c r="G1963" s="46"/>
    </row>
    <row r="1964" customFormat="false" ht="15" hidden="false" customHeight="false" outlineLevel="0" collapsed="false">
      <c r="E1964" s="46"/>
      <c r="F1964" s="46"/>
      <c r="G1964" s="46"/>
    </row>
    <row r="1965" customFormat="false" ht="15" hidden="false" customHeight="false" outlineLevel="0" collapsed="false">
      <c r="E1965" s="46"/>
      <c r="F1965" s="46"/>
      <c r="G1965" s="46"/>
    </row>
    <row r="1966" customFormat="false" ht="15" hidden="false" customHeight="false" outlineLevel="0" collapsed="false">
      <c r="E1966" s="46"/>
      <c r="F1966" s="46"/>
      <c r="G1966" s="46"/>
    </row>
    <row r="1967" customFormat="false" ht="15" hidden="false" customHeight="false" outlineLevel="0" collapsed="false">
      <c r="E1967" s="46"/>
      <c r="F1967" s="46"/>
      <c r="G1967" s="46"/>
    </row>
    <row r="1968" customFormat="false" ht="15" hidden="false" customHeight="false" outlineLevel="0" collapsed="false">
      <c r="E1968" s="46"/>
      <c r="F1968" s="46"/>
      <c r="G1968" s="46"/>
    </row>
    <row r="1969" customFormat="false" ht="15" hidden="false" customHeight="false" outlineLevel="0" collapsed="false">
      <c r="E1969" s="46"/>
      <c r="F1969" s="46"/>
      <c r="G1969" s="46"/>
    </row>
    <row r="1970" customFormat="false" ht="15" hidden="false" customHeight="false" outlineLevel="0" collapsed="false">
      <c r="E1970" s="46"/>
      <c r="F1970" s="46"/>
      <c r="G1970" s="46"/>
    </row>
    <row r="1971" customFormat="false" ht="15" hidden="false" customHeight="false" outlineLevel="0" collapsed="false">
      <c r="E1971" s="46"/>
      <c r="F1971" s="46"/>
      <c r="G1971" s="46"/>
    </row>
    <row r="1972" customFormat="false" ht="15" hidden="false" customHeight="false" outlineLevel="0" collapsed="false">
      <c r="E1972" s="46"/>
      <c r="F1972" s="46"/>
      <c r="G1972" s="46"/>
    </row>
    <row r="1973" customFormat="false" ht="15" hidden="false" customHeight="false" outlineLevel="0" collapsed="false">
      <c r="E1973" s="46"/>
      <c r="F1973" s="46"/>
      <c r="G1973" s="46"/>
    </row>
    <row r="1974" customFormat="false" ht="15" hidden="false" customHeight="false" outlineLevel="0" collapsed="false">
      <c r="E1974" s="46"/>
      <c r="F1974" s="46"/>
      <c r="G1974" s="46"/>
    </row>
    <row r="1975" customFormat="false" ht="15" hidden="false" customHeight="false" outlineLevel="0" collapsed="false">
      <c r="E1975" s="46"/>
      <c r="F1975" s="46"/>
      <c r="G1975" s="46"/>
    </row>
    <row r="1976" customFormat="false" ht="15" hidden="false" customHeight="false" outlineLevel="0" collapsed="false">
      <c r="E1976" s="46"/>
      <c r="F1976" s="46"/>
      <c r="G1976" s="46"/>
    </row>
    <row r="1977" customFormat="false" ht="15" hidden="false" customHeight="false" outlineLevel="0" collapsed="false">
      <c r="E1977" s="46"/>
      <c r="F1977" s="46"/>
      <c r="G1977" s="46"/>
    </row>
    <row r="1978" customFormat="false" ht="15" hidden="false" customHeight="false" outlineLevel="0" collapsed="false">
      <c r="E1978" s="46"/>
      <c r="F1978" s="46"/>
      <c r="G1978" s="46"/>
    </row>
    <row r="1979" customFormat="false" ht="15" hidden="false" customHeight="false" outlineLevel="0" collapsed="false">
      <c r="E1979" s="46"/>
      <c r="F1979" s="46"/>
      <c r="G1979" s="46"/>
    </row>
    <row r="1980" customFormat="false" ht="15" hidden="false" customHeight="false" outlineLevel="0" collapsed="false">
      <c r="E1980" s="46"/>
      <c r="F1980" s="46"/>
      <c r="G1980" s="46"/>
    </row>
    <row r="1981" customFormat="false" ht="15" hidden="false" customHeight="false" outlineLevel="0" collapsed="false">
      <c r="E1981" s="46"/>
      <c r="F1981" s="46"/>
      <c r="G1981" s="46"/>
    </row>
    <row r="1982" customFormat="false" ht="15" hidden="false" customHeight="false" outlineLevel="0" collapsed="false">
      <c r="E1982" s="46"/>
      <c r="F1982" s="46"/>
      <c r="G1982" s="46"/>
    </row>
    <row r="1983" customFormat="false" ht="15" hidden="false" customHeight="false" outlineLevel="0" collapsed="false">
      <c r="E1983" s="46"/>
      <c r="F1983" s="46"/>
      <c r="G1983" s="46"/>
    </row>
    <row r="1984" customFormat="false" ht="15" hidden="false" customHeight="false" outlineLevel="0" collapsed="false">
      <c r="E1984" s="46"/>
      <c r="F1984" s="46"/>
      <c r="G1984" s="46"/>
    </row>
    <row r="1985" customFormat="false" ht="15" hidden="false" customHeight="false" outlineLevel="0" collapsed="false">
      <c r="E1985" s="46"/>
      <c r="F1985" s="46"/>
      <c r="G1985" s="46"/>
    </row>
    <row r="1986" customFormat="false" ht="15" hidden="false" customHeight="false" outlineLevel="0" collapsed="false">
      <c r="E1986" s="46"/>
      <c r="F1986" s="46"/>
      <c r="G1986" s="46"/>
    </row>
    <row r="1987" customFormat="false" ht="15" hidden="false" customHeight="false" outlineLevel="0" collapsed="false">
      <c r="E1987" s="46"/>
      <c r="F1987" s="46"/>
      <c r="G1987" s="46"/>
    </row>
    <row r="1988" customFormat="false" ht="15" hidden="false" customHeight="false" outlineLevel="0" collapsed="false">
      <c r="E1988" s="46"/>
      <c r="F1988" s="46"/>
      <c r="G1988" s="46"/>
    </row>
    <row r="1989" customFormat="false" ht="15" hidden="false" customHeight="false" outlineLevel="0" collapsed="false">
      <c r="E1989" s="46"/>
      <c r="F1989" s="46"/>
      <c r="G1989" s="46"/>
    </row>
    <row r="1990" customFormat="false" ht="15" hidden="false" customHeight="false" outlineLevel="0" collapsed="false">
      <c r="E1990" s="46"/>
      <c r="F1990" s="46"/>
      <c r="G1990" s="46"/>
    </row>
    <row r="1991" customFormat="false" ht="15" hidden="false" customHeight="false" outlineLevel="0" collapsed="false">
      <c r="E1991" s="46"/>
      <c r="F1991" s="46"/>
      <c r="G1991" s="46"/>
    </row>
    <row r="1992" customFormat="false" ht="15" hidden="false" customHeight="false" outlineLevel="0" collapsed="false">
      <c r="E1992" s="46"/>
      <c r="F1992" s="46"/>
      <c r="G1992" s="46"/>
    </row>
    <row r="1993" customFormat="false" ht="15" hidden="false" customHeight="false" outlineLevel="0" collapsed="false">
      <c r="E1993" s="46"/>
      <c r="F1993" s="46"/>
      <c r="G1993" s="46"/>
    </row>
    <row r="1994" customFormat="false" ht="15" hidden="false" customHeight="false" outlineLevel="0" collapsed="false">
      <c r="E1994" s="46"/>
      <c r="F1994" s="46"/>
      <c r="G1994" s="46"/>
    </row>
    <row r="1995" customFormat="false" ht="15" hidden="false" customHeight="false" outlineLevel="0" collapsed="false">
      <c r="E1995" s="46"/>
      <c r="F1995" s="46"/>
      <c r="G1995" s="46"/>
    </row>
    <row r="1996" customFormat="false" ht="15" hidden="false" customHeight="false" outlineLevel="0" collapsed="false">
      <c r="E1996" s="46"/>
      <c r="F1996" s="46"/>
      <c r="G1996" s="46"/>
    </row>
    <row r="1997" customFormat="false" ht="15" hidden="false" customHeight="false" outlineLevel="0" collapsed="false">
      <c r="E1997" s="46"/>
      <c r="F1997" s="46"/>
      <c r="G1997" s="46"/>
    </row>
    <row r="1998" customFormat="false" ht="15" hidden="false" customHeight="false" outlineLevel="0" collapsed="false">
      <c r="E1998" s="46"/>
      <c r="F1998" s="46"/>
      <c r="G1998" s="46"/>
    </row>
    <row r="1999" customFormat="false" ht="15" hidden="false" customHeight="false" outlineLevel="0" collapsed="false">
      <c r="E1999" s="46"/>
      <c r="F1999" s="46"/>
      <c r="G1999" s="46"/>
    </row>
    <row r="2000" customFormat="false" ht="15" hidden="false" customHeight="false" outlineLevel="0" collapsed="false">
      <c r="E2000" s="46"/>
      <c r="F2000" s="46"/>
      <c r="G2000" s="46"/>
    </row>
    <row r="2001" customFormat="false" ht="15" hidden="false" customHeight="false" outlineLevel="0" collapsed="false">
      <c r="E2001" s="46"/>
      <c r="F2001" s="46"/>
      <c r="G2001" s="46"/>
    </row>
    <row r="2002" customFormat="false" ht="15" hidden="false" customHeight="false" outlineLevel="0" collapsed="false">
      <c r="E2002" s="46"/>
      <c r="F2002" s="46"/>
      <c r="G2002" s="46"/>
    </row>
    <row r="2003" customFormat="false" ht="15" hidden="false" customHeight="false" outlineLevel="0" collapsed="false">
      <c r="E2003" s="46"/>
      <c r="F2003" s="46"/>
      <c r="G2003" s="46"/>
    </row>
    <row r="2004" customFormat="false" ht="15" hidden="false" customHeight="false" outlineLevel="0" collapsed="false">
      <c r="E2004" s="46"/>
      <c r="F2004" s="46"/>
      <c r="G2004" s="46"/>
    </row>
    <row r="2005" customFormat="false" ht="15" hidden="false" customHeight="false" outlineLevel="0" collapsed="false">
      <c r="E2005" s="46"/>
      <c r="F2005" s="46"/>
      <c r="G2005" s="46"/>
    </row>
    <row r="2006" customFormat="false" ht="15" hidden="false" customHeight="false" outlineLevel="0" collapsed="false">
      <c r="E2006" s="46"/>
      <c r="F2006" s="46"/>
      <c r="G2006" s="46"/>
    </row>
    <row r="2007" customFormat="false" ht="15" hidden="false" customHeight="false" outlineLevel="0" collapsed="false">
      <c r="E2007" s="46"/>
      <c r="F2007" s="46"/>
      <c r="G2007" s="46"/>
    </row>
    <row r="2008" customFormat="false" ht="15" hidden="false" customHeight="false" outlineLevel="0" collapsed="false">
      <c r="E2008" s="46"/>
      <c r="F2008" s="46"/>
      <c r="G2008" s="46"/>
    </row>
    <row r="2009" customFormat="false" ht="15" hidden="false" customHeight="false" outlineLevel="0" collapsed="false">
      <c r="E2009" s="46"/>
      <c r="F2009" s="46"/>
      <c r="G2009" s="46"/>
    </row>
    <row r="2010" customFormat="false" ht="15" hidden="false" customHeight="false" outlineLevel="0" collapsed="false">
      <c r="E2010" s="46"/>
      <c r="F2010" s="46"/>
      <c r="G2010" s="46"/>
    </row>
    <row r="2011" customFormat="false" ht="15" hidden="false" customHeight="false" outlineLevel="0" collapsed="false">
      <c r="E2011" s="46"/>
      <c r="F2011" s="46"/>
      <c r="G2011" s="46"/>
    </row>
    <row r="2012" customFormat="false" ht="15" hidden="false" customHeight="false" outlineLevel="0" collapsed="false">
      <c r="E2012" s="46"/>
      <c r="F2012" s="46"/>
      <c r="G2012" s="46"/>
    </row>
    <row r="2013" customFormat="false" ht="15" hidden="false" customHeight="false" outlineLevel="0" collapsed="false">
      <c r="E2013" s="46"/>
      <c r="F2013" s="46"/>
      <c r="G2013" s="46"/>
    </row>
    <row r="2014" customFormat="false" ht="15" hidden="false" customHeight="false" outlineLevel="0" collapsed="false">
      <c r="E2014" s="46"/>
      <c r="F2014" s="46"/>
      <c r="G2014" s="46"/>
    </row>
    <row r="2015" customFormat="false" ht="15" hidden="false" customHeight="false" outlineLevel="0" collapsed="false">
      <c r="E2015" s="46"/>
      <c r="F2015" s="46"/>
      <c r="G2015" s="46"/>
    </row>
    <row r="2016" customFormat="false" ht="15" hidden="false" customHeight="false" outlineLevel="0" collapsed="false">
      <c r="E2016" s="46"/>
      <c r="F2016" s="46"/>
      <c r="G2016" s="46"/>
    </row>
    <row r="2017" customFormat="false" ht="15" hidden="false" customHeight="false" outlineLevel="0" collapsed="false">
      <c r="E2017" s="46"/>
      <c r="F2017" s="46"/>
      <c r="G2017" s="46"/>
    </row>
    <row r="2018" customFormat="false" ht="15" hidden="false" customHeight="false" outlineLevel="0" collapsed="false">
      <c r="E2018" s="46"/>
      <c r="F2018" s="46"/>
      <c r="G2018" s="46"/>
    </row>
    <row r="2019" customFormat="false" ht="15" hidden="false" customHeight="false" outlineLevel="0" collapsed="false">
      <c r="E2019" s="46"/>
      <c r="F2019" s="46"/>
      <c r="G2019" s="46"/>
    </row>
    <row r="2020" customFormat="false" ht="15" hidden="false" customHeight="false" outlineLevel="0" collapsed="false">
      <c r="E2020" s="46"/>
      <c r="F2020" s="46"/>
      <c r="G2020" s="46"/>
    </row>
    <row r="2021" customFormat="false" ht="15" hidden="false" customHeight="false" outlineLevel="0" collapsed="false">
      <c r="E2021" s="46"/>
      <c r="F2021" s="46"/>
      <c r="G2021" s="46"/>
    </row>
    <row r="2022" customFormat="false" ht="15" hidden="false" customHeight="false" outlineLevel="0" collapsed="false">
      <c r="E2022" s="46"/>
      <c r="F2022" s="46"/>
      <c r="G2022" s="46"/>
    </row>
    <row r="2023" customFormat="false" ht="15" hidden="false" customHeight="false" outlineLevel="0" collapsed="false">
      <c r="E2023" s="46"/>
      <c r="F2023" s="46"/>
      <c r="G2023" s="46"/>
    </row>
    <row r="2024" customFormat="false" ht="15" hidden="false" customHeight="false" outlineLevel="0" collapsed="false">
      <c r="E2024" s="46"/>
      <c r="F2024" s="46"/>
      <c r="G2024" s="46"/>
    </row>
    <row r="2025" customFormat="false" ht="15" hidden="false" customHeight="false" outlineLevel="0" collapsed="false">
      <c r="E2025" s="46"/>
      <c r="F2025" s="46"/>
      <c r="G2025" s="46"/>
    </row>
    <row r="2026" customFormat="false" ht="15" hidden="false" customHeight="false" outlineLevel="0" collapsed="false">
      <c r="E2026" s="46"/>
      <c r="F2026" s="46"/>
      <c r="G2026" s="46"/>
    </row>
    <row r="2027" customFormat="false" ht="15" hidden="false" customHeight="false" outlineLevel="0" collapsed="false">
      <c r="E2027" s="46"/>
      <c r="F2027" s="46"/>
      <c r="G2027" s="46"/>
    </row>
    <row r="2028" customFormat="false" ht="15" hidden="false" customHeight="false" outlineLevel="0" collapsed="false">
      <c r="E2028" s="46"/>
      <c r="F2028" s="46"/>
      <c r="G2028" s="46"/>
    </row>
    <row r="2029" customFormat="false" ht="15" hidden="false" customHeight="false" outlineLevel="0" collapsed="false">
      <c r="E2029" s="46"/>
      <c r="F2029" s="46"/>
      <c r="G2029" s="46"/>
    </row>
    <row r="2030" customFormat="false" ht="15" hidden="false" customHeight="false" outlineLevel="0" collapsed="false">
      <c r="E2030" s="46"/>
      <c r="F2030" s="46"/>
      <c r="G2030" s="46"/>
    </row>
    <row r="2031" customFormat="false" ht="15" hidden="false" customHeight="false" outlineLevel="0" collapsed="false">
      <c r="E2031" s="46"/>
      <c r="F2031" s="46"/>
      <c r="G2031" s="46"/>
    </row>
    <row r="2032" customFormat="false" ht="15" hidden="false" customHeight="false" outlineLevel="0" collapsed="false">
      <c r="E2032" s="46"/>
      <c r="F2032" s="46"/>
      <c r="G2032" s="46"/>
    </row>
    <row r="2033" customFormat="false" ht="15" hidden="false" customHeight="false" outlineLevel="0" collapsed="false">
      <c r="E2033" s="46"/>
      <c r="F2033" s="46"/>
      <c r="G2033" s="46"/>
    </row>
    <row r="2034" customFormat="false" ht="15" hidden="false" customHeight="false" outlineLevel="0" collapsed="false">
      <c r="E2034" s="46"/>
      <c r="F2034" s="46"/>
      <c r="G2034" s="46"/>
    </row>
    <row r="2035" customFormat="false" ht="15" hidden="false" customHeight="false" outlineLevel="0" collapsed="false">
      <c r="E2035" s="46"/>
      <c r="F2035" s="46"/>
      <c r="G2035" s="46"/>
    </row>
    <row r="2036" customFormat="false" ht="15" hidden="false" customHeight="false" outlineLevel="0" collapsed="false">
      <c r="E2036" s="46"/>
      <c r="F2036" s="46"/>
      <c r="G2036" s="46"/>
    </row>
    <row r="2037" customFormat="false" ht="15" hidden="false" customHeight="false" outlineLevel="0" collapsed="false">
      <c r="E2037" s="46"/>
      <c r="F2037" s="46"/>
      <c r="G2037" s="46"/>
    </row>
    <row r="2038" customFormat="false" ht="15" hidden="false" customHeight="false" outlineLevel="0" collapsed="false">
      <c r="E2038" s="46"/>
      <c r="F2038" s="46"/>
      <c r="G2038" s="46"/>
    </row>
    <row r="2039" customFormat="false" ht="15" hidden="false" customHeight="false" outlineLevel="0" collapsed="false">
      <c r="E2039" s="46"/>
      <c r="F2039" s="46"/>
      <c r="G2039" s="46"/>
    </row>
    <row r="2040" customFormat="false" ht="15" hidden="false" customHeight="false" outlineLevel="0" collapsed="false">
      <c r="E2040" s="46"/>
      <c r="F2040" s="46"/>
      <c r="G2040" s="46"/>
    </row>
    <row r="2041" customFormat="false" ht="15" hidden="false" customHeight="false" outlineLevel="0" collapsed="false">
      <c r="E2041" s="46"/>
      <c r="F2041" s="46"/>
      <c r="G2041" s="46"/>
    </row>
    <row r="2042" customFormat="false" ht="15" hidden="false" customHeight="false" outlineLevel="0" collapsed="false">
      <c r="E2042" s="46"/>
      <c r="F2042" s="46"/>
      <c r="G2042" s="46"/>
    </row>
    <row r="2043" customFormat="false" ht="15" hidden="false" customHeight="false" outlineLevel="0" collapsed="false">
      <c r="E2043" s="46"/>
      <c r="F2043" s="46"/>
      <c r="G2043" s="46"/>
    </row>
    <row r="2044" customFormat="false" ht="15" hidden="false" customHeight="false" outlineLevel="0" collapsed="false">
      <c r="E2044" s="46"/>
      <c r="F2044" s="46"/>
      <c r="G2044" s="46"/>
    </row>
    <row r="2045" customFormat="false" ht="15" hidden="false" customHeight="false" outlineLevel="0" collapsed="false">
      <c r="E2045" s="46"/>
      <c r="F2045" s="46"/>
      <c r="G2045" s="46"/>
    </row>
    <row r="2046" customFormat="false" ht="15" hidden="false" customHeight="false" outlineLevel="0" collapsed="false">
      <c r="E2046" s="46"/>
      <c r="F2046" s="46"/>
      <c r="G2046" s="46"/>
    </row>
    <row r="2047" customFormat="false" ht="15" hidden="false" customHeight="false" outlineLevel="0" collapsed="false">
      <c r="E2047" s="46"/>
      <c r="F2047" s="46"/>
      <c r="G2047" s="46"/>
    </row>
    <row r="2048" customFormat="false" ht="15" hidden="false" customHeight="false" outlineLevel="0" collapsed="false">
      <c r="E2048" s="46"/>
      <c r="F2048" s="46"/>
      <c r="G2048" s="46"/>
    </row>
    <row r="2049" customFormat="false" ht="15" hidden="false" customHeight="false" outlineLevel="0" collapsed="false">
      <c r="E2049" s="46"/>
      <c r="F2049" s="46"/>
      <c r="G2049" s="46"/>
    </row>
    <row r="2050" customFormat="false" ht="15" hidden="false" customHeight="false" outlineLevel="0" collapsed="false">
      <c r="E2050" s="46"/>
      <c r="F2050" s="46"/>
      <c r="G2050" s="46"/>
    </row>
    <row r="2051" customFormat="false" ht="15" hidden="false" customHeight="false" outlineLevel="0" collapsed="false">
      <c r="E2051" s="46"/>
      <c r="F2051" s="46"/>
      <c r="G2051" s="46"/>
    </row>
    <row r="2052" customFormat="false" ht="15" hidden="false" customHeight="false" outlineLevel="0" collapsed="false">
      <c r="E2052" s="46"/>
      <c r="F2052" s="46"/>
      <c r="G2052" s="46"/>
    </row>
  </sheetData>
  <autoFilter ref="A1:N1052">
    <sortState ref="A2:N1052">
      <sortCondition ref="A2:A1052"/>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3359375" defaultRowHeight="15" customHeight="false" zeroHeight="false" outlineLevelRow="0" outlineLevelCol="0"/>
  <cols>
    <col collapsed="false" customWidth="true" hidden="false" outlineLevel="0" max="1" min="1" style="47" width="2.42"/>
    <col collapsed="false" customWidth="true" hidden="false" outlineLevel="0" max="2" min="2" style="47" width="3"/>
    <col collapsed="false" customWidth="true" hidden="false" outlineLevel="0" max="3" min="3" style="47" width="55.71"/>
    <col collapsed="false" customWidth="true" hidden="false" outlineLevel="0" max="4" min="4" style="2" width="43.57"/>
    <col collapsed="false" customWidth="true" hidden="false" outlineLevel="0" max="5" min="5" style="2" width="75.42"/>
    <col collapsed="false" customWidth="true" hidden="false" outlineLevel="0" max="6" min="6" style="2" width="49.71"/>
    <col collapsed="false" customWidth="true" hidden="false" outlineLevel="0" max="7" min="7" style="2" width="57.57"/>
    <col collapsed="false" customWidth="true" hidden="false" outlineLevel="0" max="8" min="8" style="2" width="49.71"/>
    <col collapsed="false" customWidth="false" hidden="false" outlineLevel="0" max="16384" min="9" style="2" width="11.43"/>
  </cols>
  <sheetData>
    <row r="1" s="47" customFormat="true" ht="15" hidden="false" customHeight="false" outlineLevel="0" collapsed="false"/>
    <row r="2" s="47" customFormat="true" ht="15" hidden="false" customHeight="false" outlineLevel="0" collapsed="false">
      <c r="C2" s="48" t="s">
        <v>4009</v>
      </c>
      <c r="D2" s="49" t="s">
        <v>4010</v>
      </c>
      <c r="E2" s="49" t="s">
        <v>4011</v>
      </c>
      <c r="F2" s="49" t="s">
        <v>4012</v>
      </c>
      <c r="G2" s="49" t="s">
        <v>4013</v>
      </c>
      <c r="H2" s="50" t="s">
        <v>4014</v>
      </c>
    </row>
    <row r="3" customFormat="false" ht="15" hidden="false" customHeight="false" outlineLevel="0" collapsed="false">
      <c r="B3" s="51"/>
      <c r="C3" s="52"/>
      <c r="D3" s="53"/>
      <c r="E3" s="53" t="str">
        <f aca="false">IFERROR(VLOOKUP(Tabla1[[#This Row],[Cargo Homologado 1]],'[1]catalogo '!$b$1:$J$1052,9,0)," ")</f>
        <v> </v>
      </c>
      <c r="F3" s="53"/>
      <c r="G3" s="53" t="str">
        <f aca="false">IFERROR(VLOOKUP(Tabla1[[#This Row],[Cargo Homologado 2]],'[1]catalogo '!$b$1:$J$1052,9,0)," ")</f>
        <v> </v>
      </c>
      <c r="H3" s="54"/>
    </row>
    <row r="4" customFormat="false" ht="15" hidden="false" customHeight="false" outlineLevel="0" collapsed="false">
      <c r="B4" s="51"/>
      <c r="C4" s="52"/>
      <c r="D4" s="53"/>
      <c r="E4" s="53" t="str">
        <f aca="false">IFERROR(VLOOKUP(Tabla1[[#This Row],[Cargo Homologado 1]],'[1]catalogo '!$b$1:$J$1052,9,0)," ")</f>
        <v> </v>
      </c>
      <c r="F4" s="53"/>
      <c r="G4" s="53" t="str">
        <f aca="false">IFERROR(VLOOKUP(Tabla1[[#This Row],[Cargo Homologado 2]],'[1]catalogo '!$b$1:$J$1052,9,0)," ")</f>
        <v> </v>
      </c>
      <c r="H4" s="5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577"/>
  <sheetViews>
    <sheetView showFormulas="false" showGridLines="true" showRowColHeaders="true" showZeros="true" rightToLeft="false" tabSelected="false" showOutlineSymbols="true" defaultGridColor="true" view="normal" topLeftCell="A1" colorId="64" zoomScale="87" zoomScaleNormal="87" zoomScalePageLayoutView="100" workbookViewId="0">
      <selection pane="topLeft" activeCell="B1" activeCellId="0" sqref="B1"/>
    </sheetView>
  </sheetViews>
  <sheetFormatPr defaultColWidth="11.42578125" defaultRowHeight="15" customHeight="false" zeroHeight="false" outlineLevelRow="0" outlineLevelCol="0"/>
  <cols>
    <col collapsed="false" customWidth="true" hidden="false" outlineLevel="0" max="1" min="1" style="47" width="1.71"/>
    <col collapsed="false" customWidth="true" hidden="false" outlineLevel="0" max="3" min="2" style="55" width="43.71"/>
    <col collapsed="false" customWidth="true" hidden="false" outlineLevel="0" max="4" min="4" style="55" width="31.29"/>
    <col collapsed="false" customWidth="true" hidden="false" outlineLevel="0" max="5" min="5" style="55" width="77.29"/>
    <col collapsed="false" customWidth="true" hidden="false" outlineLevel="0" max="6" min="6" style="55" width="24.71"/>
  </cols>
  <sheetData>
    <row r="1" customFormat="false" ht="15" hidden="false" customHeight="false" outlineLevel="0" collapsed="false">
      <c r="D1" s="55" t="e">
        <f aca="true" t="array" ref="D1:D1">INDIRECT(VLOOKUP(#ref!,CATALOGO!$AE$3:$AG$29,3,0))</f>
        <v>#NAME?</v>
      </c>
      <c r="E1" s="55" t="str">
        <f aca="false">IFERROR(VLOOKUP(F3,CATALOGO!$AJ$2:$AM$27,4,0),"")</f>
        <v> Vicepresidente  / Director Región  / Presidente  País</v>
      </c>
    </row>
    <row r="2" customFormat="false" ht="15" hidden="false" customHeight="false" outlineLevel="0" collapsed="false">
      <c r="B2" s="56" t="s">
        <v>4015</v>
      </c>
      <c r="C2" s="56" t="s">
        <v>4016</v>
      </c>
      <c r="D2" s="57" t="s">
        <v>4017</v>
      </c>
      <c r="E2" s="57" t="s">
        <v>4018</v>
      </c>
      <c r="F2" s="57" t="s">
        <v>4019</v>
      </c>
    </row>
    <row r="3" customFormat="false" ht="15" hidden="false" customHeight="false" outlineLevel="0" collapsed="false">
      <c r="B3" s="58"/>
      <c r="C3" s="58"/>
      <c r="D3" s="58"/>
      <c r="E3" s="58" t="str">
        <f aca="false">IFERROR(VLOOKUP(F3,CATALOGO!$AJ$2:$AM$27,4,0),"")</f>
        <v> Vicepresidente  / Director Región  / Presidente  País</v>
      </c>
      <c r="F3" s="58" t="n">
        <v>20</v>
      </c>
    </row>
    <row r="4" customFormat="false" ht="15" hidden="false" customHeight="false" outlineLevel="0" collapsed="false">
      <c r="B4" s="58"/>
      <c r="C4" s="58"/>
      <c r="D4" s="58"/>
      <c r="E4" s="58" t="str">
        <f aca="false">IFERROR(VLOOKUP(F4,CATALOGO!$AJ$2:$AM$27,4,0),"")</f>
        <v>Gerente / Gerente Región / Gerente País / Gerente Unidad de Negocio / Gerente de Cuenta</v>
      </c>
      <c r="F4" s="58" t="n">
        <v>18</v>
      </c>
    </row>
    <row r="5" customFormat="false" ht="15" hidden="false" customHeight="false" outlineLevel="0" collapsed="false">
      <c r="B5" s="58"/>
      <c r="C5" s="58"/>
      <c r="D5" s="59"/>
      <c r="E5" s="58" t="str">
        <f aca="false">IFERROR(VLOOKUP(F5,CATALOGO!$AJ$2:$AM$27,4,0),"")</f>
        <v>Gerente / Gerente Región / Gerente País / Gerente Unidad de Negocio / Gerente de Cuenta</v>
      </c>
      <c r="F5" s="58" t="n">
        <v>18</v>
      </c>
    </row>
    <row r="6" customFormat="false" ht="15" hidden="false" customHeight="false" outlineLevel="0" collapsed="false">
      <c r="B6" s="58"/>
      <c r="C6" s="60"/>
      <c r="D6" s="61"/>
      <c r="E6" s="58" t="str">
        <f aca="false">IFERROR(VLOOKUP(F6,CATALOGO!$AJ$2:$AM$27,4,0),"")</f>
        <v>Gerente / Gerente Región / Gerente País / Gerente Unidad de Negocio / Gerente de Cuenta</v>
      </c>
      <c r="F6" s="58" t="n">
        <v>16</v>
      </c>
    </row>
    <row r="7" customFormat="false" ht="15" hidden="false" customHeight="false" outlineLevel="0" collapsed="false">
      <c r="B7" s="58"/>
      <c r="C7" s="58"/>
      <c r="D7" s="58"/>
      <c r="E7" s="58" t="str">
        <f aca="false">IFERROR(VLOOKUP(F7,CATALOGO!$AJ$2:$AM$27,4,0),"")</f>
        <v>Director / Jefe / Especialista Sr / Ingeniero / Ejecutivo de Cuenta</v>
      </c>
      <c r="F7" s="58" t="n">
        <v>15</v>
      </c>
    </row>
    <row r="8" customFormat="false" ht="15" hidden="false" customHeight="false" outlineLevel="0" collapsed="false">
      <c r="B8" s="58"/>
      <c r="C8" s="58"/>
      <c r="D8" s="58"/>
      <c r="E8" s="58" t="str">
        <f aca="false">IFERROR(VLOOKUP(F8,CATALOGO!$AJ$2:$AM$27,4,0),"")</f>
        <v>Director / Jefe / Especialista Sr / Ingeniero / Ejecutivo de Cuenta</v>
      </c>
      <c r="F8" s="58" t="n">
        <v>15</v>
      </c>
    </row>
    <row r="9" customFormat="false" ht="15" hidden="false" customHeight="false" outlineLevel="0" collapsed="false">
      <c r="B9" s="58"/>
      <c r="C9" s="58"/>
      <c r="D9" s="58"/>
      <c r="E9" s="58" t="str">
        <f aca="false">IFERROR(VLOOKUP(F9,CATALOGO!$AJ$2:$AM$27,4,0),"")</f>
        <v>Director / Jefe / Especialista Sr / Ingeniero / Ejecutivo de Cuenta</v>
      </c>
      <c r="F9" s="58" t="n">
        <v>15</v>
      </c>
    </row>
    <row r="10" customFormat="false" ht="15" hidden="false" customHeight="false" outlineLevel="0" collapsed="false">
      <c r="B10" s="58"/>
      <c r="C10" s="60"/>
      <c r="D10" s="58"/>
      <c r="E10" s="58" t="str">
        <f aca="false">IFERROR(VLOOKUP(F10,CATALOGO!$AJ$2:$AM$27,4,0),"")</f>
        <v>Director / Jefe / Especialista Sr / Ingeniero / Ejecutivo de Cuenta</v>
      </c>
      <c r="F10" s="58" t="n">
        <v>15</v>
      </c>
    </row>
    <row r="11" customFormat="false" ht="15" hidden="false" customHeight="false" outlineLevel="0" collapsed="false">
      <c r="B11" s="58"/>
      <c r="C11" s="58"/>
      <c r="D11" s="58"/>
      <c r="E11" s="58" t="str">
        <f aca="false">IFERROR(VLOOKUP(F11,CATALOGO!$AJ$2:$AM$27,4,0),"")</f>
        <v>Director / Jefe / Especialista Sr / Ingeniero / Ejecutivo de Cuenta</v>
      </c>
      <c r="F11" s="58" t="n">
        <v>15</v>
      </c>
    </row>
    <row r="12" customFormat="false" ht="15" hidden="false" customHeight="false" outlineLevel="0" collapsed="false">
      <c r="B12" s="58"/>
      <c r="C12" s="58"/>
      <c r="D12" s="58"/>
      <c r="E12" s="58" t="str">
        <f aca="false">IFERROR(VLOOKUP(F12,CATALOGO!$AJ$2:$AM$27,4,0),"")</f>
        <v>Director / Jefe / Especialista Sr / Ingeniero / Ejecutivo de Cuenta</v>
      </c>
      <c r="F12" s="58" t="n">
        <v>15</v>
      </c>
    </row>
    <row r="13" customFormat="false" ht="15" hidden="false" customHeight="false" outlineLevel="0" collapsed="false">
      <c r="B13" s="58"/>
      <c r="C13" s="58"/>
      <c r="D13" s="59"/>
      <c r="E13" s="58" t="str">
        <f aca="false">IFERROR(VLOOKUP(F13,CATALOGO!$AJ$2:$AM$27,4,0),"")</f>
        <v>Director / Jefe / Especialista Sr / Ingeniero / Ejecutivo de Cuenta</v>
      </c>
      <c r="F13" s="58" t="n">
        <v>15</v>
      </c>
    </row>
    <row r="14" customFormat="false" ht="15" hidden="false" customHeight="false" outlineLevel="0" collapsed="false">
      <c r="B14" s="58"/>
      <c r="C14" s="60"/>
      <c r="D14" s="58"/>
      <c r="E14" s="58" t="str">
        <f aca="false">IFERROR(VLOOKUP(F14,CATALOGO!$AJ$2:$AM$27,4,0),"")</f>
        <v>Director / Jefe / Especialista Sr / Ingeniero / Ejecutivo de Cuenta</v>
      </c>
      <c r="F14" s="58" t="n">
        <v>14</v>
      </c>
    </row>
    <row r="15" customFormat="false" ht="15" hidden="false" customHeight="false" outlineLevel="0" collapsed="false">
      <c r="B15" s="58"/>
      <c r="C15" s="60"/>
      <c r="D15" s="58"/>
      <c r="E15" s="58" t="str">
        <f aca="false">IFERROR(VLOOKUP(F15,CATALOGO!$AJ$2:$AM$27,4,0),"")</f>
        <v>Director / Jefe / Especialista Sr / Ingeniero / Ejecutivo de Cuenta</v>
      </c>
      <c r="F15" s="58" t="n">
        <v>14</v>
      </c>
    </row>
    <row r="16" customFormat="false" ht="15" hidden="false" customHeight="false" outlineLevel="0" collapsed="false">
      <c r="B16" s="58"/>
      <c r="C16" s="60"/>
      <c r="D16" s="58"/>
      <c r="E16" s="58" t="str">
        <f aca="false">IFERROR(VLOOKUP(F16,CATALOGO!$AJ$2:$AM$27,4,0),"")</f>
        <v>Director / Jefe / Especialista Sr / Ingeniero / Ejecutivo de Cuenta</v>
      </c>
      <c r="F16" s="58" t="n">
        <v>14</v>
      </c>
    </row>
    <row r="17" customFormat="false" ht="15" hidden="false" customHeight="false" outlineLevel="0" collapsed="false">
      <c r="B17" s="58"/>
      <c r="C17" s="60"/>
      <c r="D17" s="61"/>
      <c r="E17" s="58" t="str">
        <f aca="false">IFERROR(VLOOKUP(F17,CATALOGO!$AJ$2:$AM$27,4,0),"")</f>
        <v>Director / Jefe / Especialista Sr / Ingeniero / Ejecutivo de Cuenta</v>
      </c>
      <c r="F17" s="58" t="n">
        <v>14</v>
      </c>
    </row>
    <row r="18" customFormat="false" ht="15" hidden="false" customHeight="false" outlineLevel="0" collapsed="false">
      <c r="B18" s="58"/>
      <c r="C18" s="60"/>
      <c r="D18" s="61"/>
      <c r="E18" s="58" t="str">
        <f aca="false">IFERROR(VLOOKUP(F18,CATALOGO!$AJ$2:$AM$27,4,0),"")</f>
        <v>Director / Jefe / Especialista Sr / Ingeniero / Ejecutivo de Cuenta</v>
      </c>
      <c r="F18" s="58" t="n">
        <v>14</v>
      </c>
    </row>
    <row r="19" customFormat="false" ht="15" hidden="false" customHeight="false" outlineLevel="0" collapsed="false">
      <c r="B19" s="58"/>
      <c r="C19" s="60"/>
      <c r="D19" s="61"/>
      <c r="E19" s="58" t="str">
        <f aca="false">IFERROR(VLOOKUP(F19,CATALOGO!$AJ$2:$AM$27,4,0),"")</f>
        <v>Director / Jefe / Especialista Sr / Ingeniero / Ejecutivo de Cuenta</v>
      </c>
      <c r="F19" s="58" t="n">
        <v>14</v>
      </c>
    </row>
    <row r="20" customFormat="false" ht="15" hidden="false" customHeight="false" outlineLevel="0" collapsed="false">
      <c r="B20" s="58"/>
      <c r="C20" s="60"/>
      <c r="D20" s="61"/>
      <c r="E20" s="58" t="str">
        <f aca="false">IFERROR(VLOOKUP(F20,CATALOGO!$AJ$2:$AM$27,4,0),"")</f>
        <v>Director / Jefe / Especialista Sr / Ingeniero / Ejecutivo de Cuenta</v>
      </c>
      <c r="F20" s="58" t="n">
        <v>14</v>
      </c>
    </row>
    <row r="21" customFormat="false" ht="15" hidden="false" customHeight="false" outlineLevel="0" collapsed="false">
      <c r="B21" s="58"/>
      <c r="C21" s="60"/>
      <c r="D21" s="58"/>
      <c r="E21" s="58" t="str">
        <f aca="false">IFERROR(VLOOKUP(F21,CATALOGO!$AJ$2:$AM$27,4,0),"")</f>
        <v>Director / Jefe / Especialista Sr / Ingeniero / Ejecutivo de Cuenta</v>
      </c>
      <c r="F21" s="58" t="n">
        <v>14</v>
      </c>
    </row>
    <row r="22" customFormat="false" ht="15" hidden="false" customHeight="false" outlineLevel="0" collapsed="false">
      <c r="B22" s="58"/>
      <c r="C22" s="58"/>
      <c r="D22" s="58"/>
      <c r="E22" s="58" t="str">
        <f aca="false">IFERROR(VLOOKUP(F22,CATALOGO!$AJ$2:$AM$27,4,0),"")</f>
        <v>Director / Jefe / Especialista Sr / Ingeniero / Ejecutivo de Cuenta</v>
      </c>
      <c r="F22" s="58" t="n">
        <v>13</v>
      </c>
    </row>
    <row r="23" customFormat="false" ht="15" hidden="false" customHeight="false" outlineLevel="0" collapsed="false">
      <c r="B23" s="58"/>
      <c r="C23" s="60"/>
      <c r="D23" s="58"/>
      <c r="E23" s="58" t="str">
        <f aca="false">IFERROR(VLOOKUP(F23,CATALOGO!$AJ$2:$AM$27,4,0),"")</f>
        <v>Director / Jefe / Especialista Sr / Ingeniero / Ejecutivo de Cuenta</v>
      </c>
      <c r="F23" s="58" t="n">
        <v>13</v>
      </c>
    </row>
    <row r="24" customFormat="false" ht="15" hidden="false" customHeight="false" outlineLevel="0" collapsed="false">
      <c r="B24" s="58"/>
      <c r="C24" s="60"/>
      <c r="D24" s="61"/>
      <c r="E24" s="58" t="str">
        <f aca="false">IFERROR(VLOOKUP(F24,CATALOGO!$AJ$2:$AM$27,4,0),"")</f>
        <v>Director / Jefe / Especialista Sr / Ingeniero / Ejecutivo de Cuenta</v>
      </c>
      <c r="F24" s="58" t="n">
        <v>13</v>
      </c>
    </row>
    <row r="25" customFormat="false" ht="15" hidden="false" customHeight="false" outlineLevel="0" collapsed="false">
      <c r="B25" s="58"/>
      <c r="C25" s="60"/>
      <c r="D25" s="61"/>
      <c r="E25" s="58" t="str">
        <f aca="false">IFERROR(VLOOKUP(F25,CATALOGO!$AJ$2:$AM$27,4,0),"")</f>
        <v>Director / Jefe / Especialista Sr / Ingeniero / Ejecutivo de Cuenta</v>
      </c>
      <c r="F25" s="58" t="n">
        <v>13</v>
      </c>
    </row>
    <row r="26" customFormat="false" ht="15" hidden="false" customHeight="false" outlineLevel="0" collapsed="false">
      <c r="B26" s="58"/>
      <c r="C26" s="60"/>
      <c r="D26" s="61"/>
      <c r="E26" s="58" t="str">
        <f aca="false">IFERROR(VLOOKUP(F26,CATALOGO!$AJ$2:$AM$27,4,0),"")</f>
        <v>Director / Jefe / Especialista / Ingeniero / Ejecutivo de Cuenta</v>
      </c>
      <c r="F26" s="58" t="n">
        <v>12</v>
      </c>
    </row>
    <row r="27" customFormat="false" ht="15" hidden="false" customHeight="false" outlineLevel="0" collapsed="false">
      <c r="B27" s="58"/>
      <c r="C27" s="58"/>
      <c r="D27" s="58"/>
      <c r="E27" s="58" t="str">
        <f aca="false">IFERROR(VLOOKUP(F27,CATALOGO!$AJ$2:$AM$27,4,0),"")</f>
        <v>Director / Jefe / Especialista / Ingeniero / Ejecutivo de Cuenta</v>
      </c>
      <c r="F27" s="58" t="n">
        <v>12</v>
      </c>
    </row>
    <row r="28" customFormat="false" ht="15" hidden="false" customHeight="false" outlineLevel="0" collapsed="false">
      <c r="B28" s="58"/>
      <c r="C28" s="58"/>
      <c r="D28" s="58"/>
      <c r="E28" s="58" t="str">
        <f aca="false">IFERROR(VLOOKUP(F28,CATALOGO!$AJ$2:$AM$27,4,0),"")</f>
        <v>Director / Jefe / Especialista / Ingeniero / Ejecutivo de Cuenta</v>
      </c>
      <c r="F28" s="58" t="n">
        <v>12</v>
      </c>
    </row>
    <row r="29" customFormat="false" ht="15" hidden="false" customHeight="false" outlineLevel="0" collapsed="false">
      <c r="B29" s="58"/>
      <c r="C29" s="58"/>
      <c r="D29" s="58"/>
      <c r="E29" s="58" t="str">
        <f aca="false">IFERROR(VLOOKUP(F29,CATALOGO!$AJ$2:$AM$27,4,0),"")</f>
        <v>Director / Jefe / Especialista / Ingeniero / Ejecutivo de Cuenta</v>
      </c>
      <c r="F29" s="58" t="n">
        <v>12</v>
      </c>
    </row>
    <row r="30" customFormat="false" ht="15" hidden="false" customHeight="false" outlineLevel="0" collapsed="false">
      <c r="B30" s="58"/>
      <c r="C30" s="60"/>
      <c r="D30" s="61"/>
      <c r="E30" s="58" t="str">
        <f aca="false">IFERROR(VLOOKUP(F30,CATALOGO!$AJ$2:$AM$27,4,0),"")</f>
        <v>Director / Jefe / Especialista / Ingeniero / Ejecutivo de Cuenta</v>
      </c>
      <c r="F30" s="58" t="n">
        <v>12</v>
      </c>
    </row>
    <row r="31" customFormat="false" ht="15" hidden="false" customHeight="false" outlineLevel="0" collapsed="false">
      <c r="B31" s="58"/>
      <c r="C31" s="60"/>
      <c r="D31" s="61"/>
      <c r="E31" s="58" t="str">
        <f aca="false">IFERROR(VLOOKUP(F31,CATALOGO!$AJ$2:$AM$27,4,0),"")</f>
        <v>Director / Jefe / Especialista / Ingeniero / Ejecutivo de Cuenta</v>
      </c>
      <c r="F31" s="58" t="n">
        <v>12</v>
      </c>
    </row>
    <row r="32" customFormat="false" ht="15" hidden="false" customHeight="false" outlineLevel="0" collapsed="false">
      <c r="B32" s="58"/>
      <c r="C32" s="60"/>
      <c r="D32" s="62"/>
      <c r="E32" s="58" t="str">
        <f aca="false">IFERROR(VLOOKUP(F32,CATALOGO!$AJ$2:$AM$27,4,0),"")</f>
        <v>Director / Jefe / Especialista / Ingeniero / Ejecutivo de Cuenta</v>
      </c>
      <c r="F32" s="58" t="n">
        <v>12</v>
      </c>
    </row>
    <row r="33" customFormat="false" ht="15" hidden="false" customHeight="false" outlineLevel="0" collapsed="false">
      <c r="B33" s="58"/>
      <c r="C33" s="60"/>
      <c r="D33" s="61"/>
      <c r="E33" s="58" t="str">
        <f aca="false">IFERROR(VLOOKUP(F33,CATALOGO!$AJ$2:$AM$27,4,0),"")</f>
        <v>Director / Jefe / Especialista / Ingeniero / Ejecutivo de Cuenta</v>
      </c>
      <c r="F33" s="58" t="n">
        <v>12</v>
      </c>
    </row>
    <row r="34" customFormat="false" ht="15" hidden="false" customHeight="false" outlineLevel="0" collapsed="false">
      <c r="B34" s="58"/>
      <c r="C34" s="60"/>
      <c r="D34" s="58"/>
      <c r="E34" s="58" t="str">
        <f aca="false">IFERROR(VLOOKUP(F34,CATALOGO!$AJ$2:$AM$27,4,0),"")</f>
        <v>Director / Jefe / Especialista / Ingeniero / Ejecutivo de Cuenta</v>
      </c>
      <c r="F34" s="58" t="n">
        <v>12</v>
      </c>
    </row>
    <row r="35" customFormat="false" ht="15" hidden="false" customHeight="false" outlineLevel="0" collapsed="false">
      <c r="B35" s="58"/>
      <c r="C35" s="60"/>
      <c r="D35" s="60"/>
      <c r="E35" s="58" t="str">
        <f aca="false">IFERROR(VLOOKUP(F35,CATALOGO!$AJ$2:$AM$27,4,0),"")</f>
        <v>Director / Jefe / Especialista / Ingeniero / Ejecutivo de Cuenta</v>
      </c>
      <c r="F35" s="58" t="n">
        <v>12</v>
      </c>
    </row>
    <row r="36" customFormat="false" ht="15" hidden="false" customHeight="false" outlineLevel="0" collapsed="false">
      <c r="B36" s="58"/>
      <c r="C36" s="60"/>
      <c r="D36" s="61"/>
      <c r="E36" s="58" t="str">
        <f aca="false">IFERROR(VLOOKUP(F36,CATALOGO!$AJ$2:$AM$27,4,0),"")</f>
        <v>Director / Jefe / Especialista / Ingeniero / Ejecutivo de Cuenta</v>
      </c>
      <c r="F36" s="58" t="n">
        <v>12</v>
      </c>
    </row>
    <row r="37" customFormat="false" ht="15" hidden="false" customHeight="false" outlineLevel="0" collapsed="false">
      <c r="B37" s="58"/>
      <c r="C37" s="60"/>
      <c r="D37" s="58"/>
      <c r="E37" s="58" t="str">
        <f aca="false">IFERROR(VLOOKUP(F37,CATALOGO!$AJ$2:$AM$27,4,0),"")</f>
        <v>Coordinador / Especialista / Ingeniero / Ejecutivo de Cuenta</v>
      </c>
      <c r="F37" s="58" t="n">
        <v>11</v>
      </c>
    </row>
    <row r="38" customFormat="false" ht="15" hidden="false" customHeight="false" outlineLevel="0" collapsed="false">
      <c r="B38" s="58"/>
      <c r="C38" s="60"/>
      <c r="D38" s="61"/>
      <c r="E38" s="58" t="str">
        <f aca="false">IFERROR(VLOOKUP(F38,CATALOGO!$AJ$2:$AM$27,4,0),"")</f>
        <v>Coordinador / Especialista / Ingeniero / Ejecutivo de Cuenta</v>
      </c>
      <c r="F38" s="58" t="n">
        <v>11</v>
      </c>
    </row>
    <row r="39" customFormat="false" ht="15" hidden="false" customHeight="false" outlineLevel="0" collapsed="false">
      <c r="B39" s="58"/>
      <c r="C39" s="60"/>
      <c r="D39" s="61"/>
      <c r="E39" s="58" t="str">
        <f aca="false">IFERROR(VLOOKUP(F39,CATALOGO!$AJ$2:$AM$27,4,0),"")</f>
        <v>Coordinador / Especialista / Ingeniero / Ejecutivo de Cuenta</v>
      </c>
      <c r="F39" s="58" t="n">
        <v>11</v>
      </c>
    </row>
    <row r="40" customFormat="false" ht="15" hidden="false" customHeight="false" outlineLevel="0" collapsed="false">
      <c r="B40" s="58"/>
      <c r="C40" s="60"/>
      <c r="D40" s="58"/>
      <c r="E40" s="58" t="str">
        <f aca="false">IFERROR(VLOOKUP(F40,CATALOGO!$AJ$2:$AM$27,4,0),"")</f>
        <v>Coordinador / Especialista / Ingeniero / Ejecutivo de Cuenta</v>
      </c>
      <c r="F40" s="58" t="n">
        <v>11</v>
      </c>
    </row>
    <row r="41" customFormat="false" ht="15" hidden="false" customHeight="false" outlineLevel="0" collapsed="false">
      <c r="B41" s="58"/>
      <c r="C41" s="58"/>
      <c r="D41" s="59"/>
      <c r="E41" s="58" t="str">
        <f aca="false">IFERROR(VLOOKUP(F41,CATALOGO!$AJ$2:$AM$27,4,0),"")</f>
        <v>Coordinador / Especialista / Ingeniero / Ejecutivo de Cuenta</v>
      </c>
      <c r="F41" s="58" t="n">
        <v>11</v>
      </c>
    </row>
    <row r="42" customFormat="false" ht="15" hidden="false" customHeight="false" outlineLevel="0" collapsed="false">
      <c r="B42" s="58"/>
      <c r="C42" s="60"/>
      <c r="D42" s="58"/>
      <c r="E42" s="58" t="str">
        <f aca="false">IFERROR(VLOOKUP(F42,CATALOGO!$AJ$2:$AM$27,4,0),"")</f>
        <v>Coordinador / Especialista / Ingeniero / Ejecutivo de Cuenta</v>
      </c>
      <c r="F42" s="58" t="n">
        <v>11</v>
      </c>
    </row>
    <row r="43" customFormat="false" ht="15" hidden="false" customHeight="false" outlineLevel="0" collapsed="false">
      <c r="B43" s="58"/>
      <c r="C43" s="60"/>
      <c r="D43" s="61"/>
      <c r="E43" s="58" t="str">
        <f aca="false">IFERROR(VLOOKUP(F43,CATALOGO!$AJ$2:$AM$27,4,0),"")</f>
        <v>Coordinador / Especialista / Ingeniero / Ejecutivo de Cuenta</v>
      </c>
      <c r="F43" s="58" t="n">
        <v>11</v>
      </c>
    </row>
    <row r="44" customFormat="false" ht="15" hidden="false" customHeight="false" outlineLevel="0" collapsed="false">
      <c r="B44" s="58"/>
      <c r="C44" s="60"/>
      <c r="D44" s="61"/>
      <c r="E44" s="58" t="str">
        <f aca="false">IFERROR(VLOOKUP(F44,CATALOGO!$AJ$2:$AM$27,4,0),"")</f>
        <v>Coordinador / Especialista / Ingeniero / Ejecutivo de Cuenta</v>
      </c>
      <c r="F44" s="58" t="n">
        <v>11</v>
      </c>
    </row>
    <row r="45" customFormat="false" ht="15" hidden="false" customHeight="false" outlineLevel="0" collapsed="false">
      <c r="B45" s="58"/>
      <c r="C45" s="60"/>
      <c r="D45" s="61"/>
      <c r="E45" s="58" t="str">
        <f aca="false">IFERROR(VLOOKUP(F45,CATALOGO!$AJ$2:$AM$27,4,0),"")</f>
        <v>Coordinador / Especialista / Ingeniero / Ejecutivo de Cuenta</v>
      </c>
      <c r="F45" s="58" t="n">
        <v>11</v>
      </c>
    </row>
    <row r="46" customFormat="false" ht="15" hidden="false" customHeight="false" outlineLevel="0" collapsed="false">
      <c r="B46" s="58"/>
      <c r="C46" s="60"/>
      <c r="D46" s="58"/>
      <c r="E46" s="58" t="str">
        <f aca="false">IFERROR(VLOOKUP(F46,CATALOGO!$AJ$2:$AM$27,4,0),"")</f>
        <v>Coordinador / Especialista / Ingeniero / Ejecutivo de Cuenta</v>
      </c>
      <c r="F46" s="58" t="n">
        <v>11</v>
      </c>
    </row>
    <row r="47" customFormat="false" ht="15" hidden="false" customHeight="false" outlineLevel="0" collapsed="false">
      <c r="B47" s="58"/>
      <c r="C47" s="58"/>
      <c r="D47" s="58"/>
      <c r="E47" s="58" t="str">
        <f aca="false">IFERROR(VLOOKUP(F47,CATALOGO!$AJ$2:$AM$27,4,0),"")</f>
        <v>Coordinador / Especialista / Ingeniero / Ejecutivo de Cuenta</v>
      </c>
      <c r="F47" s="58" t="n">
        <v>11</v>
      </c>
    </row>
    <row r="48" customFormat="false" ht="15" hidden="false" customHeight="false" outlineLevel="0" collapsed="false">
      <c r="B48" s="58"/>
      <c r="C48" s="60"/>
      <c r="D48" s="61"/>
      <c r="E48" s="58" t="str">
        <f aca="false">IFERROR(VLOOKUP(F48,CATALOGO!$AJ$2:$AM$27,4,0),"")</f>
        <v>Coordinador / Especialista / Ingeniero / Ejecutivo de Cuenta</v>
      </c>
      <c r="F48" s="58" t="n">
        <v>11</v>
      </c>
    </row>
    <row r="49" customFormat="false" ht="15" hidden="false" customHeight="false" outlineLevel="0" collapsed="false">
      <c r="B49" s="58"/>
      <c r="C49" s="60"/>
      <c r="D49" s="60"/>
      <c r="E49" s="58" t="str">
        <f aca="false">IFERROR(VLOOKUP(F49,CATALOGO!$AJ$2:$AM$27,4,0),"")</f>
        <v>Coordinador / Especialista / Ingeniero / Ejecutivo de Cuenta</v>
      </c>
      <c r="F49" s="58" t="n">
        <v>10</v>
      </c>
    </row>
    <row r="50" customFormat="false" ht="15" hidden="false" customHeight="false" outlineLevel="0" collapsed="false">
      <c r="B50" s="58"/>
      <c r="C50" s="60"/>
      <c r="D50" s="58"/>
      <c r="E50" s="58" t="str">
        <f aca="false">IFERROR(VLOOKUP(F50,CATALOGO!$AJ$2:$AM$27,4,0),"")</f>
        <v>Coordinador / Especialista / Ingeniero / Ejecutivo de Cuenta</v>
      </c>
      <c r="F50" s="58" t="n">
        <v>10</v>
      </c>
    </row>
    <row r="51" customFormat="false" ht="15" hidden="false" customHeight="false" outlineLevel="0" collapsed="false">
      <c r="B51" s="58"/>
      <c r="C51" s="58"/>
      <c r="D51" s="58"/>
      <c r="E51" s="58" t="str">
        <f aca="false">IFERROR(VLOOKUP(F51,CATALOGO!$AJ$2:$AM$27,4,0),"")</f>
        <v>Coordinador / Analista Sr / Ingeniero / Asesor Comercial</v>
      </c>
      <c r="F51" s="58" t="n">
        <v>9</v>
      </c>
    </row>
    <row r="52" customFormat="false" ht="15" hidden="false" customHeight="false" outlineLevel="0" collapsed="false">
      <c r="B52" s="58"/>
      <c r="C52" s="58"/>
      <c r="D52" s="58"/>
      <c r="E52" s="58" t="str">
        <f aca="false">IFERROR(VLOOKUP(F52,CATALOGO!$AJ$2:$AM$27,4,0),"")</f>
        <v>Coordinador / Analista Sr / Ingeniero / Asesor Comercial</v>
      </c>
      <c r="F52" s="58" t="n">
        <v>9</v>
      </c>
    </row>
    <row r="53" customFormat="false" ht="15" hidden="false" customHeight="false" outlineLevel="0" collapsed="false">
      <c r="B53" s="58"/>
      <c r="C53" s="60"/>
      <c r="D53" s="60"/>
      <c r="E53" s="58" t="str">
        <f aca="false">IFERROR(VLOOKUP(F53,CATALOGO!$AJ$2:$AM$27,4,0),"")</f>
        <v>Coordinador / Analista Sr / Ingeniero / Asesor Comercial</v>
      </c>
      <c r="F53" s="58" t="n">
        <v>9</v>
      </c>
    </row>
    <row r="54" customFormat="false" ht="15" hidden="false" customHeight="false" outlineLevel="0" collapsed="false">
      <c r="B54" s="58"/>
      <c r="C54" s="60"/>
      <c r="D54" s="61"/>
      <c r="E54" s="58" t="str">
        <f aca="false">IFERROR(VLOOKUP(F54,CATALOGO!$AJ$2:$AM$27,4,0),"")</f>
        <v>Coordinador / Analista Sr / Ingeniero / Asesor Comercial</v>
      </c>
      <c r="F54" s="58" t="n">
        <v>9</v>
      </c>
    </row>
    <row r="55" customFormat="false" ht="15" hidden="false" customHeight="false" outlineLevel="0" collapsed="false">
      <c r="B55" s="58"/>
      <c r="C55" s="60"/>
      <c r="D55" s="61"/>
      <c r="E55" s="58" t="str">
        <f aca="false">IFERROR(VLOOKUP(F55,CATALOGO!$AJ$2:$AM$27,4,0),"")</f>
        <v>Coordinador / Analista Sr / Ingeniero / Asesor Comercial</v>
      </c>
      <c r="F55" s="58" t="n">
        <v>9</v>
      </c>
    </row>
    <row r="56" customFormat="false" ht="15" hidden="false" customHeight="false" outlineLevel="0" collapsed="false">
      <c r="B56" s="58"/>
      <c r="C56" s="60"/>
      <c r="D56" s="58"/>
      <c r="E56" s="58" t="str">
        <f aca="false">IFERROR(VLOOKUP(F56,CATALOGO!$AJ$2:$AM$27,4,0),"")</f>
        <v>Coordinador / Analista Sr / Ingeniero / Asesor Comercial</v>
      </c>
      <c r="F56" s="58" t="n">
        <v>9</v>
      </c>
    </row>
    <row r="57" customFormat="false" ht="15" hidden="false" customHeight="false" outlineLevel="0" collapsed="false">
      <c r="B57" s="58"/>
      <c r="C57" s="60"/>
      <c r="D57" s="61"/>
      <c r="E57" s="58" t="str">
        <f aca="false">IFERROR(VLOOKUP(F57,CATALOGO!$AJ$2:$AM$27,4,0),"")</f>
        <v>Supervisor / Analista Sr / Técnico / Operario Especializado / Ingeniero / Asesor Comercial</v>
      </c>
      <c r="F57" s="58" t="n">
        <v>8</v>
      </c>
    </row>
    <row r="58" customFormat="false" ht="15" hidden="false" customHeight="false" outlineLevel="0" collapsed="false">
      <c r="B58" s="58"/>
      <c r="C58" s="60"/>
      <c r="D58" s="58"/>
      <c r="E58" s="58" t="str">
        <f aca="false">IFERROR(VLOOKUP(F58,CATALOGO!$AJ$2:$AM$27,4,0),"")</f>
        <v>Supervisor / Analista Sr / Técnico / Operario Especializado / Ingeniero / Asesor Comercial</v>
      </c>
      <c r="F58" s="58" t="n">
        <v>8</v>
      </c>
    </row>
    <row r="59" customFormat="false" ht="15" hidden="false" customHeight="false" outlineLevel="0" collapsed="false">
      <c r="B59" s="58"/>
      <c r="C59" s="60"/>
      <c r="D59" s="61"/>
      <c r="E59" s="58" t="str">
        <f aca="false">IFERROR(VLOOKUP(F59,CATALOGO!$AJ$2:$AM$27,4,0),"")</f>
        <v>Supervisor / Analista Sr / Técnico / Operario Especializado / Ingeniero / Asesor Comercial</v>
      </c>
      <c r="F59" s="58" t="n">
        <v>8</v>
      </c>
    </row>
    <row r="60" customFormat="false" ht="15" hidden="false" customHeight="false" outlineLevel="0" collapsed="false">
      <c r="B60" s="58"/>
      <c r="C60" s="60"/>
      <c r="D60" s="61"/>
      <c r="E60" s="58" t="str">
        <f aca="false">IFERROR(VLOOKUP(F60,CATALOGO!$AJ$2:$AM$27,4,0),"")</f>
        <v>Supervisor / Analista Sr / Técnico / Operario Especializado / Ingeniero / Asesor Comercial</v>
      </c>
      <c r="F60" s="58" t="n">
        <v>8</v>
      </c>
    </row>
    <row r="61" customFormat="false" ht="15" hidden="false" customHeight="false" outlineLevel="0" collapsed="false">
      <c r="B61" s="58"/>
      <c r="C61" s="60"/>
      <c r="D61" s="61"/>
      <c r="E61" s="58" t="str">
        <f aca="false">IFERROR(VLOOKUP(F61,CATALOGO!$AJ$2:$AM$27,4,0),"")</f>
        <v>Supervisor / Analista Sr / Técnico / Operario Especializado / Ingeniero / Asesor Comercial</v>
      </c>
      <c r="F61" s="58" t="n">
        <v>8</v>
      </c>
    </row>
    <row r="62" customFormat="false" ht="15" hidden="false" customHeight="false" outlineLevel="0" collapsed="false">
      <c r="B62" s="58"/>
      <c r="C62" s="60"/>
      <c r="D62" s="62"/>
      <c r="E62" s="58" t="str">
        <f aca="false">IFERROR(VLOOKUP(F62,CATALOGO!$AJ$2:$AM$27,4,0),"")</f>
        <v>Supervisor / Analista Sr / Técnico / Operario Especializado / Ingeniero / Asesor Comercial</v>
      </c>
      <c r="F62" s="58" t="n">
        <v>8</v>
      </c>
    </row>
    <row r="63" customFormat="false" ht="15" hidden="false" customHeight="false" outlineLevel="0" collapsed="false">
      <c r="B63" s="58"/>
      <c r="C63" s="58"/>
      <c r="D63" s="58"/>
      <c r="E63" s="58" t="str">
        <f aca="false">IFERROR(VLOOKUP(F63,CATALOGO!$AJ$2:$AM$27,4,0),"")</f>
        <v>Supervisor / Analista Sr / Técnico / Operario Especializado / Ingeniero / Asesor Comercial</v>
      </c>
      <c r="F63" s="58" t="n">
        <v>8</v>
      </c>
    </row>
    <row r="64" customFormat="false" ht="15" hidden="false" customHeight="false" outlineLevel="0" collapsed="false">
      <c r="B64" s="58"/>
      <c r="C64" s="60"/>
      <c r="D64" s="61"/>
      <c r="E64" s="58" t="str">
        <f aca="false">IFERROR(VLOOKUP(F64,CATALOGO!$AJ$2:$AM$27,4,0),"")</f>
        <v>Supervisor / Analista / Técnico / Operario Especializado / Ingeniero / Asesor Comercial</v>
      </c>
      <c r="F64" s="58" t="n">
        <v>7</v>
      </c>
    </row>
    <row r="65" customFormat="false" ht="15" hidden="false" customHeight="false" outlineLevel="0" collapsed="false">
      <c r="B65" s="58"/>
      <c r="C65" s="60"/>
      <c r="D65" s="61"/>
      <c r="E65" s="58" t="str">
        <f aca="false">IFERROR(VLOOKUP(F65,CATALOGO!$AJ$2:$AM$27,4,0),"")</f>
        <v>Supervisor / Analista / Técnico / Operario Especializado / Ingeniero / Asesor Comercial</v>
      </c>
      <c r="F65" s="58" t="n">
        <v>7</v>
      </c>
    </row>
    <row r="66" customFormat="false" ht="15" hidden="false" customHeight="false" outlineLevel="0" collapsed="false">
      <c r="B66" s="58"/>
      <c r="C66" s="58"/>
      <c r="D66" s="58"/>
      <c r="E66" s="58" t="str">
        <f aca="false">IFERROR(VLOOKUP(F66,CATALOGO!$AJ$2:$AM$27,4,0),"")</f>
        <v>Supervisor / Analista / Técnico / Operario Especializado / Ingeniero / Asesor Comercial</v>
      </c>
      <c r="F66" s="58" t="n">
        <v>7</v>
      </c>
    </row>
    <row r="67" customFormat="false" ht="15" hidden="false" customHeight="false" outlineLevel="0" collapsed="false">
      <c r="B67" s="58"/>
      <c r="C67" s="60"/>
      <c r="D67" s="61"/>
      <c r="E67" s="58" t="str">
        <f aca="false">IFERROR(VLOOKUP(F67,CATALOGO!$AJ$2:$AM$27,4,0),"")</f>
        <v>Supervisor / Analista / Técnico / Operario Especializado / Ingeniero / Asesor Comercial</v>
      </c>
      <c r="F67" s="58" t="n">
        <v>7</v>
      </c>
    </row>
    <row r="68" customFormat="false" ht="15" hidden="false" customHeight="false" outlineLevel="0" collapsed="false">
      <c r="B68" s="58"/>
      <c r="C68" s="60"/>
      <c r="D68" s="61"/>
      <c r="E68" s="58" t="str">
        <f aca="false">IFERROR(VLOOKUP(F68,CATALOGO!$AJ$2:$AM$27,4,0),"")</f>
        <v>Supervisor / Analista / Técnico / Operario Especializado / Ingeniero / Asesor Comercial</v>
      </c>
      <c r="F68" s="58" t="n">
        <v>7</v>
      </c>
    </row>
    <row r="69" customFormat="false" ht="15" hidden="false" customHeight="false" outlineLevel="0" collapsed="false">
      <c r="B69" s="58"/>
      <c r="C69" s="60"/>
      <c r="D69" s="61"/>
      <c r="E69" s="58" t="str">
        <f aca="false">IFERROR(VLOOKUP(F69,CATALOGO!$AJ$2:$AM$27,4,0),"")</f>
        <v>Supervisor / Analista / Técnico / Operario Especializado / Ingeniero / Asesor Comercial</v>
      </c>
      <c r="F69" s="58" t="n">
        <v>7</v>
      </c>
    </row>
    <row r="70" customFormat="false" ht="15" hidden="false" customHeight="false" outlineLevel="0" collapsed="false">
      <c r="B70" s="58"/>
      <c r="C70" s="60"/>
      <c r="D70" s="58"/>
      <c r="E70" s="58" t="str">
        <f aca="false">IFERROR(VLOOKUP(F70,CATALOGO!$AJ$2:$AM$27,4,0),"")</f>
        <v>Supervisor / Analista / Técnico / Operario Especializado / Ingeniero / Asesor Comercial</v>
      </c>
      <c r="F70" s="58" t="n">
        <v>7</v>
      </c>
    </row>
    <row r="71" customFormat="false" ht="15" hidden="false" customHeight="false" outlineLevel="0" collapsed="false">
      <c r="B71" s="58"/>
      <c r="C71" s="60"/>
      <c r="D71" s="61"/>
      <c r="E71" s="58" t="str">
        <f aca="false">IFERROR(VLOOKUP(F71,CATALOGO!$AJ$2:$AM$27,4,0),"")</f>
        <v>Supervisor / Analista / Técnico / Operario Especializado / Ingeniero / Asesor Comercial</v>
      </c>
      <c r="F71" s="58" t="n">
        <v>7</v>
      </c>
    </row>
    <row r="72" customFormat="false" ht="15" hidden="false" customHeight="false" outlineLevel="0" collapsed="false">
      <c r="B72" s="58"/>
      <c r="C72" s="60"/>
      <c r="D72" s="61"/>
      <c r="E72" s="58" t="str">
        <f aca="false">IFERROR(VLOOKUP(F72,CATALOGO!$AJ$2:$AM$27,4,0),"")</f>
        <v>Supervisor / Analista / Técnico / Operario Especializado / Ingeniero / Asesor Comercial</v>
      </c>
      <c r="F72" s="58" t="n">
        <v>7</v>
      </c>
    </row>
    <row r="73" customFormat="false" ht="15" hidden="false" customHeight="false" outlineLevel="0" collapsed="false">
      <c r="B73" s="58"/>
      <c r="C73" s="60"/>
      <c r="D73" s="58"/>
      <c r="E73" s="58" t="str">
        <f aca="false">IFERROR(VLOOKUP(F73,CATALOGO!$AJ$2:$AM$27,4,0),"")</f>
        <v>Supervisor / Analista / Técnico / Operario Especializado / Ingeniero / Asesor Comercial</v>
      </c>
      <c r="F73" s="58" t="n">
        <v>7</v>
      </c>
    </row>
    <row r="74" customFormat="false" ht="15" hidden="false" customHeight="false" outlineLevel="0" collapsed="false">
      <c r="B74" s="58"/>
      <c r="C74" s="60"/>
      <c r="D74" s="61"/>
      <c r="E74" s="58" t="str">
        <f aca="false">IFERROR(VLOOKUP(F74,CATALOGO!$AJ$2:$AM$27,4,0),"")</f>
        <v>Supervisor / Analista / Técnico / Operario Especializado / Ingeniero / Asesor Comercial</v>
      </c>
      <c r="F74" s="58" t="n">
        <v>7</v>
      </c>
    </row>
    <row r="75" customFormat="false" ht="15" hidden="false" customHeight="false" outlineLevel="0" collapsed="false">
      <c r="B75" s="58"/>
      <c r="C75" s="60"/>
      <c r="D75" s="61"/>
      <c r="E75" s="58" t="str">
        <f aca="false">IFERROR(VLOOKUP(F75,CATALOGO!$AJ$2:$AM$27,4,0),"")</f>
        <v>Supervisor / Analista / Técnico / Operario Especializado / Ingeniero / Asesor Comercial</v>
      </c>
      <c r="F75" s="58" t="n">
        <v>7</v>
      </c>
    </row>
    <row r="76" customFormat="false" ht="15" hidden="false" customHeight="false" outlineLevel="0" collapsed="false">
      <c r="B76" s="58"/>
      <c r="C76" s="60"/>
      <c r="D76" s="61"/>
      <c r="E76" s="58" t="str">
        <f aca="false">IFERROR(VLOOKUP(F76,CATALOGO!$AJ$2:$AM$27,4,0),"")</f>
        <v>Supervisor / Analista / Técnico / Operario Especializado / Ingeniero / Asesor Comercial</v>
      </c>
      <c r="F76" s="58" t="n">
        <v>7</v>
      </c>
    </row>
    <row r="77" customFormat="false" ht="15" hidden="false" customHeight="false" outlineLevel="0" collapsed="false">
      <c r="B77" s="58"/>
      <c r="C77" s="60"/>
      <c r="D77" s="58"/>
      <c r="E77" s="58" t="str">
        <f aca="false">IFERROR(VLOOKUP(F77,CATALOGO!$AJ$2:$AM$27,4,0),"")</f>
        <v>Supervisor / Analista / Técnico / Operario Especializado / Asesor Comercial</v>
      </c>
      <c r="F77" s="58" t="n">
        <v>6</v>
      </c>
    </row>
    <row r="78" customFormat="false" ht="15" hidden="false" customHeight="false" outlineLevel="0" collapsed="false">
      <c r="B78" s="58"/>
      <c r="C78" s="58"/>
      <c r="D78" s="58"/>
      <c r="E78" s="58" t="str">
        <f aca="false">IFERROR(VLOOKUP(F78,CATALOGO!$AJ$2:$AM$27,4,0),"")</f>
        <v>Supervisor / Analista / Técnico / Operario Especializado / Asesor Comercial</v>
      </c>
      <c r="F78" s="58" t="n">
        <v>6</v>
      </c>
    </row>
    <row r="79" customFormat="false" ht="15" hidden="false" customHeight="false" outlineLevel="0" collapsed="false">
      <c r="B79" s="58"/>
      <c r="C79" s="60"/>
      <c r="D79" s="58"/>
      <c r="E79" s="58" t="str">
        <f aca="false">IFERROR(VLOOKUP(F79,CATALOGO!$AJ$2:$AM$27,4,0),"")</f>
        <v>Supervisor / Analista / Técnico / Operario Especializado / Asesor Comercial</v>
      </c>
      <c r="F79" s="58" t="n">
        <v>6</v>
      </c>
    </row>
    <row r="80" customFormat="false" ht="15" hidden="false" customHeight="false" outlineLevel="0" collapsed="false">
      <c r="B80" s="58"/>
      <c r="C80" s="60"/>
      <c r="D80" s="61"/>
      <c r="E80" s="58" t="str">
        <f aca="false">IFERROR(VLOOKUP(F80,CATALOGO!$AJ$2:$AM$27,4,0),"")</f>
        <v>Supervisor / Analista / Técnico / Operario Especializado / Asesor Comercial</v>
      </c>
      <c r="F80" s="58" t="n">
        <v>6</v>
      </c>
    </row>
    <row r="81" customFormat="false" ht="15" hidden="false" customHeight="false" outlineLevel="0" collapsed="false">
      <c r="B81" s="58"/>
      <c r="C81" s="60"/>
      <c r="D81" s="61"/>
      <c r="E81" s="58" t="str">
        <f aca="false">IFERROR(VLOOKUP(F81,CATALOGO!$AJ$2:$AM$27,4,0),"")</f>
        <v>Auxiliar/Operario III / Representante de Ventas Sr</v>
      </c>
      <c r="F81" s="58" t="n">
        <v>5</v>
      </c>
    </row>
    <row r="82" customFormat="false" ht="15" hidden="false" customHeight="false" outlineLevel="0" collapsed="false">
      <c r="B82" s="58"/>
      <c r="C82" s="60"/>
      <c r="D82" s="61"/>
      <c r="E82" s="58" t="str">
        <f aca="false">IFERROR(VLOOKUP(F82,CATALOGO!$AJ$2:$AM$27,4,0),"")</f>
        <v>Auxiliar / Operario II / Representante de Ventas Sr</v>
      </c>
      <c r="F82" s="58" t="n">
        <v>4</v>
      </c>
    </row>
    <row r="83" customFormat="false" ht="15" hidden="false" customHeight="false" outlineLevel="0" collapsed="false">
      <c r="B83" s="58"/>
      <c r="C83" s="60"/>
      <c r="D83" s="61"/>
      <c r="E83" s="58" t="str">
        <f aca="false">IFERROR(VLOOKUP(F83,CATALOGO!$AJ$2:$AM$27,4,0),"")</f>
        <v>Auxiliar / Operario II / Representante de Ventas Sr</v>
      </c>
      <c r="F83" s="58" t="n">
        <v>4</v>
      </c>
    </row>
    <row r="84" customFormat="false" ht="15" hidden="false" customHeight="false" outlineLevel="0" collapsed="false">
      <c r="B84" s="58"/>
      <c r="C84" s="58"/>
      <c r="D84" s="59"/>
      <c r="E84" s="58" t="str">
        <f aca="false">IFERROR(VLOOKUP(F84,CATALOGO!$AJ$2:$AM$27,4,0),"")</f>
        <v/>
      </c>
      <c r="F84" s="58"/>
    </row>
    <row r="85" customFormat="false" ht="15" hidden="false" customHeight="false" outlineLevel="0" collapsed="false">
      <c r="B85" s="58"/>
      <c r="C85" s="58"/>
      <c r="D85" s="59"/>
      <c r="E85" s="58" t="str">
        <f aca="false">IFERROR(VLOOKUP(F85,CATALOGO!$AJ$2:$AM$27,4,0),"")</f>
        <v/>
      </c>
      <c r="F85" s="58"/>
    </row>
    <row r="86" customFormat="false" ht="15" hidden="false" customHeight="false" outlineLevel="0" collapsed="false">
      <c r="B86" s="58"/>
      <c r="C86" s="58"/>
      <c r="D86" s="59"/>
      <c r="E86" s="58" t="str">
        <f aca="false">IFERROR(VLOOKUP(F86,CATALOGO!$AJ$2:$AM$27,4,0),"")</f>
        <v/>
      </c>
      <c r="F86" s="58"/>
    </row>
    <row r="87" customFormat="false" ht="15" hidden="false" customHeight="false" outlineLevel="0" collapsed="false">
      <c r="B87" s="58"/>
      <c r="C87" s="58"/>
      <c r="D87" s="59"/>
      <c r="E87" s="58" t="str">
        <f aca="false">IFERROR(VLOOKUP(F87,CATALOGO!$AJ$2:$AM$27,4,0),"")</f>
        <v/>
      </c>
      <c r="F87" s="58"/>
    </row>
    <row r="88" customFormat="false" ht="15" hidden="false" customHeight="false" outlineLevel="0" collapsed="false">
      <c r="B88" s="58"/>
      <c r="C88" s="58"/>
      <c r="D88" s="59"/>
      <c r="E88" s="58" t="str">
        <f aca="false">IFERROR(VLOOKUP(F88,CATALOGO!$AJ$2:$AM$27,4,0),"")</f>
        <v/>
      </c>
      <c r="F88" s="58"/>
    </row>
    <row r="89" customFormat="false" ht="15" hidden="false" customHeight="false" outlineLevel="0" collapsed="false">
      <c r="B89" s="58"/>
      <c r="C89" s="58"/>
      <c r="D89" s="59"/>
      <c r="E89" s="58" t="str">
        <f aca="false">IFERROR(VLOOKUP(F89,CATALOGO!$AJ$2:$AM$27,4,0),"")</f>
        <v/>
      </c>
      <c r="F89" s="58"/>
    </row>
    <row r="90" customFormat="false" ht="15" hidden="false" customHeight="false" outlineLevel="0" collapsed="false">
      <c r="B90" s="58"/>
      <c r="C90" s="58"/>
      <c r="D90" s="59"/>
      <c r="E90" s="58" t="str">
        <f aca="false">IFERROR(VLOOKUP(F90,CATALOGO!$AJ$2:$AM$27,4,0),"")</f>
        <v/>
      </c>
      <c r="F90" s="58"/>
    </row>
    <row r="91" customFormat="false" ht="15" hidden="false" customHeight="false" outlineLevel="0" collapsed="false">
      <c r="B91" s="58"/>
      <c r="C91" s="58"/>
      <c r="D91" s="59"/>
      <c r="E91" s="58" t="str">
        <f aca="false">IFERROR(VLOOKUP(F91,CATALOGO!$AJ$2:$AM$27,4,0),"")</f>
        <v/>
      </c>
      <c r="F91" s="58"/>
    </row>
    <row r="92" customFormat="false" ht="15" hidden="false" customHeight="false" outlineLevel="0" collapsed="false">
      <c r="B92" s="58"/>
      <c r="C92" s="58"/>
      <c r="D92" s="59"/>
      <c r="E92" s="58" t="str">
        <f aca="false">IFERROR(VLOOKUP(F92,CATALOGO!$AJ$2:$AM$27,4,0),"")</f>
        <v/>
      </c>
      <c r="F92" s="58"/>
    </row>
    <row r="93" customFormat="false" ht="15" hidden="false" customHeight="false" outlineLevel="0" collapsed="false">
      <c r="B93" s="58"/>
      <c r="C93" s="58"/>
      <c r="D93" s="59"/>
      <c r="E93" s="58" t="str">
        <f aca="false">IFERROR(VLOOKUP(F93,CATALOGO!$AJ$2:$AM$27,4,0),"")</f>
        <v/>
      </c>
      <c r="F93" s="58"/>
    </row>
    <row r="94" customFormat="false" ht="15" hidden="false" customHeight="false" outlineLevel="0" collapsed="false">
      <c r="B94" s="58"/>
      <c r="C94" s="58"/>
      <c r="D94" s="59"/>
      <c r="E94" s="58" t="str">
        <f aca="false">IFERROR(VLOOKUP(F94,CATALOGO!$AJ$2:$AM$27,4,0),"")</f>
        <v/>
      </c>
      <c r="F94" s="58"/>
    </row>
    <row r="95" customFormat="false" ht="15" hidden="false" customHeight="false" outlineLevel="0" collapsed="false">
      <c r="B95" s="58"/>
      <c r="C95" s="58"/>
      <c r="D95" s="59"/>
      <c r="E95" s="58" t="str">
        <f aca="false">IFERROR(VLOOKUP(F95,CATALOGO!$AJ$2:$AM$27,4,0),"")</f>
        <v/>
      </c>
      <c r="F95" s="58"/>
    </row>
    <row r="96" customFormat="false" ht="15" hidden="false" customHeight="false" outlineLevel="0" collapsed="false">
      <c r="B96" s="58"/>
      <c r="C96" s="58"/>
      <c r="D96" s="59"/>
      <c r="E96" s="58" t="str">
        <f aca="false">IFERROR(VLOOKUP(F96,CATALOGO!$AJ$2:$AM$27,4,0),"")</f>
        <v/>
      </c>
      <c r="F96" s="58"/>
    </row>
    <row r="97" customFormat="false" ht="15" hidden="false" customHeight="false" outlineLevel="0" collapsed="false">
      <c r="B97" s="58"/>
      <c r="C97" s="58"/>
      <c r="D97" s="59"/>
      <c r="E97" s="58" t="str">
        <f aca="false">IFERROR(VLOOKUP(F97,CATALOGO!$AJ$2:$AM$27,4,0),"")</f>
        <v/>
      </c>
      <c r="F97" s="58"/>
    </row>
    <row r="98" customFormat="false" ht="15" hidden="false" customHeight="false" outlineLevel="0" collapsed="false">
      <c r="B98" s="58"/>
      <c r="C98" s="58"/>
      <c r="D98" s="59"/>
      <c r="E98" s="58" t="str">
        <f aca="false">IFERROR(VLOOKUP(F98,CATALOGO!$AJ$2:$AM$27,4,0),"")</f>
        <v/>
      </c>
      <c r="F98" s="58"/>
    </row>
    <row r="99" customFormat="false" ht="15" hidden="false" customHeight="false" outlineLevel="0" collapsed="false">
      <c r="B99" s="58"/>
      <c r="C99" s="58"/>
      <c r="D99" s="59"/>
      <c r="E99" s="58"/>
      <c r="F99" s="58"/>
    </row>
    <row r="100" customFormat="false" ht="15" hidden="false" customHeight="false" outlineLevel="0" collapsed="false">
      <c r="B100" s="58"/>
      <c r="C100" s="58"/>
      <c r="D100" s="59"/>
      <c r="E100" s="58"/>
      <c r="F100" s="58"/>
    </row>
    <row r="101" customFormat="false" ht="15" hidden="false" customHeight="false" outlineLevel="0" collapsed="false">
      <c r="B101" s="58"/>
      <c r="C101" s="58"/>
      <c r="D101" s="59"/>
      <c r="E101" s="58"/>
      <c r="F101" s="58"/>
    </row>
    <row r="102" customFormat="false" ht="15" hidden="false" customHeight="false" outlineLevel="0" collapsed="false">
      <c r="B102" s="58"/>
      <c r="C102" s="58"/>
      <c r="D102" s="59"/>
      <c r="E102" s="58"/>
      <c r="F102" s="58"/>
    </row>
    <row r="103" customFormat="false" ht="15" hidden="false" customHeight="false" outlineLevel="0" collapsed="false">
      <c r="B103" s="58"/>
      <c r="C103" s="58"/>
      <c r="D103" s="59"/>
      <c r="E103" s="58"/>
      <c r="F103" s="58"/>
    </row>
    <row r="104" customFormat="false" ht="15" hidden="false" customHeight="false" outlineLevel="0" collapsed="false">
      <c r="B104" s="58"/>
      <c r="C104" s="58"/>
      <c r="D104" s="59"/>
      <c r="E104" s="58"/>
      <c r="F104" s="58"/>
    </row>
    <row r="105" customFormat="false" ht="15" hidden="false" customHeight="false" outlineLevel="0" collapsed="false">
      <c r="B105" s="58"/>
      <c r="C105" s="58"/>
      <c r="D105" s="59"/>
      <c r="E105" s="58"/>
      <c r="F105" s="58"/>
    </row>
    <row r="106" customFormat="false" ht="15" hidden="false" customHeight="false" outlineLevel="0" collapsed="false">
      <c r="B106" s="58"/>
      <c r="C106" s="58"/>
      <c r="D106" s="59"/>
      <c r="E106" s="58"/>
      <c r="F106" s="58"/>
    </row>
    <row r="107" customFormat="false" ht="15" hidden="false" customHeight="false" outlineLevel="0" collapsed="false">
      <c r="B107" s="58"/>
      <c r="C107" s="58"/>
      <c r="D107" s="59"/>
      <c r="E107" s="58"/>
      <c r="F107" s="58"/>
    </row>
    <row r="108" customFormat="false" ht="15" hidden="false" customHeight="false" outlineLevel="0" collapsed="false">
      <c r="B108" s="58"/>
      <c r="C108" s="58"/>
      <c r="D108" s="59"/>
      <c r="E108" s="58"/>
      <c r="F108" s="58"/>
    </row>
    <row r="109" customFormat="false" ht="15" hidden="false" customHeight="false" outlineLevel="0" collapsed="false">
      <c r="B109" s="58"/>
      <c r="C109" s="58"/>
      <c r="D109" s="59"/>
      <c r="E109" s="58"/>
      <c r="F109" s="58"/>
    </row>
    <row r="110" customFormat="false" ht="15" hidden="false" customHeight="false" outlineLevel="0" collapsed="false">
      <c r="B110" s="58"/>
      <c r="C110" s="58"/>
      <c r="D110" s="59"/>
      <c r="E110" s="58"/>
      <c r="F110" s="58"/>
    </row>
    <row r="111" customFormat="false" ht="15" hidden="false" customHeight="false" outlineLevel="0" collapsed="false">
      <c r="B111" s="58"/>
      <c r="C111" s="58"/>
      <c r="D111" s="59"/>
      <c r="E111" s="58"/>
      <c r="F111" s="58"/>
    </row>
    <row r="112" customFormat="false" ht="15" hidden="false" customHeight="false" outlineLevel="0" collapsed="false">
      <c r="B112" s="58"/>
      <c r="C112" s="58"/>
      <c r="D112" s="59"/>
      <c r="E112" s="58"/>
      <c r="F112" s="58"/>
    </row>
    <row r="113" customFormat="false" ht="15" hidden="false" customHeight="false" outlineLevel="0" collapsed="false">
      <c r="B113" s="58"/>
      <c r="C113" s="58"/>
      <c r="D113" s="59"/>
      <c r="E113" s="58"/>
      <c r="F113" s="58"/>
    </row>
    <row r="114" customFormat="false" ht="15" hidden="false" customHeight="false" outlineLevel="0" collapsed="false">
      <c r="B114" s="58"/>
      <c r="C114" s="58"/>
      <c r="D114" s="59"/>
      <c r="E114" s="58"/>
      <c r="F114" s="58"/>
    </row>
    <row r="115" customFormat="false" ht="15" hidden="false" customHeight="false" outlineLevel="0" collapsed="false">
      <c r="B115" s="58"/>
      <c r="C115" s="58"/>
      <c r="D115" s="59"/>
      <c r="E115" s="58"/>
      <c r="F115" s="58"/>
    </row>
    <row r="116" customFormat="false" ht="15" hidden="false" customHeight="false" outlineLevel="0" collapsed="false">
      <c r="B116" s="58"/>
      <c r="C116" s="58"/>
      <c r="D116" s="59"/>
      <c r="E116" s="58"/>
      <c r="F116" s="58"/>
    </row>
    <row r="117" customFormat="false" ht="15" hidden="false" customHeight="false" outlineLevel="0" collapsed="false">
      <c r="B117" s="58"/>
      <c r="C117" s="58"/>
      <c r="D117" s="59"/>
      <c r="E117" s="58"/>
      <c r="F117" s="58"/>
    </row>
    <row r="118" customFormat="false" ht="15" hidden="false" customHeight="false" outlineLevel="0" collapsed="false">
      <c r="B118" s="58"/>
      <c r="C118" s="58"/>
      <c r="D118" s="59"/>
      <c r="E118" s="58"/>
      <c r="F118" s="58"/>
    </row>
    <row r="119" customFormat="false" ht="15" hidden="false" customHeight="false" outlineLevel="0" collapsed="false">
      <c r="B119" s="58"/>
      <c r="C119" s="58"/>
      <c r="D119" s="59"/>
      <c r="E119" s="58"/>
      <c r="F119" s="58"/>
    </row>
    <row r="120" customFormat="false" ht="15" hidden="false" customHeight="false" outlineLevel="0" collapsed="false">
      <c r="B120" s="58"/>
      <c r="C120" s="58"/>
      <c r="D120" s="59"/>
      <c r="E120" s="58"/>
      <c r="F120" s="58"/>
    </row>
    <row r="121" customFormat="false" ht="15" hidden="false" customHeight="false" outlineLevel="0" collapsed="false">
      <c r="B121" s="58"/>
      <c r="C121" s="58"/>
      <c r="D121" s="59"/>
      <c r="E121" s="58"/>
      <c r="F121" s="58"/>
    </row>
    <row r="122" customFormat="false" ht="15" hidden="false" customHeight="false" outlineLevel="0" collapsed="false">
      <c r="B122" s="58"/>
      <c r="C122" s="58"/>
      <c r="D122" s="59"/>
      <c r="E122" s="58"/>
      <c r="F122" s="58"/>
    </row>
    <row r="123" customFormat="false" ht="15" hidden="false" customHeight="false" outlineLevel="0" collapsed="false">
      <c r="B123" s="58"/>
      <c r="C123" s="58"/>
      <c r="D123" s="59"/>
      <c r="E123" s="58"/>
      <c r="F123" s="58"/>
    </row>
    <row r="124" customFormat="false" ht="15" hidden="false" customHeight="false" outlineLevel="0" collapsed="false">
      <c r="B124" s="58"/>
      <c r="C124" s="58"/>
      <c r="D124" s="59"/>
      <c r="E124" s="58"/>
      <c r="F124" s="58"/>
    </row>
    <row r="125" customFormat="false" ht="15" hidden="false" customHeight="false" outlineLevel="0" collapsed="false">
      <c r="B125" s="58"/>
      <c r="C125" s="58"/>
      <c r="D125" s="59"/>
      <c r="E125" s="58"/>
      <c r="F125" s="58"/>
    </row>
    <row r="126" customFormat="false" ht="15" hidden="false" customHeight="false" outlineLevel="0" collapsed="false">
      <c r="B126" s="58"/>
      <c r="C126" s="58"/>
      <c r="D126" s="59"/>
      <c r="E126" s="58"/>
      <c r="F126" s="58"/>
    </row>
    <row r="127" customFormat="false" ht="15" hidden="false" customHeight="false" outlineLevel="0" collapsed="false">
      <c r="B127" s="58"/>
      <c r="C127" s="58"/>
      <c r="D127" s="59"/>
      <c r="E127" s="58"/>
      <c r="F127" s="58"/>
    </row>
    <row r="128" customFormat="false" ht="15" hidden="false" customHeight="false" outlineLevel="0" collapsed="false">
      <c r="B128" s="58"/>
      <c r="C128" s="58"/>
      <c r="D128" s="59"/>
      <c r="E128" s="58"/>
      <c r="F128" s="58"/>
    </row>
    <row r="129" customFormat="false" ht="15" hidden="false" customHeight="false" outlineLevel="0" collapsed="false">
      <c r="B129" s="58"/>
      <c r="C129" s="58"/>
      <c r="D129" s="59"/>
      <c r="E129" s="58"/>
      <c r="F129" s="58"/>
    </row>
    <row r="130" customFormat="false" ht="15" hidden="false" customHeight="false" outlineLevel="0" collapsed="false">
      <c r="B130" s="58"/>
      <c r="C130" s="58"/>
      <c r="D130" s="59"/>
      <c r="E130" s="58"/>
      <c r="F130" s="58"/>
    </row>
    <row r="131" customFormat="false" ht="15" hidden="false" customHeight="false" outlineLevel="0" collapsed="false">
      <c r="B131" s="58"/>
      <c r="C131" s="58"/>
      <c r="D131" s="59"/>
      <c r="E131" s="58"/>
      <c r="F131" s="58"/>
    </row>
    <row r="132" customFormat="false" ht="15" hidden="false" customHeight="false" outlineLevel="0" collapsed="false">
      <c r="B132" s="58"/>
      <c r="C132" s="58"/>
      <c r="D132" s="59"/>
      <c r="E132" s="58"/>
      <c r="F132" s="58"/>
    </row>
    <row r="133" customFormat="false" ht="15" hidden="false" customHeight="false" outlineLevel="0" collapsed="false">
      <c r="B133" s="58"/>
      <c r="C133" s="58"/>
      <c r="D133" s="58"/>
      <c r="E133" s="58"/>
      <c r="F133" s="58"/>
    </row>
    <row r="134" customFormat="false" ht="15" hidden="false" customHeight="false" outlineLevel="0" collapsed="false">
      <c r="B134" s="58"/>
      <c r="C134" s="58"/>
      <c r="D134" s="58"/>
      <c r="E134" s="58"/>
      <c r="F134" s="58"/>
    </row>
    <row r="135" customFormat="false" ht="15" hidden="false" customHeight="false" outlineLevel="0" collapsed="false">
      <c r="B135" s="58"/>
      <c r="C135" s="58"/>
      <c r="D135" s="58"/>
      <c r="E135" s="58"/>
      <c r="F135" s="58"/>
    </row>
    <row r="136" customFormat="false" ht="15" hidden="false" customHeight="false" outlineLevel="0" collapsed="false">
      <c r="B136" s="58"/>
      <c r="C136" s="58"/>
      <c r="D136" s="58"/>
      <c r="E136" s="58"/>
      <c r="F136" s="58"/>
    </row>
    <row r="137" customFormat="false" ht="15" hidden="false" customHeight="false" outlineLevel="0" collapsed="false">
      <c r="B137" s="58"/>
      <c r="C137" s="58"/>
      <c r="D137" s="58"/>
      <c r="E137" s="58"/>
      <c r="F137" s="58"/>
    </row>
    <row r="138" customFormat="false" ht="15" hidden="false" customHeight="false" outlineLevel="0" collapsed="false">
      <c r="B138" s="58"/>
      <c r="C138" s="58"/>
      <c r="D138" s="58"/>
      <c r="E138" s="58"/>
      <c r="F138" s="58"/>
    </row>
    <row r="139" customFormat="false" ht="15" hidden="false" customHeight="false" outlineLevel="0" collapsed="false">
      <c r="B139" s="58"/>
      <c r="C139" s="58"/>
      <c r="D139" s="58"/>
      <c r="E139" s="58"/>
      <c r="F139" s="58"/>
    </row>
    <row r="140" customFormat="false" ht="15" hidden="false" customHeight="false" outlineLevel="0" collapsed="false">
      <c r="B140" s="58"/>
      <c r="C140" s="58"/>
      <c r="D140" s="58"/>
      <c r="E140" s="58"/>
      <c r="F140" s="58"/>
    </row>
    <row r="141" customFormat="false" ht="15" hidden="false" customHeight="false" outlineLevel="0" collapsed="false">
      <c r="B141" s="58"/>
      <c r="C141" s="58"/>
      <c r="D141" s="58"/>
      <c r="E141" s="58"/>
      <c r="F141" s="58"/>
    </row>
    <row r="142" customFormat="false" ht="15" hidden="false" customHeight="false" outlineLevel="0" collapsed="false">
      <c r="B142" s="58"/>
      <c r="C142" s="58"/>
      <c r="D142" s="58"/>
      <c r="E142" s="58"/>
      <c r="F142" s="58"/>
    </row>
    <row r="143" customFormat="false" ht="15" hidden="false" customHeight="false" outlineLevel="0" collapsed="false">
      <c r="B143" s="58"/>
      <c r="C143" s="58"/>
      <c r="D143" s="58"/>
      <c r="E143" s="58"/>
      <c r="F143" s="58"/>
    </row>
    <row r="144" customFormat="false" ht="15" hidden="false" customHeight="false" outlineLevel="0" collapsed="false">
      <c r="B144" s="58"/>
      <c r="C144" s="58"/>
      <c r="D144" s="58"/>
      <c r="E144" s="58"/>
      <c r="F144" s="58"/>
    </row>
    <row r="145" customFormat="false" ht="15" hidden="false" customHeight="false" outlineLevel="0" collapsed="false">
      <c r="B145" s="58"/>
      <c r="C145" s="58"/>
      <c r="D145" s="58"/>
      <c r="E145" s="58"/>
      <c r="F145" s="58"/>
    </row>
    <row r="146" customFormat="false" ht="15" hidden="false" customHeight="false" outlineLevel="0" collapsed="false">
      <c r="B146" s="58"/>
      <c r="C146" s="58"/>
      <c r="D146" s="58"/>
      <c r="E146" s="58"/>
      <c r="F146" s="58"/>
    </row>
    <row r="147" customFormat="false" ht="15" hidden="false" customHeight="false" outlineLevel="0" collapsed="false">
      <c r="B147" s="58"/>
      <c r="C147" s="58"/>
      <c r="D147" s="58"/>
      <c r="E147" s="58"/>
      <c r="F147" s="58"/>
    </row>
    <row r="148" customFormat="false" ht="15" hidden="false" customHeight="false" outlineLevel="0" collapsed="false">
      <c r="B148" s="58"/>
      <c r="C148" s="58"/>
      <c r="D148" s="58"/>
      <c r="E148" s="58"/>
      <c r="F148" s="58"/>
    </row>
    <row r="149" customFormat="false" ht="15" hidden="false" customHeight="false" outlineLevel="0" collapsed="false">
      <c r="B149" s="58"/>
      <c r="C149" s="58"/>
      <c r="D149" s="58"/>
      <c r="E149" s="58"/>
      <c r="F149" s="58"/>
    </row>
    <row r="150" customFormat="false" ht="15" hidden="false" customHeight="false" outlineLevel="0" collapsed="false">
      <c r="B150" s="58"/>
      <c r="C150" s="58"/>
      <c r="D150" s="58"/>
      <c r="E150" s="58"/>
      <c r="F150" s="58"/>
    </row>
    <row r="151" customFormat="false" ht="15" hidden="false" customHeight="false" outlineLevel="0" collapsed="false">
      <c r="B151" s="58"/>
      <c r="C151" s="58"/>
      <c r="D151" s="58"/>
      <c r="E151" s="58"/>
      <c r="F151" s="58"/>
    </row>
    <row r="152" customFormat="false" ht="15" hidden="false" customHeight="false" outlineLevel="0" collapsed="false">
      <c r="B152" s="58"/>
      <c r="C152" s="58"/>
      <c r="D152" s="58"/>
      <c r="E152" s="58"/>
      <c r="F152" s="58"/>
    </row>
    <row r="153" customFormat="false" ht="15" hidden="false" customHeight="false" outlineLevel="0" collapsed="false">
      <c r="B153" s="58"/>
      <c r="C153" s="58"/>
      <c r="D153" s="58"/>
      <c r="E153" s="58"/>
      <c r="F153" s="58"/>
    </row>
    <row r="154" customFormat="false" ht="15" hidden="false" customHeight="false" outlineLevel="0" collapsed="false">
      <c r="B154" s="58"/>
      <c r="C154" s="58"/>
      <c r="D154" s="58"/>
      <c r="E154" s="58"/>
      <c r="F154" s="58"/>
    </row>
    <row r="155" customFormat="false" ht="15" hidden="false" customHeight="false" outlineLevel="0" collapsed="false">
      <c r="B155" s="58"/>
      <c r="C155" s="58"/>
      <c r="D155" s="58"/>
      <c r="E155" s="58"/>
      <c r="F155" s="58"/>
    </row>
    <row r="156" customFormat="false" ht="15" hidden="false" customHeight="false" outlineLevel="0" collapsed="false">
      <c r="B156" s="58"/>
      <c r="C156" s="58"/>
      <c r="D156" s="58"/>
      <c r="E156" s="58"/>
      <c r="F156" s="58"/>
    </row>
    <row r="157" customFormat="false" ht="15" hidden="false" customHeight="false" outlineLevel="0" collapsed="false">
      <c r="B157" s="58"/>
      <c r="C157" s="58"/>
      <c r="D157" s="58"/>
      <c r="E157" s="58"/>
      <c r="F157" s="58"/>
    </row>
    <row r="158" customFormat="false" ht="15" hidden="false" customHeight="false" outlineLevel="0" collapsed="false">
      <c r="B158" s="58"/>
      <c r="C158" s="58"/>
      <c r="D158" s="58"/>
      <c r="E158" s="58"/>
      <c r="F158" s="58"/>
    </row>
    <row r="159" customFormat="false" ht="15" hidden="false" customHeight="false" outlineLevel="0" collapsed="false">
      <c r="B159" s="58"/>
      <c r="C159" s="58"/>
      <c r="D159" s="58"/>
      <c r="E159" s="58"/>
      <c r="F159" s="58"/>
    </row>
    <row r="160" customFormat="false" ht="15" hidden="false" customHeight="false" outlineLevel="0" collapsed="false">
      <c r="B160" s="58"/>
      <c r="C160" s="58"/>
      <c r="D160" s="58"/>
      <c r="E160" s="58"/>
      <c r="F160" s="58"/>
    </row>
    <row r="161" customFormat="false" ht="15" hidden="false" customHeight="false" outlineLevel="0" collapsed="false">
      <c r="B161" s="58"/>
      <c r="C161" s="58"/>
      <c r="D161" s="58"/>
      <c r="E161" s="58"/>
      <c r="F161" s="58"/>
    </row>
    <row r="162" customFormat="false" ht="15" hidden="false" customHeight="false" outlineLevel="0" collapsed="false">
      <c r="B162" s="58"/>
      <c r="C162" s="58"/>
      <c r="D162" s="58"/>
      <c r="E162" s="58"/>
      <c r="F162" s="58"/>
    </row>
    <row r="163" customFormat="false" ht="15" hidden="false" customHeight="false" outlineLevel="0" collapsed="false">
      <c r="B163" s="58"/>
      <c r="C163" s="58"/>
      <c r="D163" s="58"/>
      <c r="E163" s="58"/>
      <c r="F163" s="58"/>
    </row>
    <row r="164" customFormat="false" ht="15" hidden="false" customHeight="false" outlineLevel="0" collapsed="false">
      <c r="B164" s="58"/>
      <c r="C164" s="58"/>
      <c r="D164" s="58"/>
      <c r="E164" s="58"/>
      <c r="F164" s="58"/>
    </row>
    <row r="165" customFormat="false" ht="15" hidden="false" customHeight="false" outlineLevel="0" collapsed="false">
      <c r="B165" s="58"/>
      <c r="C165" s="58"/>
      <c r="D165" s="58"/>
      <c r="E165" s="58"/>
      <c r="F165" s="58"/>
    </row>
    <row r="166" customFormat="false" ht="15" hidden="false" customHeight="false" outlineLevel="0" collapsed="false">
      <c r="B166" s="58"/>
      <c r="C166" s="58"/>
      <c r="D166" s="58"/>
      <c r="E166" s="58"/>
      <c r="F166" s="58"/>
    </row>
    <row r="167" customFormat="false" ht="15" hidden="false" customHeight="false" outlineLevel="0" collapsed="false">
      <c r="B167" s="58"/>
      <c r="C167" s="58"/>
      <c r="D167" s="58"/>
      <c r="E167" s="58"/>
      <c r="F167" s="58"/>
    </row>
    <row r="168" customFormat="false" ht="15" hidden="false" customHeight="false" outlineLevel="0" collapsed="false">
      <c r="B168" s="58"/>
      <c r="C168" s="58"/>
      <c r="D168" s="58"/>
      <c r="E168" s="58"/>
      <c r="F168" s="58"/>
    </row>
    <row r="169" customFormat="false" ht="15" hidden="false" customHeight="false" outlineLevel="0" collapsed="false">
      <c r="B169" s="58"/>
      <c r="C169" s="58"/>
      <c r="D169" s="58"/>
      <c r="E169" s="58"/>
      <c r="F169" s="58"/>
    </row>
    <row r="170" customFormat="false" ht="15" hidden="false" customHeight="false" outlineLevel="0" collapsed="false">
      <c r="B170" s="58"/>
      <c r="C170" s="58"/>
      <c r="D170" s="58"/>
      <c r="E170" s="58"/>
      <c r="F170" s="58"/>
    </row>
    <row r="171" customFormat="false" ht="15" hidden="false" customHeight="false" outlineLevel="0" collapsed="false">
      <c r="B171" s="58"/>
      <c r="C171" s="58"/>
      <c r="D171" s="58"/>
      <c r="E171" s="58"/>
      <c r="F171" s="58"/>
    </row>
    <row r="172" customFormat="false" ht="15" hidden="false" customHeight="false" outlineLevel="0" collapsed="false">
      <c r="B172" s="58"/>
      <c r="C172" s="58"/>
      <c r="D172" s="58"/>
      <c r="E172" s="58"/>
      <c r="F172" s="58"/>
    </row>
    <row r="173" customFormat="false" ht="15" hidden="false" customHeight="false" outlineLevel="0" collapsed="false">
      <c r="B173" s="58"/>
      <c r="C173" s="58"/>
      <c r="D173" s="58"/>
      <c r="E173" s="58"/>
      <c r="F173" s="58"/>
    </row>
    <row r="174" customFormat="false" ht="15" hidden="false" customHeight="false" outlineLevel="0" collapsed="false">
      <c r="B174" s="58"/>
      <c r="C174" s="58"/>
      <c r="D174" s="58"/>
      <c r="E174" s="58"/>
      <c r="F174" s="58"/>
    </row>
    <row r="175" customFormat="false" ht="15" hidden="false" customHeight="false" outlineLevel="0" collapsed="false">
      <c r="B175" s="58"/>
      <c r="C175" s="58"/>
      <c r="D175" s="58"/>
      <c r="E175" s="58"/>
      <c r="F175" s="58"/>
    </row>
    <row r="176" customFormat="false" ht="15" hidden="false" customHeight="false" outlineLevel="0" collapsed="false">
      <c r="B176" s="58"/>
      <c r="C176" s="58"/>
      <c r="D176" s="58"/>
      <c r="E176" s="58"/>
      <c r="F176" s="58"/>
    </row>
    <row r="177" customFormat="false" ht="15" hidden="false" customHeight="false" outlineLevel="0" collapsed="false">
      <c r="B177" s="58"/>
      <c r="C177" s="58"/>
      <c r="D177" s="58"/>
      <c r="E177" s="58"/>
      <c r="F177" s="58"/>
    </row>
    <row r="178" customFormat="false" ht="15" hidden="false" customHeight="false" outlineLevel="0" collapsed="false">
      <c r="B178" s="58"/>
      <c r="C178" s="58"/>
      <c r="D178" s="58"/>
      <c r="E178" s="58"/>
      <c r="F178" s="58"/>
    </row>
    <row r="179" customFormat="false" ht="15" hidden="false" customHeight="false" outlineLevel="0" collapsed="false">
      <c r="B179" s="58"/>
      <c r="C179" s="58"/>
      <c r="D179" s="58"/>
      <c r="E179" s="58"/>
      <c r="F179" s="58"/>
    </row>
    <row r="180" customFormat="false" ht="15" hidden="false" customHeight="false" outlineLevel="0" collapsed="false">
      <c r="B180" s="58"/>
      <c r="C180" s="58"/>
      <c r="D180" s="58"/>
      <c r="E180" s="58"/>
      <c r="F180" s="58"/>
    </row>
    <row r="181" customFormat="false" ht="15" hidden="false" customHeight="false" outlineLevel="0" collapsed="false">
      <c r="B181" s="58"/>
      <c r="C181" s="58"/>
      <c r="D181" s="58"/>
      <c r="E181" s="58"/>
      <c r="F181" s="58"/>
    </row>
    <row r="182" customFormat="false" ht="15" hidden="false" customHeight="false" outlineLevel="0" collapsed="false">
      <c r="B182" s="58"/>
      <c r="C182" s="58"/>
      <c r="D182" s="58"/>
      <c r="E182" s="58"/>
      <c r="F182" s="58"/>
    </row>
    <row r="183" customFormat="false" ht="15" hidden="false" customHeight="false" outlineLevel="0" collapsed="false">
      <c r="B183" s="58"/>
      <c r="C183" s="58"/>
      <c r="D183" s="58"/>
      <c r="E183" s="58"/>
      <c r="F183" s="58"/>
    </row>
    <row r="184" customFormat="false" ht="15" hidden="false" customHeight="false" outlineLevel="0" collapsed="false">
      <c r="B184" s="58"/>
      <c r="C184" s="58"/>
      <c r="D184" s="58"/>
      <c r="E184" s="58"/>
      <c r="F184" s="58"/>
    </row>
    <row r="185" customFormat="false" ht="15" hidden="false" customHeight="false" outlineLevel="0" collapsed="false">
      <c r="B185" s="58"/>
      <c r="C185" s="58"/>
      <c r="D185" s="58"/>
      <c r="E185" s="58"/>
      <c r="F185" s="58"/>
    </row>
    <row r="186" customFormat="false" ht="15" hidden="false" customHeight="false" outlineLevel="0" collapsed="false">
      <c r="B186" s="58"/>
      <c r="C186" s="58"/>
      <c r="D186" s="58"/>
      <c r="E186" s="58"/>
      <c r="F186" s="58"/>
    </row>
    <row r="187" customFormat="false" ht="15" hidden="false" customHeight="false" outlineLevel="0" collapsed="false">
      <c r="B187" s="58"/>
      <c r="C187" s="58"/>
      <c r="D187" s="58"/>
      <c r="E187" s="58"/>
      <c r="F187" s="58"/>
    </row>
    <row r="188" customFormat="false" ht="15" hidden="false" customHeight="false" outlineLevel="0" collapsed="false">
      <c r="B188" s="58"/>
      <c r="C188" s="58"/>
      <c r="D188" s="58"/>
      <c r="E188" s="58"/>
      <c r="F188" s="58"/>
    </row>
    <row r="189" customFormat="false" ht="15" hidden="false" customHeight="false" outlineLevel="0" collapsed="false">
      <c r="B189" s="58"/>
      <c r="C189" s="58"/>
      <c r="D189" s="58"/>
      <c r="E189" s="58"/>
      <c r="F189" s="58"/>
    </row>
    <row r="190" customFormat="false" ht="15" hidden="false" customHeight="false" outlineLevel="0" collapsed="false">
      <c r="B190" s="58"/>
      <c r="C190" s="58"/>
      <c r="D190" s="58"/>
      <c r="E190" s="58"/>
      <c r="F190" s="58"/>
    </row>
    <row r="191" customFormat="false" ht="15" hidden="false" customHeight="false" outlineLevel="0" collapsed="false">
      <c r="B191" s="58"/>
      <c r="C191" s="58"/>
      <c r="D191" s="58"/>
      <c r="E191" s="58"/>
      <c r="F191" s="58"/>
    </row>
    <row r="192" customFormat="false" ht="15" hidden="false" customHeight="false" outlineLevel="0" collapsed="false">
      <c r="B192" s="58"/>
      <c r="C192" s="58"/>
      <c r="D192" s="58"/>
      <c r="E192" s="58"/>
      <c r="F192" s="58"/>
    </row>
    <row r="193" customFormat="false" ht="15" hidden="false" customHeight="false" outlineLevel="0" collapsed="false">
      <c r="B193" s="58"/>
      <c r="C193" s="58"/>
      <c r="D193" s="58"/>
      <c r="E193" s="58"/>
      <c r="F193" s="58"/>
    </row>
    <row r="194" customFormat="false" ht="15" hidden="false" customHeight="false" outlineLevel="0" collapsed="false">
      <c r="B194" s="58"/>
      <c r="C194" s="58"/>
      <c r="D194" s="58"/>
      <c r="E194" s="58"/>
      <c r="F194" s="58"/>
    </row>
    <row r="195" customFormat="false" ht="15" hidden="false" customHeight="false" outlineLevel="0" collapsed="false">
      <c r="B195" s="58"/>
      <c r="C195" s="58"/>
      <c r="D195" s="58"/>
      <c r="E195" s="58"/>
      <c r="F195" s="58"/>
    </row>
    <row r="196" customFormat="false" ht="15" hidden="false" customHeight="false" outlineLevel="0" collapsed="false">
      <c r="B196" s="58"/>
      <c r="C196" s="58"/>
      <c r="D196" s="58"/>
      <c r="E196" s="58"/>
      <c r="F196" s="58"/>
    </row>
    <row r="197" customFormat="false" ht="15" hidden="false" customHeight="false" outlineLevel="0" collapsed="false">
      <c r="B197" s="58"/>
      <c r="C197" s="58"/>
      <c r="D197" s="58"/>
      <c r="E197" s="58"/>
      <c r="F197" s="58"/>
    </row>
    <row r="198" customFormat="false" ht="15" hidden="false" customHeight="false" outlineLevel="0" collapsed="false">
      <c r="B198" s="58"/>
      <c r="C198" s="58"/>
      <c r="D198" s="58"/>
      <c r="E198" s="58"/>
      <c r="F198" s="58"/>
    </row>
    <row r="199" customFormat="false" ht="15" hidden="false" customHeight="false" outlineLevel="0" collapsed="false">
      <c r="B199" s="58"/>
      <c r="C199" s="58"/>
      <c r="D199" s="58"/>
      <c r="E199" s="58"/>
      <c r="F199" s="58"/>
    </row>
    <row r="200" customFormat="false" ht="15" hidden="false" customHeight="false" outlineLevel="0" collapsed="false">
      <c r="B200" s="58"/>
      <c r="C200" s="58"/>
      <c r="D200" s="58"/>
      <c r="E200" s="58"/>
      <c r="F200" s="58"/>
    </row>
    <row r="201" customFormat="false" ht="15" hidden="false" customHeight="false" outlineLevel="0" collapsed="false">
      <c r="B201" s="58"/>
      <c r="C201" s="58"/>
      <c r="D201" s="58"/>
      <c r="E201" s="58"/>
      <c r="F201" s="58"/>
    </row>
    <row r="202" customFormat="false" ht="15" hidden="false" customHeight="false" outlineLevel="0" collapsed="false">
      <c r="B202" s="58"/>
      <c r="C202" s="58"/>
      <c r="D202" s="58"/>
      <c r="E202" s="58"/>
      <c r="F202" s="58"/>
    </row>
    <row r="203" customFormat="false" ht="15" hidden="false" customHeight="false" outlineLevel="0" collapsed="false">
      <c r="B203" s="58"/>
      <c r="C203" s="58"/>
      <c r="D203" s="58"/>
      <c r="E203" s="58"/>
      <c r="F203" s="58"/>
    </row>
    <row r="204" customFormat="false" ht="15" hidden="false" customHeight="false" outlineLevel="0" collapsed="false">
      <c r="B204" s="58"/>
      <c r="C204" s="58"/>
      <c r="D204" s="58"/>
      <c r="E204" s="58"/>
      <c r="F204" s="58"/>
    </row>
    <row r="205" customFormat="false" ht="15" hidden="false" customHeight="false" outlineLevel="0" collapsed="false">
      <c r="B205" s="58"/>
      <c r="C205" s="58"/>
      <c r="D205" s="58"/>
      <c r="E205" s="58"/>
      <c r="F205" s="58"/>
    </row>
    <row r="206" customFormat="false" ht="15" hidden="false" customHeight="false" outlineLevel="0" collapsed="false">
      <c r="B206" s="58"/>
      <c r="C206" s="58"/>
      <c r="D206" s="58"/>
      <c r="E206" s="58"/>
      <c r="F206" s="58"/>
    </row>
    <row r="207" customFormat="false" ht="15" hidden="false" customHeight="false" outlineLevel="0" collapsed="false">
      <c r="B207" s="58"/>
      <c r="C207" s="58"/>
      <c r="D207" s="58"/>
      <c r="E207" s="58"/>
      <c r="F207" s="58"/>
    </row>
    <row r="208" customFormat="false" ht="15" hidden="false" customHeight="false" outlineLevel="0" collapsed="false">
      <c r="B208" s="58"/>
      <c r="C208" s="58"/>
      <c r="D208" s="58"/>
      <c r="E208" s="58"/>
      <c r="F208" s="58"/>
    </row>
    <row r="209" customFormat="false" ht="15" hidden="false" customHeight="false" outlineLevel="0" collapsed="false">
      <c r="B209" s="58"/>
      <c r="C209" s="58"/>
      <c r="D209" s="58"/>
      <c r="E209" s="58"/>
      <c r="F209" s="58"/>
    </row>
    <row r="210" customFormat="false" ht="15" hidden="false" customHeight="false" outlineLevel="0" collapsed="false">
      <c r="B210" s="58"/>
      <c r="C210" s="58"/>
      <c r="D210" s="58"/>
      <c r="E210" s="58"/>
      <c r="F210" s="58"/>
    </row>
    <row r="211" customFormat="false" ht="15" hidden="false" customHeight="false" outlineLevel="0" collapsed="false">
      <c r="B211" s="58"/>
      <c r="C211" s="58"/>
      <c r="D211" s="58"/>
      <c r="E211" s="58"/>
      <c r="F211" s="58"/>
    </row>
    <row r="212" customFormat="false" ht="15" hidden="false" customHeight="false" outlineLevel="0" collapsed="false">
      <c r="B212" s="58"/>
      <c r="C212" s="58"/>
      <c r="D212" s="58"/>
      <c r="E212" s="58"/>
      <c r="F212" s="58"/>
    </row>
    <row r="213" customFormat="false" ht="15" hidden="false" customHeight="false" outlineLevel="0" collapsed="false">
      <c r="B213" s="58"/>
      <c r="C213" s="58"/>
      <c r="D213" s="58"/>
      <c r="E213" s="58"/>
      <c r="F213" s="58"/>
    </row>
    <row r="214" customFormat="false" ht="15" hidden="false" customHeight="false" outlineLevel="0" collapsed="false">
      <c r="B214" s="58"/>
      <c r="C214" s="58"/>
      <c r="D214" s="58"/>
      <c r="E214" s="58"/>
      <c r="F214" s="58"/>
    </row>
    <row r="215" customFormat="false" ht="15" hidden="false" customHeight="false" outlineLevel="0" collapsed="false">
      <c r="B215" s="58"/>
      <c r="C215" s="58"/>
      <c r="D215" s="58"/>
      <c r="E215" s="58"/>
      <c r="F215" s="58"/>
    </row>
    <row r="216" customFormat="false" ht="15" hidden="false" customHeight="false" outlineLevel="0" collapsed="false">
      <c r="B216" s="58"/>
      <c r="C216" s="58"/>
      <c r="D216" s="58"/>
      <c r="E216" s="58"/>
      <c r="F216" s="58"/>
    </row>
    <row r="217" customFormat="false" ht="15" hidden="false" customHeight="false" outlineLevel="0" collapsed="false">
      <c r="B217" s="58"/>
      <c r="C217" s="58"/>
      <c r="D217" s="58"/>
      <c r="E217" s="58"/>
      <c r="F217" s="58"/>
    </row>
    <row r="218" customFormat="false" ht="15" hidden="false" customHeight="false" outlineLevel="0" collapsed="false">
      <c r="B218" s="58"/>
      <c r="C218" s="58"/>
      <c r="D218" s="58"/>
      <c r="E218" s="58"/>
      <c r="F218" s="58"/>
    </row>
    <row r="219" customFormat="false" ht="15" hidden="false" customHeight="false" outlineLevel="0" collapsed="false">
      <c r="B219" s="63"/>
      <c r="C219" s="63"/>
      <c r="D219" s="58"/>
      <c r="E219" s="58"/>
      <c r="F219" s="58"/>
    </row>
    <row r="220" customFormat="false" ht="15" hidden="false" customHeight="false" outlineLevel="0" collapsed="false">
      <c r="B220" s="63"/>
      <c r="C220" s="63"/>
      <c r="D220" s="58"/>
      <c r="E220" s="58"/>
      <c r="F220" s="58"/>
    </row>
    <row r="221" customFormat="false" ht="15" hidden="false" customHeight="false" outlineLevel="0" collapsed="false">
      <c r="B221" s="63"/>
      <c r="C221" s="63"/>
      <c r="D221" s="58"/>
      <c r="E221" s="58"/>
      <c r="F221" s="58"/>
    </row>
    <row r="222" customFormat="false" ht="15" hidden="false" customHeight="false" outlineLevel="0" collapsed="false">
      <c r="B222" s="63"/>
      <c r="C222" s="63"/>
      <c r="D222" s="58"/>
      <c r="E222" s="58"/>
      <c r="F222" s="58"/>
    </row>
    <row r="223" customFormat="false" ht="15" hidden="false" customHeight="false" outlineLevel="0" collapsed="false">
      <c r="B223" s="63"/>
      <c r="C223" s="63"/>
      <c r="D223" s="58"/>
      <c r="E223" s="58"/>
      <c r="F223" s="58"/>
    </row>
    <row r="224" customFormat="false" ht="15" hidden="false" customHeight="false" outlineLevel="0" collapsed="false">
      <c r="B224" s="63"/>
      <c r="C224" s="63"/>
      <c r="D224" s="58"/>
      <c r="E224" s="58"/>
      <c r="F224" s="58"/>
    </row>
    <row r="225" customFormat="false" ht="15" hidden="false" customHeight="false" outlineLevel="0" collapsed="false">
      <c r="B225" s="63"/>
      <c r="C225" s="63"/>
      <c r="D225" s="58"/>
      <c r="E225" s="58"/>
      <c r="F225" s="58"/>
    </row>
    <row r="226" customFormat="false" ht="15" hidden="false" customHeight="false" outlineLevel="0" collapsed="false">
      <c r="B226" s="63"/>
      <c r="C226" s="63"/>
      <c r="D226" s="58"/>
      <c r="E226" s="58"/>
      <c r="F226" s="58"/>
    </row>
    <row r="227" customFormat="false" ht="15" hidden="false" customHeight="false" outlineLevel="0" collapsed="false">
      <c r="B227" s="63"/>
      <c r="C227" s="63"/>
      <c r="D227" s="58"/>
      <c r="E227" s="58"/>
      <c r="F227" s="58"/>
    </row>
    <row r="228" customFormat="false" ht="15" hidden="false" customHeight="false" outlineLevel="0" collapsed="false">
      <c r="B228" s="63"/>
      <c r="C228" s="63"/>
      <c r="D228" s="58"/>
      <c r="E228" s="58"/>
      <c r="F228" s="58"/>
    </row>
    <row r="229" customFormat="false" ht="15" hidden="false" customHeight="false" outlineLevel="0" collapsed="false">
      <c r="B229" s="63"/>
      <c r="C229" s="63"/>
      <c r="D229" s="58"/>
      <c r="E229" s="58"/>
      <c r="F229" s="58"/>
    </row>
    <row r="230" customFormat="false" ht="15" hidden="false" customHeight="false" outlineLevel="0" collapsed="false">
      <c r="B230" s="63"/>
      <c r="C230" s="63"/>
      <c r="D230" s="58"/>
      <c r="E230" s="58"/>
      <c r="F230" s="58"/>
    </row>
    <row r="231" customFormat="false" ht="15" hidden="false" customHeight="false" outlineLevel="0" collapsed="false">
      <c r="B231" s="63"/>
      <c r="C231" s="63"/>
      <c r="D231" s="58"/>
      <c r="E231" s="58"/>
      <c r="F231" s="58"/>
    </row>
    <row r="232" customFormat="false" ht="15" hidden="false" customHeight="false" outlineLevel="0" collapsed="false">
      <c r="B232" s="63"/>
      <c r="C232" s="63"/>
      <c r="D232" s="58"/>
      <c r="E232" s="58"/>
      <c r="F232" s="58"/>
    </row>
    <row r="233" customFormat="false" ht="15" hidden="false" customHeight="false" outlineLevel="0" collapsed="false">
      <c r="B233" s="63"/>
      <c r="C233" s="63"/>
      <c r="D233" s="58"/>
      <c r="E233" s="58"/>
      <c r="F233" s="58"/>
    </row>
    <row r="234" customFormat="false" ht="15" hidden="false" customHeight="false" outlineLevel="0" collapsed="false">
      <c r="B234" s="63"/>
      <c r="C234" s="63"/>
      <c r="D234" s="58"/>
      <c r="E234" s="58"/>
      <c r="F234" s="58"/>
    </row>
    <row r="235" customFormat="false" ht="15" hidden="false" customHeight="false" outlineLevel="0" collapsed="false">
      <c r="B235" s="63"/>
      <c r="C235" s="63"/>
      <c r="D235" s="58"/>
      <c r="E235" s="58"/>
      <c r="F235" s="58"/>
    </row>
    <row r="236" customFormat="false" ht="15" hidden="false" customHeight="false" outlineLevel="0" collapsed="false">
      <c r="B236" s="63"/>
      <c r="C236" s="63"/>
      <c r="D236" s="58"/>
      <c r="E236" s="58"/>
      <c r="F236" s="58"/>
    </row>
    <row r="237" customFormat="false" ht="15" hidden="false" customHeight="false" outlineLevel="0" collapsed="false">
      <c r="B237" s="63"/>
      <c r="C237" s="63"/>
      <c r="D237" s="58"/>
      <c r="E237" s="58"/>
      <c r="F237" s="58"/>
    </row>
    <row r="238" customFormat="false" ht="15" hidden="false" customHeight="false" outlineLevel="0" collapsed="false">
      <c r="B238" s="63"/>
      <c r="C238" s="63"/>
      <c r="D238" s="58"/>
      <c r="E238" s="58"/>
      <c r="F238" s="58"/>
    </row>
    <row r="239" customFormat="false" ht="15" hidden="false" customHeight="false" outlineLevel="0" collapsed="false">
      <c r="B239" s="63"/>
      <c r="C239" s="63"/>
      <c r="D239" s="58"/>
      <c r="E239" s="58"/>
      <c r="F239" s="58"/>
    </row>
    <row r="240" customFormat="false" ht="15" hidden="false" customHeight="false" outlineLevel="0" collapsed="false">
      <c r="B240" s="63"/>
      <c r="C240" s="63"/>
      <c r="D240" s="58"/>
      <c r="E240" s="58"/>
      <c r="F240" s="58"/>
    </row>
    <row r="241" customFormat="false" ht="15" hidden="false" customHeight="false" outlineLevel="0" collapsed="false">
      <c r="B241" s="60"/>
      <c r="D241" s="58"/>
      <c r="E241" s="58"/>
      <c r="F241" s="58"/>
    </row>
    <row r="242" customFormat="false" ht="15" hidden="false" customHeight="false" outlineLevel="0" collapsed="false">
      <c r="B242" s="60"/>
      <c r="D242" s="58"/>
      <c r="E242" s="58"/>
      <c r="F242" s="58"/>
    </row>
    <row r="243" customFormat="false" ht="15" hidden="false" customHeight="false" outlineLevel="0" collapsed="false">
      <c r="B243" s="60"/>
      <c r="D243" s="58"/>
      <c r="E243" s="58"/>
      <c r="F243" s="58"/>
    </row>
    <row r="244" customFormat="false" ht="15" hidden="false" customHeight="false" outlineLevel="0" collapsed="false">
      <c r="B244" s="60"/>
      <c r="D244" s="58"/>
      <c r="E244" s="58"/>
      <c r="F244" s="58"/>
    </row>
    <row r="245" customFormat="false" ht="15" hidden="false" customHeight="false" outlineLevel="0" collapsed="false">
      <c r="B245" s="60"/>
      <c r="D245" s="58"/>
      <c r="E245" s="58"/>
      <c r="F245" s="58"/>
    </row>
    <row r="246" customFormat="false" ht="15" hidden="false" customHeight="false" outlineLevel="0" collapsed="false">
      <c r="B246" s="60"/>
      <c r="D246" s="58"/>
      <c r="E246" s="58"/>
      <c r="F246" s="58"/>
    </row>
    <row r="247" customFormat="false" ht="15" hidden="false" customHeight="false" outlineLevel="0" collapsed="false">
      <c r="B247" s="60"/>
      <c r="D247" s="58"/>
      <c r="E247" s="58"/>
      <c r="F247" s="58"/>
    </row>
    <row r="248" customFormat="false" ht="15" hidden="false" customHeight="false" outlineLevel="0" collapsed="false">
      <c r="B248" s="60"/>
      <c r="D248" s="58"/>
      <c r="E248" s="58"/>
      <c r="F248" s="58"/>
    </row>
    <row r="249" customFormat="false" ht="15" hidden="false" customHeight="false" outlineLevel="0" collapsed="false">
      <c r="B249" s="60"/>
      <c r="D249" s="58"/>
      <c r="E249" s="58"/>
      <c r="F249" s="58"/>
    </row>
    <row r="250" customFormat="false" ht="15" hidden="false" customHeight="false" outlineLevel="0" collapsed="false">
      <c r="B250" s="60"/>
      <c r="D250" s="58"/>
      <c r="E250" s="58"/>
      <c r="F250" s="58"/>
    </row>
    <row r="251" customFormat="false" ht="15" hidden="false" customHeight="false" outlineLevel="0" collapsed="false">
      <c r="B251" s="60"/>
      <c r="D251" s="58"/>
      <c r="E251" s="58"/>
      <c r="F251" s="58"/>
    </row>
    <row r="252" customFormat="false" ht="15" hidden="false" customHeight="false" outlineLevel="0" collapsed="false">
      <c r="B252" s="60"/>
      <c r="D252" s="58"/>
      <c r="E252" s="58"/>
      <c r="F252" s="58"/>
    </row>
    <row r="253" customFormat="false" ht="15" hidden="false" customHeight="false" outlineLevel="0" collapsed="false">
      <c r="B253" s="60"/>
      <c r="D253" s="58"/>
      <c r="E253" s="58"/>
      <c r="F253" s="58"/>
    </row>
    <row r="254" customFormat="false" ht="15" hidden="false" customHeight="false" outlineLevel="0" collapsed="false">
      <c r="B254" s="60"/>
      <c r="D254" s="58"/>
      <c r="E254" s="58"/>
      <c r="F254" s="58"/>
    </row>
    <row r="255" customFormat="false" ht="15" hidden="false" customHeight="false" outlineLevel="0" collapsed="false">
      <c r="B255" s="60"/>
      <c r="D255" s="58"/>
      <c r="E255" s="58"/>
      <c r="F255" s="58"/>
    </row>
    <row r="256" customFormat="false" ht="15" hidden="false" customHeight="false" outlineLevel="0" collapsed="false">
      <c r="B256" s="60"/>
      <c r="D256" s="58"/>
      <c r="E256" s="58"/>
      <c r="F256" s="58"/>
    </row>
    <row r="257" customFormat="false" ht="15" hidden="false" customHeight="false" outlineLevel="0" collapsed="false">
      <c r="B257" s="60"/>
      <c r="D257" s="58"/>
      <c r="E257" s="58"/>
      <c r="F257" s="58"/>
    </row>
    <row r="258" customFormat="false" ht="15" hidden="false" customHeight="false" outlineLevel="0" collapsed="false">
      <c r="B258" s="60"/>
      <c r="D258" s="58"/>
      <c r="E258" s="58"/>
      <c r="F258" s="58"/>
    </row>
    <row r="259" customFormat="false" ht="15" hidden="false" customHeight="false" outlineLevel="0" collapsed="false">
      <c r="B259" s="60"/>
      <c r="D259" s="58"/>
      <c r="E259" s="58"/>
      <c r="F259" s="58"/>
    </row>
    <row r="260" customFormat="false" ht="15" hidden="false" customHeight="false" outlineLevel="0" collapsed="false">
      <c r="B260" s="60"/>
      <c r="D260" s="58"/>
      <c r="E260" s="58"/>
      <c r="F260" s="58"/>
    </row>
    <row r="261" customFormat="false" ht="15" hidden="false" customHeight="false" outlineLevel="0" collapsed="false">
      <c r="B261" s="60"/>
      <c r="D261" s="58"/>
      <c r="E261" s="58"/>
      <c r="F261" s="58"/>
    </row>
    <row r="262" customFormat="false" ht="15" hidden="false" customHeight="false" outlineLevel="0" collapsed="false">
      <c r="B262" s="60"/>
      <c r="D262" s="58"/>
      <c r="E262" s="58"/>
      <c r="F262" s="58"/>
    </row>
    <row r="263" customFormat="false" ht="15" hidden="false" customHeight="false" outlineLevel="0" collapsed="false">
      <c r="B263" s="60"/>
      <c r="D263" s="58"/>
      <c r="E263" s="58"/>
      <c r="F263" s="58"/>
    </row>
    <row r="264" customFormat="false" ht="15" hidden="false" customHeight="false" outlineLevel="0" collapsed="false">
      <c r="B264" s="60"/>
      <c r="D264" s="58"/>
      <c r="E264" s="58"/>
      <c r="F264" s="58"/>
    </row>
    <row r="265" customFormat="false" ht="15" hidden="false" customHeight="false" outlineLevel="0" collapsed="false">
      <c r="B265" s="60"/>
      <c r="D265" s="58"/>
      <c r="E265" s="58"/>
      <c r="F265" s="58"/>
    </row>
    <row r="266" customFormat="false" ht="15" hidden="false" customHeight="false" outlineLevel="0" collapsed="false">
      <c r="B266" s="60"/>
      <c r="D266" s="58"/>
      <c r="E266" s="58"/>
      <c r="F266" s="58"/>
    </row>
    <row r="267" customFormat="false" ht="15" hidden="false" customHeight="false" outlineLevel="0" collapsed="false">
      <c r="B267" s="60"/>
      <c r="D267" s="58"/>
      <c r="E267" s="58"/>
      <c r="F267" s="58"/>
    </row>
    <row r="268" customFormat="false" ht="15" hidden="false" customHeight="false" outlineLevel="0" collapsed="false">
      <c r="B268" s="60"/>
      <c r="D268" s="58"/>
      <c r="E268" s="58"/>
      <c r="F268" s="58"/>
    </row>
    <row r="269" customFormat="false" ht="15" hidden="false" customHeight="false" outlineLevel="0" collapsed="false">
      <c r="B269" s="60"/>
      <c r="D269" s="58"/>
      <c r="E269" s="58"/>
      <c r="F269" s="58"/>
    </row>
    <row r="270" customFormat="false" ht="15" hidden="false" customHeight="false" outlineLevel="0" collapsed="false">
      <c r="B270" s="60"/>
      <c r="D270" s="58"/>
      <c r="E270" s="58"/>
      <c r="F270" s="58"/>
    </row>
    <row r="271" customFormat="false" ht="15" hidden="false" customHeight="false" outlineLevel="0" collapsed="false">
      <c r="B271" s="60"/>
      <c r="D271" s="58"/>
      <c r="E271" s="58"/>
      <c r="F271" s="58"/>
    </row>
    <row r="272" customFormat="false" ht="15" hidden="false" customHeight="false" outlineLevel="0" collapsed="false">
      <c r="B272" s="60"/>
      <c r="D272" s="58"/>
      <c r="E272" s="58"/>
      <c r="F272" s="58"/>
    </row>
    <row r="273" customFormat="false" ht="15" hidden="false" customHeight="false" outlineLevel="0" collapsed="false">
      <c r="B273" s="60"/>
      <c r="D273" s="58"/>
      <c r="E273" s="58"/>
      <c r="F273" s="58"/>
    </row>
    <row r="274" customFormat="false" ht="15" hidden="false" customHeight="false" outlineLevel="0" collapsed="false">
      <c r="B274" s="60"/>
      <c r="D274" s="58"/>
      <c r="E274" s="58"/>
      <c r="F274" s="58"/>
    </row>
    <row r="275" customFormat="false" ht="15" hidden="false" customHeight="false" outlineLevel="0" collapsed="false">
      <c r="B275" s="60"/>
      <c r="D275" s="58"/>
      <c r="E275" s="58"/>
      <c r="F275" s="58"/>
    </row>
    <row r="276" customFormat="false" ht="15" hidden="false" customHeight="false" outlineLevel="0" collapsed="false">
      <c r="B276" s="60"/>
      <c r="D276" s="58"/>
      <c r="E276" s="58"/>
      <c r="F276" s="58"/>
    </row>
    <row r="277" customFormat="false" ht="15" hidden="false" customHeight="false" outlineLevel="0" collapsed="false">
      <c r="B277" s="60"/>
      <c r="D277" s="58"/>
      <c r="E277" s="58"/>
      <c r="F277" s="58"/>
    </row>
    <row r="278" customFormat="false" ht="15" hidden="false" customHeight="false" outlineLevel="0" collapsed="false">
      <c r="B278" s="60"/>
      <c r="D278" s="58"/>
      <c r="E278" s="58"/>
      <c r="F278" s="58"/>
    </row>
    <row r="279" customFormat="false" ht="15" hidden="false" customHeight="false" outlineLevel="0" collapsed="false">
      <c r="B279" s="60"/>
      <c r="D279" s="58"/>
      <c r="E279" s="58"/>
      <c r="F279" s="58"/>
    </row>
    <row r="280" customFormat="false" ht="15" hidden="false" customHeight="false" outlineLevel="0" collapsed="false">
      <c r="B280" s="60"/>
      <c r="D280" s="58"/>
      <c r="E280" s="58"/>
      <c r="F280" s="58"/>
    </row>
    <row r="281" customFormat="false" ht="15" hidden="false" customHeight="false" outlineLevel="0" collapsed="false">
      <c r="B281" s="60"/>
      <c r="D281" s="58"/>
      <c r="E281" s="58"/>
      <c r="F281" s="58"/>
    </row>
    <row r="282" customFormat="false" ht="15" hidden="false" customHeight="false" outlineLevel="0" collapsed="false">
      <c r="B282" s="60"/>
      <c r="D282" s="58"/>
      <c r="E282" s="58"/>
      <c r="F282" s="58"/>
    </row>
    <row r="283" customFormat="false" ht="15" hidden="false" customHeight="false" outlineLevel="0" collapsed="false">
      <c r="B283" s="60"/>
      <c r="D283" s="58"/>
      <c r="E283" s="58"/>
      <c r="F283" s="58"/>
    </row>
    <row r="284" customFormat="false" ht="15" hidden="false" customHeight="false" outlineLevel="0" collapsed="false">
      <c r="B284" s="60"/>
      <c r="D284" s="58"/>
      <c r="E284" s="58"/>
      <c r="F284" s="58"/>
    </row>
    <row r="285" customFormat="false" ht="15" hidden="false" customHeight="false" outlineLevel="0" collapsed="false">
      <c r="B285" s="60"/>
      <c r="D285" s="58"/>
      <c r="E285" s="58"/>
      <c r="F285" s="58"/>
    </row>
    <row r="286" customFormat="false" ht="15" hidden="false" customHeight="false" outlineLevel="0" collapsed="false">
      <c r="B286" s="60"/>
      <c r="D286" s="58"/>
      <c r="E286" s="58"/>
      <c r="F286" s="58"/>
    </row>
    <row r="287" customFormat="false" ht="15" hidden="false" customHeight="false" outlineLevel="0" collapsed="false">
      <c r="B287" s="60"/>
      <c r="D287" s="58"/>
      <c r="E287" s="58"/>
      <c r="F287" s="58"/>
    </row>
    <row r="288" customFormat="false" ht="15" hidden="false" customHeight="false" outlineLevel="0" collapsed="false">
      <c r="B288" s="60"/>
      <c r="D288" s="58"/>
      <c r="E288" s="58"/>
      <c r="F288" s="58"/>
    </row>
    <row r="289" customFormat="false" ht="15" hidden="false" customHeight="false" outlineLevel="0" collapsed="false">
      <c r="B289" s="60"/>
      <c r="D289" s="58"/>
      <c r="E289" s="58"/>
      <c r="F289" s="58"/>
    </row>
    <row r="290" customFormat="false" ht="15" hidden="false" customHeight="false" outlineLevel="0" collapsed="false">
      <c r="B290" s="60"/>
      <c r="D290" s="58"/>
      <c r="E290" s="58"/>
      <c r="F290" s="58"/>
    </row>
    <row r="291" customFormat="false" ht="15" hidden="false" customHeight="false" outlineLevel="0" collapsed="false">
      <c r="B291" s="60"/>
      <c r="D291" s="58"/>
      <c r="E291" s="58"/>
      <c r="F291" s="58"/>
    </row>
    <row r="292" customFormat="false" ht="15" hidden="false" customHeight="false" outlineLevel="0" collapsed="false">
      <c r="B292" s="60"/>
      <c r="D292" s="58"/>
      <c r="E292" s="58"/>
      <c r="F292" s="58"/>
    </row>
    <row r="293" customFormat="false" ht="15" hidden="false" customHeight="false" outlineLevel="0" collapsed="false">
      <c r="B293" s="60"/>
      <c r="D293" s="58"/>
      <c r="E293" s="58"/>
      <c r="F293" s="58"/>
    </row>
    <row r="294" customFormat="false" ht="15" hidden="false" customHeight="false" outlineLevel="0" collapsed="false">
      <c r="B294" s="60"/>
      <c r="D294" s="58"/>
      <c r="E294" s="58"/>
      <c r="F294" s="58"/>
    </row>
    <row r="295" customFormat="false" ht="15" hidden="false" customHeight="false" outlineLevel="0" collapsed="false">
      <c r="B295" s="60"/>
      <c r="D295" s="58"/>
      <c r="E295" s="58"/>
      <c r="F295" s="58"/>
    </row>
    <row r="296" customFormat="false" ht="15" hidden="false" customHeight="false" outlineLevel="0" collapsed="false">
      <c r="B296" s="60"/>
      <c r="D296" s="58"/>
      <c r="E296" s="58"/>
      <c r="F296" s="58"/>
    </row>
    <row r="297" customFormat="false" ht="15" hidden="false" customHeight="false" outlineLevel="0" collapsed="false">
      <c r="B297" s="60"/>
      <c r="D297" s="58"/>
      <c r="E297" s="58"/>
      <c r="F297" s="58"/>
    </row>
    <row r="298" customFormat="false" ht="15" hidden="false" customHeight="false" outlineLevel="0" collapsed="false">
      <c r="B298" s="60"/>
      <c r="D298" s="58"/>
      <c r="E298" s="58"/>
      <c r="F298" s="58"/>
    </row>
    <row r="299" customFormat="false" ht="15" hidden="false" customHeight="false" outlineLevel="0" collapsed="false">
      <c r="B299" s="60"/>
      <c r="D299" s="58"/>
      <c r="E299" s="58"/>
      <c r="F299" s="58"/>
    </row>
    <row r="300" customFormat="false" ht="15" hidden="false" customHeight="false" outlineLevel="0" collapsed="false">
      <c r="B300" s="60"/>
      <c r="D300" s="58"/>
      <c r="E300" s="58"/>
      <c r="F300" s="58"/>
    </row>
    <row r="301" customFormat="false" ht="15" hidden="false" customHeight="false" outlineLevel="0" collapsed="false">
      <c r="B301" s="60"/>
      <c r="D301" s="58"/>
      <c r="E301" s="58"/>
      <c r="F301" s="58"/>
    </row>
    <row r="302" customFormat="false" ht="15" hidden="false" customHeight="false" outlineLevel="0" collapsed="false">
      <c r="B302" s="60"/>
      <c r="D302" s="58"/>
      <c r="E302" s="58"/>
      <c r="F302" s="58"/>
    </row>
    <row r="303" customFormat="false" ht="15" hidden="false" customHeight="false" outlineLevel="0" collapsed="false">
      <c r="B303" s="60"/>
      <c r="D303" s="58"/>
      <c r="E303" s="58"/>
      <c r="F303" s="58"/>
    </row>
    <row r="304" customFormat="false" ht="15" hidden="false" customHeight="false" outlineLevel="0" collapsed="false">
      <c r="B304" s="60"/>
      <c r="D304" s="58"/>
      <c r="E304" s="58"/>
      <c r="F304" s="58"/>
    </row>
    <row r="305" customFormat="false" ht="15" hidden="false" customHeight="false" outlineLevel="0" collapsed="false">
      <c r="B305" s="60"/>
      <c r="D305" s="58"/>
      <c r="E305" s="58"/>
      <c r="F305" s="58"/>
    </row>
    <row r="306" customFormat="false" ht="15" hidden="false" customHeight="false" outlineLevel="0" collapsed="false">
      <c r="B306" s="60"/>
      <c r="D306" s="58"/>
      <c r="E306" s="58"/>
      <c r="F306" s="58"/>
    </row>
    <row r="307" customFormat="false" ht="15" hidden="false" customHeight="false" outlineLevel="0" collapsed="false">
      <c r="B307" s="60"/>
      <c r="D307" s="58"/>
      <c r="E307" s="58"/>
      <c r="F307" s="58"/>
    </row>
    <row r="308" customFormat="false" ht="15" hidden="false" customHeight="false" outlineLevel="0" collapsed="false">
      <c r="B308" s="60"/>
      <c r="D308" s="58"/>
      <c r="E308" s="58"/>
      <c r="F308" s="58"/>
    </row>
    <row r="309" customFormat="false" ht="15" hidden="false" customHeight="false" outlineLevel="0" collapsed="false">
      <c r="B309" s="60"/>
      <c r="D309" s="58"/>
      <c r="E309" s="58"/>
      <c r="F309" s="58"/>
    </row>
    <row r="310" customFormat="false" ht="15" hidden="false" customHeight="false" outlineLevel="0" collapsed="false">
      <c r="B310" s="60"/>
      <c r="D310" s="58"/>
      <c r="E310" s="58"/>
      <c r="F310" s="58"/>
    </row>
    <row r="311" customFormat="false" ht="15" hidden="false" customHeight="false" outlineLevel="0" collapsed="false">
      <c r="B311" s="60"/>
      <c r="D311" s="58"/>
      <c r="E311" s="58"/>
      <c r="F311" s="58"/>
    </row>
    <row r="312" customFormat="false" ht="15" hidden="false" customHeight="false" outlineLevel="0" collapsed="false">
      <c r="B312" s="60"/>
      <c r="D312" s="58"/>
      <c r="E312" s="58"/>
      <c r="F312" s="58"/>
    </row>
    <row r="313" customFormat="false" ht="15" hidden="false" customHeight="false" outlineLevel="0" collapsed="false">
      <c r="B313" s="60"/>
      <c r="D313" s="58"/>
      <c r="E313" s="58"/>
      <c r="F313" s="58"/>
    </row>
    <row r="314" customFormat="false" ht="15" hidden="false" customHeight="false" outlineLevel="0" collapsed="false">
      <c r="B314" s="60"/>
      <c r="D314" s="58"/>
      <c r="E314" s="58"/>
      <c r="F314" s="58"/>
    </row>
    <row r="315" customFormat="false" ht="15" hidden="false" customHeight="false" outlineLevel="0" collapsed="false">
      <c r="B315" s="60"/>
      <c r="D315" s="58"/>
      <c r="E315" s="58"/>
      <c r="F315" s="58"/>
    </row>
    <row r="316" customFormat="false" ht="15" hidden="false" customHeight="false" outlineLevel="0" collapsed="false">
      <c r="B316" s="60"/>
      <c r="D316" s="58"/>
      <c r="E316" s="58"/>
      <c r="F316" s="58"/>
    </row>
    <row r="317" customFormat="false" ht="15" hidden="false" customHeight="false" outlineLevel="0" collapsed="false">
      <c r="B317" s="60"/>
      <c r="D317" s="58"/>
      <c r="E317" s="58"/>
      <c r="F317" s="58"/>
    </row>
    <row r="318" customFormat="false" ht="15" hidden="false" customHeight="false" outlineLevel="0" collapsed="false">
      <c r="B318" s="60"/>
      <c r="D318" s="58"/>
      <c r="E318" s="58"/>
      <c r="F318" s="58"/>
    </row>
    <row r="319" customFormat="false" ht="15" hidden="false" customHeight="false" outlineLevel="0" collapsed="false">
      <c r="B319" s="60"/>
      <c r="D319" s="58"/>
      <c r="E319" s="58"/>
      <c r="F319" s="58"/>
    </row>
    <row r="320" customFormat="false" ht="15" hidden="false" customHeight="false" outlineLevel="0" collapsed="false">
      <c r="B320" s="60"/>
      <c r="D320" s="58"/>
      <c r="E320" s="58"/>
      <c r="F320" s="58"/>
    </row>
    <row r="321" customFormat="false" ht="15" hidden="false" customHeight="false" outlineLevel="0" collapsed="false">
      <c r="B321" s="60"/>
      <c r="D321" s="58"/>
      <c r="E321" s="58"/>
      <c r="F321" s="58"/>
    </row>
    <row r="322" customFormat="false" ht="15" hidden="false" customHeight="false" outlineLevel="0" collapsed="false">
      <c r="B322" s="60"/>
      <c r="D322" s="58"/>
      <c r="E322" s="58"/>
      <c r="F322" s="58"/>
    </row>
    <row r="323" customFormat="false" ht="15" hidden="false" customHeight="false" outlineLevel="0" collapsed="false">
      <c r="B323" s="60"/>
      <c r="D323" s="58"/>
      <c r="E323" s="58"/>
      <c r="F323" s="58"/>
    </row>
    <row r="324" customFormat="false" ht="15" hidden="false" customHeight="false" outlineLevel="0" collapsed="false">
      <c r="B324" s="60"/>
      <c r="D324" s="58"/>
      <c r="E324" s="58"/>
      <c r="F324" s="58"/>
    </row>
    <row r="325" customFormat="false" ht="15" hidden="false" customHeight="false" outlineLevel="0" collapsed="false">
      <c r="B325" s="60"/>
      <c r="D325" s="58"/>
      <c r="E325" s="58"/>
      <c r="F325" s="58"/>
    </row>
    <row r="326" customFormat="false" ht="15" hidden="false" customHeight="false" outlineLevel="0" collapsed="false">
      <c r="B326" s="60"/>
      <c r="D326" s="58"/>
      <c r="E326" s="58"/>
      <c r="F326" s="58"/>
    </row>
    <row r="327" customFormat="false" ht="15" hidden="false" customHeight="false" outlineLevel="0" collapsed="false">
      <c r="B327" s="60"/>
      <c r="D327" s="58"/>
      <c r="E327" s="58"/>
      <c r="F327" s="58"/>
    </row>
    <row r="328" customFormat="false" ht="15" hidden="false" customHeight="false" outlineLevel="0" collapsed="false">
      <c r="B328" s="60"/>
      <c r="D328" s="58"/>
      <c r="E328" s="58"/>
      <c r="F328" s="58"/>
    </row>
    <row r="329" customFormat="false" ht="15" hidden="false" customHeight="false" outlineLevel="0" collapsed="false">
      <c r="B329" s="60"/>
      <c r="D329" s="58"/>
      <c r="E329" s="58"/>
      <c r="F329" s="58"/>
    </row>
    <row r="330" customFormat="false" ht="15" hidden="false" customHeight="false" outlineLevel="0" collapsed="false">
      <c r="B330" s="60"/>
      <c r="D330" s="58"/>
      <c r="E330" s="58"/>
      <c r="F330" s="58"/>
    </row>
    <row r="331" customFormat="false" ht="15" hidden="false" customHeight="false" outlineLevel="0" collapsed="false">
      <c r="B331" s="60"/>
      <c r="D331" s="58"/>
      <c r="E331" s="58"/>
      <c r="F331" s="58"/>
    </row>
    <row r="332" customFormat="false" ht="15" hidden="false" customHeight="false" outlineLevel="0" collapsed="false">
      <c r="B332" s="60"/>
      <c r="D332" s="58"/>
      <c r="E332" s="58"/>
      <c r="F332" s="58"/>
    </row>
    <row r="333" customFormat="false" ht="15" hidden="false" customHeight="false" outlineLevel="0" collapsed="false">
      <c r="B333" s="60"/>
      <c r="D333" s="58"/>
      <c r="E333" s="58"/>
      <c r="F333" s="58"/>
    </row>
    <row r="334" customFormat="false" ht="15" hidden="false" customHeight="false" outlineLevel="0" collapsed="false">
      <c r="B334" s="60"/>
      <c r="D334" s="58"/>
      <c r="E334" s="58"/>
      <c r="F334" s="58"/>
    </row>
    <row r="335" customFormat="false" ht="15" hidden="false" customHeight="false" outlineLevel="0" collapsed="false">
      <c r="B335" s="60"/>
      <c r="D335" s="58"/>
      <c r="E335" s="58"/>
      <c r="F335" s="58"/>
    </row>
    <row r="336" customFormat="false" ht="15" hidden="false" customHeight="false" outlineLevel="0" collapsed="false">
      <c r="B336" s="60"/>
      <c r="D336" s="58"/>
      <c r="E336" s="58"/>
      <c r="F336" s="58"/>
    </row>
    <row r="337" customFormat="false" ht="15" hidden="false" customHeight="false" outlineLevel="0" collapsed="false">
      <c r="B337" s="60"/>
      <c r="D337" s="58"/>
      <c r="E337" s="58"/>
      <c r="F337" s="58"/>
    </row>
    <row r="338" customFormat="false" ht="15" hidden="false" customHeight="false" outlineLevel="0" collapsed="false">
      <c r="B338" s="60"/>
      <c r="D338" s="58"/>
      <c r="E338" s="58"/>
      <c r="F338" s="58"/>
    </row>
    <row r="339" customFormat="false" ht="15" hidden="false" customHeight="false" outlineLevel="0" collapsed="false">
      <c r="B339" s="60"/>
      <c r="D339" s="58"/>
      <c r="E339" s="58"/>
      <c r="F339" s="58"/>
    </row>
    <row r="340" customFormat="false" ht="15" hidden="false" customHeight="false" outlineLevel="0" collapsed="false">
      <c r="B340" s="60"/>
      <c r="D340" s="58"/>
      <c r="E340" s="58"/>
      <c r="F340" s="58"/>
    </row>
    <row r="341" customFormat="false" ht="15" hidden="false" customHeight="false" outlineLevel="0" collapsed="false">
      <c r="B341" s="60"/>
      <c r="D341" s="58"/>
      <c r="E341" s="58"/>
      <c r="F341" s="58"/>
    </row>
    <row r="342" customFormat="false" ht="15" hidden="false" customHeight="false" outlineLevel="0" collapsed="false">
      <c r="B342" s="60"/>
      <c r="D342" s="58"/>
      <c r="E342" s="58"/>
      <c r="F342" s="58"/>
    </row>
    <row r="343" customFormat="false" ht="15" hidden="false" customHeight="false" outlineLevel="0" collapsed="false">
      <c r="B343" s="60"/>
      <c r="D343" s="58"/>
      <c r="E343" s="58"/>
      <c r="F343" s="58"/>
    </row>
    <row r="344" customFormat="false" ht="15" hidden="false" customHeight="false" outlineLevel="0" collapsed="false">
      <c r="B344" s="60"/>
      <c r="D344" s="58"/>
      <c r="E344" s="58"/>
      <c r="F344" s="58"/>
    </row>
    <row r="345" customFormat="false" ht="15" hidden="false" customHeight="false" outlineLevel="0" collapsed="false">
      <c r="B345" s="60"/>
      <c r="D345" s="58"/>
      <c r="E345" s="58"/>
      <c r="F345" s="58"/>
    </row>
    <row r="346" customFormat="false" ht="15" hidden="false" customHeight="false" outlineLevel="0" collapsed="false">
      <c r="B346" s="60"/>
      <c r="D346" s="58"/>
      <c r="E346" s="58"/>
      <c r="F346" s="58"/>
    </row>
    <row r="347" customFormat="false" ht="15" hidden="false" customHeight="false" outlineLevel="0" collapsed="false">
      <c r="B347" s="60"/>
      <c r="D347" s="58"/>
      <c r="E347" s="58"/>
      <c r="F347" s="58"/>
    </row>
    <row r="348" customFormat="false" ht="15" hidden="false" customHeight="false" outlineLevel="0" collapsed="false">
      <c r="B348" s="60"/>
      <c r="D348" s="58"/>
      <c r="E348" s="58"/>
      <c r="F348" s="58"/>
    </row>
    <row r="349" customFormat="false" ht="15" hidden="false" customHeight="false" outlineLevel="0" collapsed="false">
      <c r="B349" s="60"/>
      <c r="D349" s="58"/>
      <c r="E349" s="58"/>
      <c r="F349" s="58"/>
    </row>
    <row r="350" customFormat="false" ht="15" hidden="false" customHeight="false" outlineLevel="0" collapsed="false">
      <c r="B350" s="60"/>
      <c r="D350" s="58"/>
      <c r="E350" s="58"/>
      <c r="F350" s="58"/>
    </row>
    <row r="351" customFormat="false" ht="15" hidden="false" customHeight="false" outlineLevel="0" collapsed="false">
      <c r="B351" s="60"/>
      <c r="D351" s="58"/>
      <c r="E351" s="58"/>
      <c r="F351" s="58"/>
    </row>
    <row r="352" customFormat="false" ht="15" hidden="false" customHeight="false" outlineLevel="0" collapsed="false">
      <c r="B352" s="60"/>
      <c r="D352" s="58"/>
      <c r="E352" s="58"/>
      <c r="F352" s="58"/>
    </row>
    <row r="353" customFormat="false" ht="15" hidden="false" customHeight="false" outlineLevel="0" collapsed="false">
      <c r="B353" s="60"/>
      <c r="D353" s="58"/>
      <c r="E353" s="58"/>
      <c r="F353" s="58"/>
    </row>
    <row r="354" customFormat="false" ht="15" hidden="false" customHeight="false" outlineLevel="0" collapsed="false">
      <c r="B354" s="60"/>
      <c r="D354" s="58"/>
      <c r="E354" s="58"/>
      <c r="F354" s="58"/>
    </row>
    <row r="355" customFormat="false" ht="15" hidden="false" customHeight="false" outlineLevel="0" collapsed="false">
      <c r="B355" s="60"/>
      <c r="D355" s="58"/>
      <c r="E355" s="58"/>
      <c r="F355" s="58"/>
    </row>
    <row r="356" customFormat="false" ht="15" hidden="false" customHeight="false" outlineLevel="0" collapsed="false">
      <c r="B356" s="60"/>
      <c r="D356" s="58"/>
      <c r="E356" s="58"/>
      <c r="F356" s="58"/>
    </row>
    <row r="357" customFormat="false" ht="15" hidden="false" customHeight="false" outlineLevel="0" collapsed="false">
      <c r="B357" s="60"/>
      <c r="D357" s="58"/>
      <c r="E357" s="58"/>
      <c r="F357" s="58"/>
    </row>
    <row r="358" customFormat="false" ht="15" hidden="false" customHeight="false" outlineLevel="0" collapsed="false">
      <c r="B358" s="60"/>
      <c r="D358" s="58"/>
      <c r="E358" s="58"/>
      <c r="F358" s="58"/>
    </row>
    <row r="359" customFormat="false" ht="15" hidden="false" customHeight="false" outlineLevel="0" collapsed="false">
      <c r="B359" s="60"/>
      <c r="D359" s="58"/>
      <c r="E359" s="58"/>
      <c r="F359" s="58"/>
    </row>
    <row r="360" customFormat="false" ht="15" hidden="false" customHeight="false" outlineLevel="0" collapsed="false">
      <c r="B360" s="60"/>
      <c r="D360" s="58"/>
      <c r="E360" s="58"/>
      <c r="F360" s="58"/>
    </row>
    <row r="361" customFormat="false" ht="15" hidden="false" customHeight="false" outlineLevel="0" collapsed="false">
      <c r="B361" s="60"/>
      <c r="D361" s="58"/>
      <c r="E361" s="58"/>
      <c r="F361" s="58"/>
    </row>
    <row r="362" customFormat="false" ht="15" hidden="false" customHeight="false" outlineLevel="0" collapsed="false">
      <c r="B362" s="60"/>
      <c r="D362" s="58"/>
      <c r="E362" s="58"/>
      <c r="F362" s="58"/>
    </row>
    <row r="363" customFormat="false" ht="15" hidden="false" customHeight="false" outlineLevel="0" collapsed="false">
      <c r="B363" s="60"/>
      <c r="D363" s="58"/>
      <c r="E363" s="58"/>
      <c r="F363" s="58"/>
    </row>
    <row r="364" customFormat="false" ht="15" hidden="false" customHeight="false" outlineLevel="0" collapsed="false">
      <c r="B364" s="60"/>
      <c r="D364" s="58"/>
      <c r="E364" s="58"/>
      <c r="F364" s="58"/>
    </row>
    <row r="365" customFormat="false" ht="15" hidden="false" customHeight="false" outlineLevel="0" collapsed="false">
      <c r="B365" s="60"/>
      <c r="D365" s="58"/>
      <c r="E365" s="58"/>
      <c r="F365" s="58"/>
    </row>
    <row r="366" customFormat="false" ht="15" hidden="false" customHeight="false" outlineLevel="0" collapsed="false">
      <c r="B366" s="60"/>
      <c r="D366" s="58"/>
      <c r="E366" s="58"/>
      <c r="F366" s="58"/>
    </row>
    <row r="367" customFormat="false" ht="15" hidden="false" customHeight="false" outlineLevel="0" collapsed="false">
      <c r="B367" s="60"/>
      <c r="D367" s="58"/>
      <c r="E367" s="58"/>
      <c r="F367" s="58"/>
    </row>
    <row r="368" customFormat="false" ht="15" hidden="false" customHeight="false" outlineLevel="0" collapsed="false">
      <c r="B368" s="60"/>
      <c r="D368" s="58"/>
      <c r="E368" s="58"/>
      <c r="F368" s="58"/>
    </row>
    <row r="369" customFormat="false" ht="15" hidden="false" customHeight="false" outlineLevel="0" collapsed="false">
      <c r="B369" s="60"/>
      <c r="D369" s="58"/>
      <c r="E369" s="58"/>
      <c r="F369" s="58"/>
    </row>
    <row r="370" customFormat="false" ht="15" hidden="false" customHeight="false" outlineLevel="0" collapsed="false">
      <c r="B370" s="60"/>
      <c r="D370" s="58"/>
      <c r="E370" s="58"/>
      <c r="F370" s="58"/>
    </row>
    <row r="371" customFormat="false" ht="15" hidden="false" customHeight="false" outlineLevel="0" collapsed="false">
      <c r="B371" s="60"/>
      <c r="D371" s="58"/>
      <c r="E371" s="58"/>
      <c r="F371" s="58"/>
    </row>
    <row r="372" customFormat="false" ht="15" hidden="false" customHeight="false" outlineLevel="0" collapsed="false">
      <c r="B372" s="60"/>
      <c r="D372" s="58"/>
      <c r="E372" s="58"/>
      <c r="F372" s="58"/>
    </row>
    <row r="373" customFormat="false" ht="15" hidden="false" customHeight="false" outlineLevel="0" collapsed="false">
      <c r="B373" s="60"/>
      <c r="D373" s="58"/>
      <c r="E373" s="58"/>
      <c r="F373" s="58"/>
    </row>
    <row r="374" customFormat="false" ht="15" hidden="false" customHeight="false" outlineLevel="0" collapsed="false">
      <c r="B374" s="60"/>
      <c r="D374" s="58"/>
      <c r="E374" s="58"/>
      <c r="F374" s="58"/>
    </row>
    <row r="375" customFormat="false" ht="15" hidden="false" customHeight="false" outlineLevel="0" collapsed="false">
      <c r="B375" s="60"/>
      <c r="D375" s="58"/>
      <c r="E375" s="58"/>
      <c r="F375" s="58"/>
    </row>
    <row r="376" customFormat="false" ht="15" hidden="false" customHeight="false" outlineLevel="0" collapsed="false">
      <c r="B376" s="60"/>
      <c r="D376" s="58"/>
      <c r="E376" s="58"/>
      <c r="F376" s="58"/>
    </row>
    <row r="377" customFormat="false" ht="15" hidden="false" customHeight="false" outlineLevel="0" collapsed="false">
      <c r="B377" s="60"/>
      <c r="D377" s="58"/>
      <c r="E377" s="58"/>
      <c r="F377" s="58"/>
    </row>
    <row r="378" customFormat="false" ht="15" hidden="false" customHeight="false" outlineLevel="0" collapsed="false">
      <c r="B378" s="60"/>
      <c r="D378" s="58"/>
      <c r="E378" s="58"/>
      <c r="F378" s="58"/>
    </row>
    <row r="379" customFormat="false" ht="15" hidden="false" customHeight="false" outlineLevel="0" collapsed="false">
      <c r="B379" s="60"/>
      <c r="D379" s="58"/>
      <c r="E379" s="58"/>
      <c r="F379" s="58"/>
    </row>
    <row r="380" customFormat="false" ht="15" hidden="false" customHeight="false" outlineLevel="0" collapsed="false">
      <c r="B380" s="60"/>
      <c r="D380" s="58"/>
      <c r="E380" s="58"/>
      <c r="F380" s="58"/>
    </row>
    <row r="381" customFormat="false" ht="15" hidden="false" customHeight="false" outlineLevel="0" collapsed="false">
      <c r="B381" s="60"/>
      <c r="D381" s="58"/>
      <c r="E381" s="58"/>
      <c r="F381" s="58"/>
    </row>
    <row r="382" customFormat="false" ht="15" hidden="false" customHeight="false" outlineLevel="0" collapsed="false">
      <c r="B382" s="60"/>
      <c r="D382" s="58"/>
      <c r="E382" s="58"/>
      <c r="F382" s="58"/>
    </row>
    <row r="383" customFormat="false" ht="15" hidden="false" customHeight="false" outlineLevel="0" collapsed="false">
      <c r="B383" s="60"/>
      <c r="D383" s="58"/>
      <c r="E383" s="58"/>
      <c r="F383" s="58"/>
    </row>
    <row r="384" customFormat="false" ht="15" hidden="false" customHeight="false" outlineLevel="0" collapsed="false">
      <c r="B384" s="60"/>
      <c r="D384" s="58"/>
      <c r="E384" s="58"/>
      <c r="F384" s="58"/>
    </row>
    <row r="385" customFormat="false" ht="15" hidden="false" customHeight="false" outlineLevel="0" collapsed="false">
      <c r="B385" s="60"/>
      <c r="D385" s="58"/>
      <c r="E385" s="58"/>
      <c r="F385" s="58"/>
    </row>
    <row r="386" customFormat="false" ht="15" hidden="false" customHeight="false" outlineLevel="0" collapsed="false">
      <c r="B386" s="60"/>
      <c r="D386" s="58"/>
      <c r="E386" s="58"/>
      <c r="F386" s="58"/>
    </row>
    <row r="387" customFormat="false" ht="15" hidden="false" customHeight="false" outlineLevel="0" collapsed="false">
      <c r="B387" s="60"/>
      <c r="D387" s="58"/>
      <c r="E387" s="58"/>
      <c r="F387" s="58"/>
    </row>
    <row r="388" customFormat="false" ht="15" hidden="false" customHeight="false" outlineLevel="0" collapsed="false">
      <c r="B388" s="60"/>
      <c r="D388" s="58"/>
      <c r="E388" s="58"/>
      <c r="F388" s="58"/>
    </row>
    <row r="389" customFormat="false" ht="15" hidden="false" customHeight="false" outlineLevel="0" collapsed="false">
      <c r="B389" s="60"/>
      <c r="D389" s="58"/>
      <c r="E389" s="58"/>
      <c r="F389" s="58"/>
    </row>
    <row r="390" customFormat="false" ht="15" hidden="false" customHeight="false" outlineLevel="0" collapsed="false">
      <c r="B390" s="60"/>
      <c r="D390" s="58"/>
      <c r="E390" s="58"/>
      <c r="F390" s="58"/>
    </row>
    <row r="391" customFormat="false" ht="15" hidden="false" customHeight="false" outlineLevel="0" collapsed="false">
      <c r="B391" s="60"/>
      <c r="D391" s="58"/>
      <c r="E391" s="58"/>
      <c r="F391" s="58"/>
    </row>
    <row r="392" customFormat="false" ht="15" hidden="false" customHeight="false" outlineLevel="0" collapsed="false">
      <c r="B392" s="60"/>
      <c r="D392" s="58"/>
      <c r="E392" s="58"/>
      <c r="F392" s="58"/>
    </row>
    <row r="393" customFormat="false" ht="15" hidden="false" customHeight="false" outlineLevel="0" collapsed="false">
      <c r="B393" s="60"/>
      <c r="D393" s="58"/>
      <c r="E393" s="58"/>
      <c r="F393" s="58"/>
    </row>
    <row r="394" customFormat="false" ht="15" hidden="false" customHeight="false" outlineLevel="0" collapsed="false">
      <c r="B394" s="60"/>
      <c r="D394" s="58"/>
      <c r="E394" s="58"/>
      <c r="F394" s="58"/>
    </row>
    <row r="395" customFormat="false" ht="15" hidden="false" customHeight="false" outlineLevel="0" collapsed="false">
      <c r="B395" s="60"/>
      <c r="D395" s="58"/>
      <c r="E395" s="58"/>
      <c r="F395" s="58"/>
    </row>
    <row r="396" customFormat="false" ht="15" hidden="false" customHeight="false" outlineLevel="0" collapsed="false">
      <c r="B396" s="60"/>
      <c r="D396" s="58"/>
      <c r="E396" s="58"/>
      <c r="F396" s="58"/>
    </row>
    <row r="397" customFormat="false" ht="15" hidden="false" customHeight="false" outlineLevel="0" collapsed="false">
      <c r="B397" s="60"/>
      <c r="D397" s="58"/>
      <c r="E397" s="58"/>
      <c r="F397" s="58"/>
    </row>
    <row r="398" customFormat="false" ht="15" hidden="false" customHeight="false" outlineLevel="0" collapsed="false">
      <c r="B398" s="60"/>
      <c r="D398" s="58"/>
      <c r="E398" s="58"/>
      <c r="F398" s="58"/>
    </row>
    <row r="399" customFormat="false" ht="15" hidden="false" customHeight="false" outlineLevel="0" collapsed="false">
      <c r="B399" s="60"/>
      <c r="D399" s="58"/>
      <c r="E399" s="58"/>
      <c r="F399" s="58"/>
    </row>
    <row r="400" customFormat="false" ht="15" hidden="false" customHeight="false" outlineLevel="0" collapsed="false">
      <c r="B400" s="60"/>
      <c r="D400" s="58"/>
      <c r="E400" s="58"/>
      <c r="F400" s="58"/>
    </row>
    <row r="401" customFormat="false" ht="15" hidden="false" customHeight="false" outlineLevel="0" collapsed="false">
      <c r="B401" s="60"/>
      <c r="D401" s="58"/>
      <c r="E401" s="58"/>
      <c r="F401" s="58"/>
    </row>
    <row r="402" customFormat="false" ht="15" hidden="false" customHeight="false" outlineLevel="0" collapsed="false">
      <c r="B402" s="60"/>
      <c r="D402" s="58"/>
      <c r="E402" s="58"/>
      <c r="F402" s="58"/>
    </row>
    <row r="403" customFormat="false" ht="15" hidden="false" customHeight="false" outlineLevel="0" collapsed="false">
      <c r="B403" s="60"/>
      <c r="D403" s="58"/>
      <c r="E403" s="58"/>
      <c r="F403" s="58"/>
    </row>
    <row r="404" customFormat="false" ht="15" hidden="false" customHeight="false" outlineLevel="0" collapsed="false">
      <c r="B404" s="60"/>
      <c r="D404" s="58"/>
      <c r="E404" s="58"/>
      <c r="F404" s="58"/>
    </row>
    <row r="405" customFormat="false" ht="15" hidden="false" customHeight="false" outlineLevel="0" collapsed="false">
      <c r="B405" s="60"/>
      <c r="D405" s="58"/>
      <c r="E405" s="58"/>
      <c r="F405" s="58"/>
    </row>
    <row r="406" customFormat="false" ht="15" hidden="false" customHeight="false" outlineLevel="0" collapsed="false">
      <c r="B406" s="60"/>
      <c r="D406" s="58"/>
      <c r="E406" s="58"/>
      <c r="F406" s="58"/>
    </row>
    <row r="407" customFormat="false" ht="15" hidden="false" customHeight="false" outlineLevel="0" collapsed="false">
      <c r="B407" s="60"/>
      <c r="D407" s="58"/>
      <c r="E407" s="58"/>
      <c r="F407" s="58"/>
    </row>
    <row r="408" customFormat="false" ht="15" hidden="false" customHeight="false" outlineLevel="0" collapsed="false">
      <c r="B408" s="60"/>
      <c r="D408" s="58"/>
      <c r="E408" s="58"/>
      <c r="F408" s="58"/>
    </row>
    <row r="409" customFormat="false" ht="15" hidden="false" customHeight="false" outlineLevel="0" collapsed="false">
      <c r="B409" s="60"/>
      <c r="D409" s="58"/>
      <c r="E409" s="58"/>
      <c r="F409" s="58"/>
    </row>
    <row r="410" customFormat="false" ht="15" hidden="false" customHeight="false" outlineLevel="0" collapsed="false">
      <c r="B410" s="60"/>
      <c r="D410" s="58"/>
      <c r="E410" s="58"/>
      <c r="F410" s="58"/>
    </row>
    <row r="411" customFormat="false" ht="15" hidden="false" customHeight="false" outlineLevel="0" collapsed="false">
      <c r="B411" s="60"/>
      <c r="D411" s="58"/>
      <c r="E411" s="58"/>
      <c r="F411" s="58"/>
    </row>
    <row r="412" customFormat="false" ht="15" hidden="false" customHeight="false" outlineLevel="0" collapsed="false">
      <c r="B412" s="60"/>
      <c r="D412" s="58"/>
      <c r="E412" s="58"/>
      <c r="F412" s="58"/>
    </row>
    <row r="413" customFormat="false" ht="15" hidden="false" customHeight="false" outlineLevel="0" collapsed="false">
      <c r="B413" s="60"/>
      <c r="D413" s="58"/>
      <c r="E413" s="58"/>
      <c r="F413" s="58"/>
    </row>
    <row r="414" customFormat="false" ht="15" hidden="false" customHeight="false" outlineLevel="0" collapsed="false">
      <c r="B414" s="60"/>
      <c r="D414" s="58"/>
      <c r="E414" s="58"/>
      <c r="F414" s="58"/>
    </row>
    <row r="415" customFormat="false" ht="15" hidden="false" customHeight="false" outlineLevel="0" collapsed="false">
      <c r="B415" s="60"/>
      <c r="D415" s="58"/>
      <c r="E415" s="58"/>
      <c r="F415" s="58"/>
    </row>
    <row r="416" customFormat="false" ht="15" hidden="false" customHeight="false" outlineLevel="0" collapsed="false">
      <c r="B416" s="60"/>
      <c r="D416" s="58"/>
      <c r="E416" s="58"/>
      <c r="F416" s="58"/>
    </row>
    <row r="417" customFormat="false" ht="15" hidden="false" customHeight="false" outlineLevel="0" collapsed="false">
      <c r="B417" s="60"/>
      <c r="D417" s="58"/>
      <c r="E417" s="58"/>
      <c r="F417" s="58"/>
    </row>
    <row r="418" customFormat="false" ht="15" hidden="false" customHeight="false" outlineLevel="0" collapsed="false">
      <c r="B418" s="60"/>
      <c r="D418" s="58"/>
      <c r="E418" s="58"/>
      <c r="F418" s="58"/>
    </row>
    <row r="419" customFormat="false" ht="15" hidden="false" customHeight="false" outlineLevel="0" collapsed="false">
      <c r="B419" s="60"/>
      <c r="D419" s="58"/>
      <c r="E419" s="58"/>
      <c r="F419" s="58"/>
    </row>
    <row r="420" customFormat="false" ht="15" hidden="false" customHeight="false" outlineLevel="0" collapsed="false">
      <c r="B420" s="60"/>
      <c r="D420" s="58"/>
      <c r="E420" s="58"/>
      <c r="F420" s="58"/>
    </row>
    <row r="421" customFormat="false" ht="15" hidden="false" customHeight="false" outlineLevel="0" collapsed="false">
      <c r="B421" s="60"/>
      <c r="D421" s="58"/>
      <c r="E421" s="58"/>
      <c r="F421" s="58"/>
    </row>
    <row r="422" customFormat="false" ht="15" hidden="false" customHeight="false" outlineLevel="0" collapsed="false">
      <c r="B422" s="60"/>
      <c r="D422" s="58"/>
      <c r="E422" s="58"/>
      <c r="F422" s="58"/>
    </row>
    <row r="423" customFormat="false" ht="15" hidden="false" customHeight="false" outlineLevel="0" collapsed="false">
      <c r="B423" s="60"/>
      <c r="D423" s="58"/>
      <c r="E423" s="58"/>
      <c r="F423" s="58"/>
    </row>
    <row r="424" customFormat="false" ht="15" hidden="false" customHeight="false" outlineLevel="0" collapsed="false">
      <c r="B424" s="60"/>
      <c r="D424" s="58"/>
      <c r="E424" s="58"/>
      <c r="F424" s="58"/>
    </row>
    <row r="425" customFormat="false" ht="15" hidden="false" customHeight="false" outlineLevel="0" collapsed="false">
      <c r="B425" s="60"/>
      <c r="D425" s="58"/>
      <c r="E425" s="58"/>
      <c r="F425" s="58"/>
    </row>
    <row r="426" customFormat="false" ht="15" hidden="false" customHeight="false" outlineLevel="0" collapsed="false">
      <c r="B426" s="60"/>
      <c r="D426" s="58"/>
      <c r="E426" s="58"/>
      <c r="F426" s="58"/>
    </row>
    <row r="427" customFormat="false" ht="15" hidden="false" customHeight="false" outlineLevel="0" collapsed="false">
      <c r="B427" s="60"/>
      <c r="D427" s="58"/>
      <c r="E427" s="58"/>
      <c r="F427" s="58"/>
    </row>
    <row r="428" customFormat="false" ht="15" hidden="false" customHeight="false" outlineLevel="0" collapsed="false">
      <c r="B428" s="60"/>
      <c r="D428" s="58"/>
      <c r="E428" s="58"/>
      <c r="F428" s="58"/>
    </row>
    <row r="429" customFormat="false" ht="15" hidden="false" customHeight="false" outlineLevel="0" collapsed="false">
      <c r="B429" s="60"/>
      <c r="D429" s="58"/>
      <c r="E429" s="58"/>
      <c r="F429" s="58"/>
    </row>
    <row r="430" customFormat="false" ht="15" hidden="false" customHeight="false" outlineLevel="0" collapsed="false">
      <c r="B430" s="60"/>
      <c r="D430" s="58"/>
      <c r="E430" s="58"/>
      <c r="F430" s="58"/>
    </row>
    <row r="431" customFormat="false" ht="15" hidden="false" customHeight="false" outlineLevel="0" collapsed="false">
      <c r="B431" s="60"/>
      <c r="D431" s="58"/>
      <c r="E431" s="58"/>
      <c r="F431" s="58"/>
    </row>
    <row r="432" customFormat="false" ht="15" hidden="false" customHeight="false" outlineLevel="0" collapsed="false">
      <c r="B432" s="60"/>
      <c r="D432" s="58"/>
      <c r="E432" s="58"/>
      <c r="F432" s="58"/>
    </row>
    <row r="433" customFormat="false" ht="15" hidden="false" customHeight="false" outlineLevel="0" collapsed="false">
      <c r="B433" s="60"/>
      <c r="D433" s="58"/>
      <c r="E433" s="58"/>
      <c r="F433" s="58"/>
    </row>
    <row r="434" customFormat="false" ht="15" hidden="false" customHeight="false" outlineLevel="0" collapsed="false">
      <c r="B434" s="60"/>
      <c r="D434" s="58"/>
      <c r="E434" s="58"/>
      <c r="F434" s="58"/>
    </row>
    <row r="435" customFormat="false" ht="15" hidden="false" customHeight="false" outlineLevel="0" collapsed="false">
      <c r="B435" s="60"/>
      <c r="D435" s="58"/>
      <c r="E435" s="58"/>
      <c r="F435" s="58"/>
    </row>
    <row r="436" customFormat="false" ht="15" hidden="false" customHeight="false" outlineLevel="0" collapsed="false">
      <c r="B436" s="60"/>
      <c r="D436" s="58"/>
      <c r="E436" s="58"/>
      <c r="F436" s="58"/>
    </row>
    <row r="437" customFormat="false" ht="15" hidden="false" customHeight="false" outlineLevel="0" collapsed="false">
      <c r="B437" s="60"/>
      <c r="D437" s="58"/>
      <c r="E437" s="58"/>
      <c r="F437" s="58"/>
    </row>
    <row r="438" customFormat="false" ht="15" hidden="false" customHeight="false" outlineLevel="0" collapsed="false">
      <c r="B438" s="60"/>
      <c r="D438" s="58"/>
      <c r="E438" s="58"/>
      <c r="F438" s="58"/>
    </row>
    <row r="439" customFormat="false" ht="15" hidden="false" customHeight="false" outlineLevel="0" collapsed="false">
      <c r="B439" s="60"/>
      <c r="D439" s="58"/>
      <c r="E439" s="58"/>
      <c r="F439" s="58"/>
    </row>
    <row r="440" customFormat="false" ht="15" hidden="false" customHeight="false" outlineLevel="0" collapsed="false">
      <c r="B440" s="60"/>
      <c r="D440" s="58"/>
      <c r="E440" s="58"/>
      <c r="F440" s="58"/>
    </row>
    <row r="441" customFormat="false" ht="15" hidden="false" customHeight="false" outlineLevel="0" collapsed="false">
      <c r="B441" s="60"/>
      <c r="D441" s="58"/>
      <c r="E441" s="58"/>
      <c r="F441" s="58"/>
    </row>
    <row r="442" customFormat="false" ht="15" hidden="false" customHeight="false" outlineLevel="0" collapsed="false">
      <c r="B442" s="60"/>
      <c r="D442" s="58"/>
      <c r="E442" s="58"/>
      <c r="F442" s="58"/>
    </row>
    <row r="443" customFormat="false" ht="15" hidden="false" customHeight="false" outlineLevel="0" collapsed="false">
      <c r="B443" s="60"/>
      <c r="D443" s="58"/>
      <c r="E443" s="58"/>
      <c r="F443" s="58"/>
    </row>
    <row r="444" customFormat="false" ht="15" hidden="false" customHeight="false" outlineLevel="0" collapsed="false">
      <c r="B444" s="60"/>
      <c r="D444" s="58"/>
      <c r="E444" s="58"/>
      <c r="F444" s="58"/>
    </row>
    <row r="445" customFormat="false" ht="15" hidden="false" customHeight="false" outlineLevel="0" collapsed="false">
      <c r="B445" s="60"/>
      <c r="D445" s="58"/>
      <c r="E445" s="58"/>
      <c r="F445" s="58"/>
    </row>
    <row r="446" customFormat="false" ht="15" hidden="false" customHeight="false" outlineLevel="0" collapsed="false">
      <c r="B446" s="60"/>
      <c r="D446" s="58"/>
      <c r="E446" s="58"/>
      <c r="F446" s="58"/>
    </row>
    <row r="447" customFormat="false" ht="15" hidden="false" customHeight="false" outlineLevel="0" collapsed="false">
      <c r="B447" s="60"/>
      <c r="D447" s="58"/>
      <c r="E447" s="58"/>
      <c r="F447" s="58"/>
    </row>
    <row r="448" customFormat="false" ht="15" hidden="false" customHeight="false" outlineLevel="0" collapsed="false">
      <c r="B448" s="60"/>
      <c r="D448" s="58"/>
      <c r="E448" s="58"/>
      <c r="F448" s="58"/>
    </row>
    <row r="449" customFormat="false" ht="15" hidden="false" customHeight="false" outlineLevel="0" collapsed="false">
      <c r="B449" s="60"/>
      <c r="D449" s="58"/>
      <c r="E449" s="58"/>
      <c r="F449" s="58"/>
    </row>
    <row r="450" customFormat="false" ht="15" hidden="false" customHeight="false" outlineLevel="0" collapsed="false">
      <c r="B450" s="60"/>
      <c r="D450" s="58"/>
      <c r="E450" s="58"/>
      <c r="F450" s="58"/>
    </row>
    <row r="451" customFormat="false" ht="15" hidden="false" customHeight="false" outlineLevel="0" collapsed="false">
      <c r="B451" s="60"/>
      <c r="D451" s="58"/>
      <c r="E451" s="58"/>
      <c r="F451" s="58"/>
    </row>
    <row r="452" customFormat="false" ht="15" hidden="false" customHeight="false" outlineLevel="0" collapsed="false">
      <c r="B452" s="60"/>
      <c r="D452" s="58"/>
      <c r="E452" s="58"/>
      <c r="F452" s="58"/>
    </row>
    <row r="453" customFormat="false" ht="15" hidden="false" customHeight="false" outlineLevel="0" collapsed="false">
      <c r="B453" s="60"/>
      <c r="D453" s="58"/>
      <c r="E453" s="58"/>
      <c r="F453" s="58"/>
    </row>
    <row r="454" customFormat="false" ht="15" hidden="false" customHeight="false" outlineLevel="0" collapsed="false">
      <c r="B454" s="60"/>
      <c r="D454" s="58"/>
      <c r="E454" s="58"/>
      <c r="F454" s="58"/>
    </row>
    <row r="455" customFormat="false" ht="15" hidden="false" customHeight="false" outlineLevel="0" collapsed="false">
      <c r="B455" s="60"/>
      <c r="D455" s="58"/>
      <c r="E455" s="58"/>
      <c r="F455" s="58"/>
    </row>
    <row r="456" customFormat="false" ht="15" hidden="false" customHeight="false" outlineLevel="0" collapsed="false">
      <c r="B456" s="60"/>
      <c r="D456" s="58"/>
      <c r="E456" s="58"/>
      <c r="F456" s="58"/>
    </row>
    <row r="457" customFormat="false" ht="15" hidden="false" customHeight="false" outlineLevel="0" collapsed="false">
      <c r="B457" s="60"/>
      <c r="D457" s="58"/>
      <c r="E457" s="58"/>
      <c r="F457" s="58"/>
    </row>
    <row r="458" customFormat="false" ht="15" hidden="false" customHeight="false" outlineLevel="0" collapsed="false">
      <c r="B458" s="60"/>
      <c r="D458" s="58"/>
      <c r="E458" s="58"/>
      <c r="F458" s="58"/>
    </row>
    <row r="459" customFormat="false" ht="15" hidden="false" customHeight="false" outlineLevel="0" collapsed="false">
      <c r="B459" s="60"/>
      <c r="D459" s="58"/>
      <c r="E459" s="58"/>
      <c r="F459" s="58"/>
    </row>
    <row r="460" customFormat="false" ht="15" hidden="false" customHeight="false" outlineLevel="0" collapsed="false">
      <c r="B460" s="60"/>
      <c r="D460" s="58"/>
      <c r="E460" s="58"/>
      <c r="F460" s="58"/>
    </row>
    <row r="461" customFormat="false" ht="15" hidden="false" customHeight="false" outlineLevel="0" collapsed="false">
      <c r="B461" s="60"/>
      <c r="D461" s="58"/>
      <c r="E461" s="58"/>
      <c r="F461" s="58"/>
    </row>
    <row r="462" customFormat="false" ht="15" hidden="false" customHeight="false" outlineLevel="0" collapsed="false">
      <c r="B462" s="60"/>
      <c r="D462" s="58"/>
      <c r="E462" s="58"/>
      <c r="F462" s="58"/>
    </row>
    <row r="463" customFormat="false" ht="15" hidden="false" customHeight="false" outlineLevel="0" collapsed="false">
      <c r="B463" s="60"/>
      <c r="D463" s="58"/>
      <c r="E463" s="58"/>
      <c r="F463" s="58"/>
    </row>
    <row r="464" customFormat="false" ht="15" hidden="false" customHeight="false" outlineLevel="0" collapsed="false">
      <c r="B464" s="60"/>
      <c r="D464" s="58"/>
      <c r="E464" s="58"/>
      <c r="F464" s="58"/>
    </row>
    <row r="465" customFormat="false" ht="15" hidden="false" customHeight="false" outlineLevel="0" collapsed="false">
      <c r="B465" s="60"/>
      <c r="D465" s="58"/>
      <c r="E465" s="58"/>
      <c r="F465" s="58"/>
    </row>
    <row r="466" customFormat="false" ht="15" hidden="false" customHeight="false" outlineLevel="0" collapsed="false">
      <c r="B466" s="60"/>
      <c r="D466" s="58"/>
      <c r="E466" s="58"/>
      <c r="F466" s="58"/>
    </row>
    <row r="467" customFormat="false" ht="15" hidden="false" customHeight="false" outlineLevel="0" collapsed="false">
      <c r="B467" s="60"/>
      <c r="D467" s="58"/>
      <c r="E467" s="58"/>
      <c r="F467" s="58"/>
    </row>
    <row r="468" customFormat="false" ht="15" hidden="false" customHeight="false" outlineLevel="0" collapsed="false">
      <c r="B468" s="60"/>
      <c r="D468" s="58"/>
      <c r="E468" s="58"/>
      <c r="F468" s="58"/>
    </row>
    <row r="469" customFormat="false" ht="15" hidden="false" customHeight="false" outlineLevel="0" collapsed="false">
      <c r="B469" s="60"/>
      <c r="D469" s="58"/>
      <c r="E469" s="58"/>
      <c r="F469" s="58"/>
    </row>
    <row r="470" customFormat="false" ht="15" hidden="false" customHeight="false" outlineLevel="0" collapsed="false">
      <c r="B470" s="60"/>
      <c r="D470" s="58"/>
      <c r="E470" s="58"/>
      <c r="F470" s="58"/>
    </row>
    <row r="471" customFormat="false" ht="15" hidden="false" customHeight="false" outlineLevel="0" collapsed="false">
      <c r="B471" s="60"/>
      <c r="D471" s="58"/>
      <c r="E471" s="58"/>
      <c r="F471" s="58"/>
    </row>
    <row r="472" customFormat="false" ht="15" hidden="false" customHeight="false" outlineLevel="0" collapsed="false">
      <c r="B472" s="60"/>
      <c r="D472" s="58"/>
      <c r="E472" s="58"/>
      <c r="F472" s="58"/>
    </row>
    <row r="473" customFormat="false" ht="15" hidden="false" customHeight="false" outlineLevel="0" collapsed="false">
      <c r="B473" s="60"/>
      <c r="D473" s="58"/>
      <c r="E473" s="58"/>
      <c r="F473" s="58"/>
    </row>
    <row r="474" customFormat="false" ht="15" hidden="false" customHeight="false" outlineLevel="0" collapsed="false">
      <c r="B474" s="60"/>
      <c r="D474" s="58"/>
      <c r="E474" s="58"/>
      <c r="F474" s="58"/>
    </row>
    <row r="475" customFormat="false" ht="15" hidden="false" customHeight="false" outlineLevel="0" collapsed="false">
      <c r="B475" s="60"/>
      <c r="D475" s="58"/>
      <c r="E475" s="58"/>
      <c r="F475" s="58"/>
    </row>
    <row r="476" customFormat="false" ht="15" hidden="false" customHeight="false" outlineLevel="0" collapsed="false">
      <c r="B476" s="60"/>
      <c r="D476" s="58"/>
      <c r="E476" s="58"/>
      <c r="F476" s="58"/>
    </row>
    <row r="477" customFormat="false" ht="15" hidden="false" customHeight="false" outlineLevel="0" collapsed="false">
      <c r="B477" s="60"/>
      <c r="D477" s="58"/>
      <c r="E477" s="58"/>
      <c r="F477" s="58"/>
    </row>
    <row r="478" customFormat="false" ht="15" hidden="false" customHeight="false" outlineLevel="0" collapsed="false">
      <c r="B478" s="60"/>
      <c r="D478" s="58"/>
      <c r="E478" s="58"/>
      <c r="F478" s="58"/>
    </row>
    <row r="479" customFormat="false" ht="15" hidden="false" customHeight="false" outlineLevel="0" collapsed="false">
      <c r="B479" s="60"/>
      <c r="D479" s="58"/>
      <c r="E479" s="58"/>
      <c r="F479" s="58"/>
    </row>
    <row r="480" customFormat="false" ht="15" hidden="false" customHeight="false" outlineLevel="0" collapsed="false">
      <c r="B480" s="60"/>
      <c r="D480" s="58"/>
      <c r="E480" s="58"/>
      <c r="F480" s="58"/>
    </row>
    <row r="481" customFormat="false" ht="15" hidden="false" customHeight="false" outlineLevel="0" collapsed="false">
      <c r="B481" s="60"/>
      <c r="D481" s="58"/>
      <c r="E481" s="58"/>
      <c r="F481" s="58"/>
    </row>
    <row r="482" customFormat="false" ht="15" hidden="false" customHeight="false" outlineLevel="0" collapsed="false">
      <c r="B482" s="60"/>
      <c r="D482" s="58"/>
      <c r="E482" s="58"/>
      <c r="F482" s="58"/>
    </row>
    <row r="483" customFormat="false" ht="15" hidden="false" customHeight="false" outlineLevel="0" collapsed="false">
      <c r="B483" s="60"/>
      <c r="D483" s="58"/>
      <c r="E483" s="58"/>
      <c r="F483" s="58"/>
    </row>
    <row r="484" customFormat="false" ht="15" hidden="false" customHeight="false" outlineLevel="0" collapsed="false">
      <c r="B484" s="60"/>
      <c r="D484" s="58"/>
      <c r="E484" s="58"/>
      <c r="F484" s="58"/>
    </row>
    <row r="485" customFormat="false" ht="15" hidden="false" customHeight="false" outlineLevel="0" collapsed="false">
      <c r="B485" s="60"/>
      <c r="D485" s="58"/>
      <c r="E485" s="58"/>
      <c r="F485" s="58"/>
    </row>
    <row r="486" customFormat="false" ht="15" hidden="false" customHeight="false" outlineLevel="0" collapsed="false">
      <c r="B486" s="60"/>
      <c r="D486" s="58"/>
      <c r="E486" s="58"/>
      <c r="F486" s="58"/>
    </row>
    <row r="487" customFormat="false" ht="15" hidden="false" customHeight="false" outlineLevel="0" collapsed="false">
      <c r="B487" s="60"/>
      <c r="D487" s="58"/>
      <c r="E487" s="58"/>
      <c r="F487" s="58"/>
    </row>
    <row r="488" customFormat="false" ht="15" hidden="false" customHeight="false" outlineLevel="0" collapsed="false">
      <c r="B488" s="60"/>
      <c r="D488" s="58"/>
      <c r="E488" s="58"/>
      <c r="F488" s="58"/>
    </row>
    <row r="489" customFormat="false" ht="15" hidden="false" customHeight="false" outlineLevel="0" collapsed="false">
      <c r="B489" s="60"/>
      <c r="D489" s="58"/>
      <c r="E489" s="58"/>
      <c r="F489" s="58"/>
    </row>
    <row r="490" customFormat="false" ht="15" hidden="false" customHeight="false" outlineLevel="0" collapsed="false">
      <c r="B490" s="60"/>
      <c r="D490" s="58"/>
      <c r="E490" s="58"/>
      <c r="F490" s="58"/>
    </row>
    <row r="491" customFormat="false" ht="15" hidden="false" customHeight="false" outlineLevel="0" collapsed="false">
      <c r="B491" s="60"/>
      <c r="D491" s="58"/>
      <c r="E491" s="58"/>
      <c r="F491" s="58"/>
    </row>
    <row r="492" customFormat="false" ht="15" hidden="false" customHeight="false" outlineLevel="0" collapsed="false">
      <c r="B492" s="60"/>
      <c r="D492" s="58"/>
      <c r="E492" s="58"/>
      <c r="F492" s="58"/>
    </row>
    <row r="493" customFormat="false" ht="15" hidden="false" customHeight="false" outlineLevel="0" collapsed="false">
      <c r="B493" s="60"/>
      <c r="D493" s="58"/>
      <c r="E493" s="58"/>
      <c r="F493" s="58"/>
    </row>
    <row r="494" customFormat="false" ht="15" hidden="false" customHeight="false" outlineLevel="0" collapsed="false">
      <c r="B494" s="60"/>
      <c r="D494" s="58"/>
      <c r="E494" s="58"/>
      <c r="F494" s="58"/>
    </row>
    <row r="495" customFormat="false" ht="15" hidden="false" customHeight="false" outlineLevel="0" collapsed="false">
      <c r="B495" s="60"/>
      <c r="D495" s="58"/>
      <c r="E495" s="58"/>
      <c r="F495" s="58"/>
    </row>
    <row r="496" customFormat="false" ht="15" hidden="false" customHeight="false" outlineLevel="0" collapsed="false">
      <c r="B496" s="60"/>
      <c r="D496" s="58"/>
      <c r="E496" s="58"/>
      <c r="F496" s="58"/>
    </row>
    <row r="497" customFormat="false" ht="15" hidden="false" customHeight="false" outlineLevel="0" collapsed="false">
      <c r="B497" s="60"/>
      <c r="D497" s="58"/>
      <c r="E497" s="58"/>
      <c r="F497" s="58"/>
    </row>
    <row r="498" customFormat="false" ht="15" hidden="false" customHeight="false" outlineLevel="0" collapsed="false">
      <c r="B498" s="60"/>
      <c r="D498" s="58"/>
      <c r="E498" s="58"/>
      <c r="F498" s="58"/>
    </row>
    <row r="499" customFormat="false" ht="15" hidden="false" customHeight="false" outlineLevel="0" collapsed="false">
      <c r="B499" s="60"/>
      <c r="D499" s="58"/>
      <c r="E499" s="58"/>
      <c r="F499" s="58"/>
    </row>
    <row r="500" customFormat="false" ht="15" hidden="false" customHeight="false" outlineLevel="0" collapsed="false">
      <c r="B500" s="60"/>
      <c r="D500" s="58"/>
      <c r="E500" s="58"/>
      <c r="F500" s="58"/>
    </row>
    <row r="501" customFormat="false" ht="15" hidden="false" customHeight="false" outlineLevel="0" collapsed="false">
      <c r="B501" s="60"/>
      <c r="D501" s="58"/>
      <c r="E501" s="58"/>
      <c r="F501" s="58"/>
    </row>
    <row r="502" customFormat="false" ht="15" hidden="false" customHeight="false" outlineLevel="0" collapsed="false">
      <c r="B502" s="60"/>
      <c r="D502" s="58"/>
      <c r="E502" s="58"/>
      <c r="F502" s="58"/>
    </row>
    <row r="503" customFormat="false" ht="15" hidden="false" customHeight="false" outlineLevel="0" collapsed="false">
      <c r="B503" s="60"/>
      <c r="D503" s="58"/>
      <c r="E503" s="58"/>
      <c r="F503" s="58"/>
    </row>
    <row r="504" customFormat="false" ht="15" hidden="false" customHeight="false" outlineLevel="0" collapsed="false">
      <c r="B504" s="60"/>
      <c r="D504" s="58"/>
      <c r="E504" s="58"/>
      <c r="F504" s="58"/>
    </row>
    <row r="505" customFormat="false" ht="15" hidden="false" customHeight="false" outlineLevel="0" collapsed="false">
      <c r="B505" s="60"/>
      <c r="D505" s="58"/>
      <c r="E505" s="58"/>
      <c r="F505" s="58"/>
    </row>
    <row r="506" customFormat="false" ht="15" hidden="false" customHeight="false" outlineLevel="0" collapsed="false">
      <c r="B506" s="60"/>
      <c r="D506" s="58"/>
      <c r="E506" s="58"/>
      <c r="F506" s="58"/>
    </row>
    <row r="507" customFormat="false" ht="15" hidden="false" customHeight="false" outlineLevel="0" collapsed="false">
      <c r="B507" s="60"/>
      <c r="D507" s="58"/>
      <c r="E507" s="58"/>
      <c r="F507" s="58"/>
    </row>
    <row r="508" customFormat="false" ht="15" hidden="false" customHeight="false" outlineLevel="0" collapsed="false">
      <c r="B508" s="60"/>
      <c r="D508" s="58"/>
      <c r="E508" s="58"/>
      <c r="F508" s="58"/>
    </row>
    <row r="509" customFormat="false" ht="15" hidden="false" customHeight="false" outlineLevel="0" collapsed="false">
      <c r="B509" s="60"/>
      <c r="D509" s="58"/>
      <c r="E509" s="58"/>
      <c r="F509" s="58"/>
    </row>
    <row r="510" customFormat="false" ht="15" hidden="false" customHeight="false" outlineLevel="0" collapsed="false">
      <c r="B510" s="60"/>
      <c r="D510" s="58"/>
      <c r="E510" s="58"/>
      <c r="F510" s="58"/>
    </row>
    <row r="511" customFormat="false" ht="15" hidden="false" customHeight="false" outlineLevel="0" collapsed="false">
      <c r="B511" s="60"/>
      <c r="D511" s="58"/>
      <c r="E511" s="58"/>
      <c r="F511" s="58"/>
    </row>
    <row r="512" customFormat="false" ht="15" hidden="false" customHeight="false" outlineLevel="0" collapsed="false">
      <c r="B512" s="60"/>
      <c r="D512" s="58"/>
      <c r="E512" s="58"/>
      <c r="F512" s="58"/>
    </row>
    <row r="513" customFormat="false" ht="15" hidden="false" customHeight="false" outlineLevel="0" collapsed="false">
      <c r="B513" s="60"/>
      <c r="D513" s="58"/>
      <c r="E513" s="58"/>
      <c r="F513" s="58"/>
    </row>
    <row r="514" customFormat="false" ht="15" hidden="false" customHeight="false" outlineLevel="0" collapsed="false">
      <c r="B514" s="60"/>
      <c r="D514" s="58"/>
      <c r="E514" s="58"/>
      <c r="F514" s="58"/>
    </row>
    <row r="515" customFormat="false" ht="15" hidden="false" customHeight="false" outlineLevel="0" collapsed="false">
      <c r="B515" s="60"/>
      <c r="D515" s="58"/>
      <c r="E515" s="58"/>
      <c r="F515" s="58"/>
    </row>
    <row r="516" customFormat="false" ht="15" hidden="false" customHeight="false" outlineLevel="0" collapsed="false">
      <c r="B516" s="60"/>
      <c r="D516" s="58"/>
      <c r="E516" s="58"/>
      <c r="F516" s="58"/>
    </row>
    <row r="517" customFormat="false" ht="15" hidden="false" customHeight="false" outlineLevel="0" collapsed="false">
      <c r="B517" s="60"/>
      <c r="D517" s="58"/>
      <c r="E517" s="58"/>
      <c r="F517" s="58"/>
    </row>
    <row r="518" customFormat="false" ht="15" hidden="false" customHeight="false" outlineLevel="0" collapsed="false">
      <c r="B518" s="60"/>
      <c r="D518" s="58"/>
      <c r="E518" s="58"/>
      <c r="F518" s="58"/>
    </row>
    <row r="519" customFormat="false" ht="15" hidden="false" customHeight="false" outlineLevel="0" collapsed="false">
      <c r="B519" s="60"/>
      <c r="D519" s="58"/>
      <c r="E519" s="58"/>
      <c r="F519" s="58"/>
    </row>
    <row r="520" customFormat="false" ht="15" hidden="false" customHeight="false" outlineLevel="0" collapsed="false">
      <c r="B520" s="60"/>
      <c r="D520" s="58"/>
      <c r="E520" s="58"/>
      <c r="F520" s="58"/>
    </row>
    <row r="521" customFormat="false" ht="15" hidden="false" customHeight="false" outlineLevel="0" collapsed="false">
      <c r="B521" s="60"/>
      <c r="D521" s="58"/>
      <c r="E521" s="58"/>
      <c r="F521" s="58"/>
    </row>
    <row r="522" customFormat="false" ht="15" hidden="false" customHeight="false" outlineLevel="0" collapsed="false">
      <c r="B522" s="60"/>
      <c r="D522" s="58"/>
      <c r="E522" s="58"/>
      <c r="F522" s="58"/>
    </row>
    <row r="523" customFormat="false" ht="15" hidden="false" customHeight="false" outlineLevel="0" collapsed="false">
      <c r="B523" s="60"/>
      <c r="D523" s="58"/>
      <c r="E523" s="58"/>
      <c r="F523" s="58"/>
    </row>
    <row r="524" customFormat="false" ht="15" hidden="false" customHeight="false" outlineLevel="0" collapsed="false">
      <c r="B524" s="60"/>
      <c r="D524" s="58"/>
      <c r="E524" s="58"/>
      <c r="F524" s="58"/>
    </row>
    <row r="525" customFormat="false" ht="15" hidden="false" customHeight="false" outlineLevel="0" collapsed="false">
      <c r="B525" s="60"/>
      <c r="D525" s="58"/>
      <c r="E525" s="58"/>
      <c r="F525" s="58"/>
    </row>
    <row r="526" customFormat="false" ht="15" hidden="false" customHeight="false" outlineLevel="0" collapsed="false">
      <c r="B526" s="60"/>
      <c r="D526" s="58"/>
      <c r="E526" s="58"/>
      <c r="F526" s="58"/>
    </row>
    <row r="527" customFormat="false" ht="15" hidden="false" customHeight="false" outlineLevel="0" collapsed="false">
      <c r="B527" s="60"/>
      <c r="D527" s="58"/>
      <c r="E527" s="58"/>
      <c r="F527" s="58"/>
    </row>
    <row r="528" customFormat="false" ht="15" hidden="false" customHeight="false" outlineLevel="0" collapsed="false">
      <c r="B528" s="60"/>
      <c r="D528" s="58"/>
      <c r="E528" s="58"/>
      <c r="F528" s="58"/>
    </row>
    <row r="529" customFormat="false" ht="15" hidden="false" customHeight="false" outlineLevel="0" collapsed="false">
      <c r="B529" s="60"/>
      <c r="D529" s="58"/>
      <c r="E529" s="58"/>
      <c r="F529" s="58"/>
    </row>
    <row r="530" customFormat="false" ht="15" hidden="false" customHeight="false" outlineLevel="0" collapsed="false">
      <c r="B530" s="60"/>
      <c r="D530" s="58"/>
      <c r="E530" s="58"/>
      <c r="F530" s="58"/>
    </row>
    <row r="531" customFormat="false" ht="15" hidden="false" customHeight="false" outlineLevel="0" collapsed="false">
      <c r="B531" s="60"/>
      <c r="D531" s="58"/>
      <c r="E531" s="58"/>
      <c r="F531" s="58"/>
    </row>
    <row r="532" customFormat="false" ht="15" hidden="false" customHeight="false" outlineLevel="0" collapsed="false">
      <c r="B532" s="60"/>
      <c r="D532" s="58"/>
      <c r="E532" s="58"/>
      <c r="F532" s="58"/>
    </row>
    <row r="533" customFormat="false" ht="15" hidden="false" customHeight="false" outlineLevel="0" collapsed="false">
      <c r="B533" s="60"/>
      <c r="D533" s="58"/>
      <c r="E533" s="58"/>
      <c r="F533" s="58"/>
    </row>
    <row r="534" customFormat="false" ht="15" hidden="false" customHeight="false" outlineLevel="0" collapsed="false">
      <c r="B534" s="60"/>
      <c r="D534" s="58"/>
      <c r="E534" s="58"/>
      <c r="F534" s="58"/>
    </row>
    <row r="535" customFormat="false" ht="15" hidden="false" customHeight="false" outlineLevel="0" collapsed="false">
      <c r="B535" s="60"/>
      <c r="D535" s="58"/>
      <c r="E535" s="58"/>
      <c r="F535" s="58"/>
    </row>
    <row r="536" customFormat="false" ht="15" hidden="false" customHeight="false" outlineLevel="0" collapsed="false">
      <c r="B536" s="60"/>
      <c r="D536" s="58"/>
      <c r="E536" s="58"/>
      <c r="F536" s="58"/>
    </row>
    <row r="537" customFormat="false" ht="15" hidden="false" customHeight="false" outlineLevel="0" collapsed="false">
      <c r="B537" s="60"/>
      <c r="D537" s="58"/>
      <c r="E537" s="58"/>
      <c r="F537" s="58"/>
    </row>
    <row r="538" customFormat="false" ht="15" hidden="false" customHeight="false" outlineLevel="0" collapsed="false">
      <c r="B538" s="60"/>
      <c r="D538" s="58"/>
      <c r="E538" s="58"/>
      <c r="F538" s="58"/>
    </row>
    <row r="539" customFormat="false" ht="15" hidden="false" customHeight="false" outlineLevel="0" collapsed="false">
      <c r="B539" s="60"/>
      <c r="D539" s="58"/>
      <c r="E539" s="58"/>
      <c r="F539" s="58"/>
    </row>
    <row r="540" customFormat="false" ht="15" hidden="false" customHeight="false" outlineLevel="0" collapsed="false">
      <c r="B540" s="60"/>
      <c r="D540" s="58"/>
      <c r="E540" s="58"/>
      <c r="F540" s="58"/>
    </row>
    <row r="541" customFormat="false" ht="15" hidden="false" customHeight="false" outlineLevel="0" collapsed="false">
      <c r="B541" s="60"/>
      <c r="D541" s="58"/>
      <c r="E541" s="58"/>
      <c r="F541" s="58"/>
    </row>
    <row r="542" customFormat="false" ht="15" hidden="false" customHeight="false" outlineLevel="0" collapsed="false">
      <c r="B542" s="60"/>
      <c r="D542" s="58"/>
      <c r="E542" s="58"/>
      <c r="F542" s="58"/>
    </row>
    <row r="543" customFormat="false" ht="15" hidden="false" customHeight="false" outlineLevel="0" collapsed="false">
      <c r="B543" s="60"/>
      <c r="D543" s="58"/>
      <c r="E543" s="58"/>
      <c r="F543" s="58"/>
    </row>
    <row r="544" customFormat="false" ht="15" hidden="false" customHeight="false" outlineLevel="0" collapsed="false">
      <c r="B544" s="60"/>
      <c r="D544" s="58"/>
      <c r="E544" s="58"/>
      <c r="F544" s="58"/>
    </row>
    <row r="545" customFormat="false" ht="15" hidden="false" customHeight="false" outlineLevel="0" collapsed="false">
      <c r="B545" s="60"/>
      <c r="D545" s="58"/>
      <c r="E545" s="58"/>
      <c r="F545" s="58"/>
    </row>
    <row r="546" customFormat="false" ht="15" hidden="false" customHeight="false" outlineLevel="0" collapsed="false">
      <c r="B546" s="60"/>
      <c r="D546" s="58"/>
      <c r="E546" s="58"/>
      <c r="F546" s="58"/>
    </row>
    <row r="547" customFormat="false" ht="15" hidden="false" customHeight="false" outlineLevel="0" collapsed="false">
      <c r="B547" s="60"/>
      <c r="D547" s="58"/>
      <c r="E547" s="58"/>
      <c r="F547" s="58"/>
    </row>
    <row r="548" customFormat="false" ht="15" hidden="false" customHeight="false" outlineLevel="0" collapsed="false">
      <c r="B548" s="60"/>
      <c r="D548" s="58"/>
      <c r="E548" s="58"/>
      <c r="F548" s="58"/>
    </row>
    <row r="549" customFormat="false" ht="15" hidden="false" customHeight="false" outlineLevel="0" collapsed="false">
      <c r="B549" s="60"/>
      <c r="D549" s="58"/>
      <c r="E549" s="58"/>
      <c r="F549" s="58"/>
    </row>
    <row r="550" customFormat="false" ht="15" hidden="false" customHeight="false" outlineLevel="0" collapsed="false">
      <c r="B550" s="60"/>
      <c r="D550" s="58"/>
      <c r="E550" s="58"/>
      <c r="F550" s="58"/>
    </row>
    <row r="551" customFormat="false" ht="15" hidden="false" customHeight="false" outlineLevel="0" collapsed="false">
      <c r="B551" s="60"/>
      <c r="D551" s="58"/>
      <c r="E551" s="58"/>
      <c r="F551" s="58"/>
    </row>
    <row r="552" customFormat="false" ht="15" hidden="false" customHeight="false" outlineLevel="0" collapsed="false">
      <c r="B552" s="60"/>
      <c r="D552" s="58"/>
      <c r="E552" s="58"/>
      <c r="F552" s="58"/>
    </row>
    <row r="553" customFormat="false" ht="15" hidden="false" customHeight="false" outlineLevel="0" collapsed="false">
      <c r="B553" s="60"/>
      <c r="D553" s="58"/>
      <c r="E553" s="58"/>
      <c r="F553" s="58"/>
    </row>
    <row r="554" customFormat="false" ht="15" hidden="false" customHeight="false" outlineLevel="0" collapsed="false">
      <c r="B554" s="60"/>
      <c r="D554" s="58"/>
      <c r="E554" s="58"/>
      <c r="F554" s="58"/>
    </row>
    <row r="555" customFormat="false" ht="15" hidden="false" customHeight="false" outlineLevel="0" collapsed="false">
      <c r="B555" s="60"/>
      <c r="D555" s="58"/>
      <c r="E555" s="58"/>
      <c r="F555" s="58"/>
    </row>
    <row r="556" customFormat="false" ht="15" hidden="false" customHeight="false" outlineLevel="0" collapsed="false">
      <c r="B556" s="60"/>
      <c r="D556" s="58"/>
      <c r="E556" s="58"/>
      <c r="F556" s="58"/>
    </row>
    <row r="557" customFormat="false" ht="15" hidden="false" customHeight="false" outlineLevel="0" collapsed="false">
      <c r="B557" s="60"/>
      <c r="D557" s="58"/>
      <c r="E557" s="58"/>
      <c r="F557" s="58"/>
    </row>
    <row r="558" customFormat="false" ht="15" hidden="false" customHeight="false" outlineLevel="0" collapsed="false">
      <c r="B558" s="60"/>
      <c r="D558" s="58"/>
      <c r="E558" s="58"/>
      <c r="F558" s="58"/>
    </row>
    <row r="559" customFormat="false" ht="15" hidden="false" customHeight="false" outlineLevel="0" collapsed="false">
      <c r="B559" s="60"/>
      <c r="D559" s="58"/>
      <c r="E559" s="58"/>
      <c r="F559" s="58"/>
    </row>
    <row r="560" customFormat="false" ht="15" hidden="false" customHeight="false" outlineLevel="0" collapsed="false">
      <c r="B560" s="60"/>
      <c r="D560" s="58"/>
      <c r="E560" s="58"/>
      <c r="F560" s="58"/>
    </row>
    <row r="561" customFormat="false" ht="15" hidden="false" customHeight="false" outlineLevel="0" collapsed="false">
      <c r="B561" s="60"/>
      <c r="D561" s="58"/>
      <c r="E561" s="58"/>
      <c r="F561" s="58"/>
    </row>
    <row r="562" customFormat="false" ht="15" hidden="false" customHeight="false" outlineLevel="0" collapsed="false">
      <c r="B562" s="60"/>
      <c r="D562" s="58"/>
      <c r="E562" s="58"/>
      <c r="F562" s="58"/>
    </row>
    <row r="563" customFormat="false" ht="15" hidden="false" customHeight="false" outlineLevel="0" collapsed="false">
      <c r="B563" s="60"/>
      <c r="D563" s="58"/>
      <c r="E563" s="58"/>
      <c r="F563" s="58"/>
    </row>
    <row r="564" customFormat="false" ht="15" hidden="false" customHeight="false" outlineLevel="0" collapsed="false">
      <c r="B564" s="60"/>
      <c r="D564" s="58"/>
      <c r="E564" s="58"/>
      <c r="F564" s="58"/>
    </row>
    <row r="565" customFormat="false" ht="15" hidden="false" customHeight="false" outlineLevel="0" collapsed="false">
      <c r="B565" s="60"/>
      <c r="D565" s="58"/>
      <c r="E565" s="58"/>
      <c r="F565" s="58"/>
    </row>
    <row r="566" customFormat="false" ht="15" hidden="false" customHeight="false" outlineLevel="0" collapsed="false">
      <c r="B566" s="60"/>
      <c r="D566" s="58"/>
      <c r="E566" s="58"/>
      <c r="F566" s="58"/>
    </row>
    <row r="567" customFormat="false" ht="15" hidden="false" customHeight="false" outlineLevel="0" collapsed="false">
      <c r="B567" s="60"/>
      <c r="D567" s="58"/>
      <c r="E567" s="58"/>
      <c r="F567" s="58"/>
    </row>
    <row r="568" customFormat="false" ht="15" hidden="false" customHeight="false" outlineLevel="0" collapsed="false">
      <c r="B568" s="60"/>
      <c r="D568" s="58"/>
      <c r="E568" s="58"/>
      <c r="F568" s="58"/>
    </row>
    <row r="569" customFormat="false" ht="15" hidden="false" customHeight="false" outlineLevel="0" collapsed="false">
      <c r="B569" s="60"/>
      <c r="D569" s="58"/>
      <c r="E569" s="58"/>
      <c r="F569" s="58"/>
    </row>
    <row r="570" customFormat="false" ht="15" hidden="false" customHeight="false" outlineLevel="0" collapsed="false">
      <c r="B570" s="60"/>
      <c r="D570" s="58"/>
      <c r="E570" s="58"/>
      <c r="F570" s="58"/>
    </row>
    <row r="571" customFormat="false" ht="15" hidden="false" customHeight="false" outlineLevel="0" collapsed="false">
      <c r="B571" s="60"/>
      <c r="D571" s="58"/>
      <c r="E571" s="58"/>
      <c r="F571" s="58"/>
    </row>
    <row r="572" customFormat="false" ht="15" hidden="false" customHeight="false" outlineLevel="0" collapsed="false">
      <c r="B572" s="60"/>
      <c r="D572" s="58"/>
      <c r="E572" s="58"/>
      <c r="F572" s="58"/>
    </row>
    <row r="573" customFormat="false" ht="15" hidden="false" customHeight="false" outlineLevel="0" collapsed="false">
      <c r="B573" s="60"/>
      <c r="D573" s="58"/>
      <c r="E573" s="58"/>
      <c r="F573" s="58"/>
    </row>
    <row r="574" customFormat="false" ht="15" hidden="false" customHeight="false" outlineLevel="0" collapsed="false">
      <c r="B574" s="60"/>
      <c r="D574" s="58"/>
      <c r="E574" s="58"/>
      <c r="F574" s="58"/>
    </row>
    <row r="575" customFormat="false" ht="15" hidden="false" customHeight="false" outlineLevel="0" collapsed="false">
      <c r="B575" s="60"/>
      <c r="D575" s="58"/>
      <c r="E575" s="58"/>
      <c r="F575" s="58"/>
    </row>
    <row r="576" customFormat="false" ht="15" hidden="false" customHeight="false" outlineLevel="0" collapsed="false">
      <c r="B576" s="60"/>
      <c r="D576" s="58"/>
      <c r="E576" s="58"/>
      <c r="F576" s="58"/>
    </row>
    <row r="577" customFormat="false" ht="15" hidden="false" customHeight="false" outlineLevel="0" collapsed="false">
      <c r="B577" s="60"/>
      <c r="D577" s="58"/>
      <c r="E577" s="58"/>
      <c r="F577" s="58"/>
    </row>
  </sheetData>
  <autoFilter ref="B2:F98"/>
  <dataValidations count="1">
    <dataValidation allowBlank="true" errorStyle="stop" operator="between" showDropDown="false" showErrorMessage="true" showInputMessage="true" sqref="D5:D6 D13 D17:D20 D24:D26 D30:D33 D36 D38:D39 D41 D43:D45 D48 D54:D55 D57 D59:D62 D64:D65 D67:D69 D71:D72 D74:D76 D80:D132" type="list">
      <formula1>INDIRECT(VLOOKUP(#ref!,CATALOGO!$AE$3:$AG$29,3,0))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E10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2578125" defaultRowHeight="15" customHeight="false" zeroHeight="false" outlineLevelRow="0" outlineLevelCol="0"/>
  <cols>
    <col collapsed="false" customWidth="true" hidden="false" outlineLevel="0" max="2" min="2" style="64" width="54.71"/>
    <col collapsed="false" customWidth="true" hidden="false" outlineLevel="0" max="3" min="3" style="64" width="10.71"/>
    <col collapsed="false" customWidth="true" hidden="false" outlineLevel="0" max="4" min="4" style="64" width="38.71"/>
    <col collapsed="false" customWidth="true" hidden="false" outlineLevel="0" max="5" min="5" style="64" width="56"/>
  </cols>
  <sheetData>
    <row r="3" customFormat="false" ht="15" hidden="false" customHeight="false" outlineLevel="0" collapsed="false">
      <c r="B3" s="65" t="s">
        <v>1</v>
      </c>
      <c r="C3" s="65" t="s">
        <v>4020</v>
      </c>
      <c r="D3" s="65" t="s">
        <v>3</v>
      </c>
      <c r="E3" s="65" t="s">
        <v>1</v>
      </c>
    </row>
    <row r="4" customFormat="false" ht="15" hidden="false" customHeight="false" outlineLevel="0" collapsed="false">
      <c r="B4" s="60" t="s">
        <v>202</v>
      </c>
      <c r="C4" s="60" t="n">
        <v>2</v>
      </c>
      <c r="D4" s="60" t="s">
        <v>203</v>
      </c>
      <c r="E4" s="60" t="s">
        <v>202</v>
      </c>
    </row>
    <row r="5" customFormat="false" ht="15" hidden="false" customHeight="false" outlineLevel="0" collapsed="false">
      <c r="B5" s="60" t="s">
        <v>338</v>
      </c>
      <c r="C5" s="60" t="n">
        <v>3</v>
      </c>
      <c r="D5" s="60" t="s">
        <v>203</v>
      </c>
      <c r="E5" s="60" t="s">
        <v>338</v>
      </c>
    </row>
    <row r="6" customFormat="false" ht="15" hidden="false" customHeight="false" outlineLevel="0" collapsed="false">
      <c r="B6" s="60" t="s">
        <v>494</v>
      </c>
      <c r="C6" s="60" t="n">
        <v>4</v>
      </c>
      <c r="D6" s="60" t="s">
        <v>203</v>
      </c>
      <c r="E6" s="60" t="s">
        <v>494</v>
      </c>
    </row>
    <row r="7" customFormat="false" ht="15" hidden="false" customHeight="false" outlineLevel="0" collapsed="false">
      <c r="B7" s="60" t="s">
        <v>530</v>
      </c>
      <c r="C7" s="60" t="n">
        <v>4</v>
      </c>
      <c r="D7" s="60" t="s">
        <v>203</v>
      </c>
      <c r="E7" s="60" t="s">
        <v>530</v>
      </c>
    </row>
    <row r="8" customFormat="false" ht="15" hidden="false" customHeight="false" outlineLevel="0" collapsed="false">
      <c r="B8" s="60" t="s">
        <v>595</v>
      </c>
      <c r="C8" s="60" t="n">
        <v>4</v>
      </c>
      <c r="D8" s="60" t="s">
        <v>203</v>
      </c>
      <c r="E8" s="60" t="s">
        <v>595</v>
      </c>
    </row>
    <row r="9" customFormat="false" ht="15" hidden="false" customHeight="false" outlineLevel="0" collapsed="false">
      <c r="B9" s="60" t="s">
        <v>632</v>
      </c>
      <c r="C9" s="60" t="n">
        <v>4</v>
      </c>
      <c r="D9" s="60" t="s">
        <v>203</v>
      </c>
      <c r="E9" s="60" t="s">
        <v>632</v>
      </c>
    </row>
    <row r="10" customFormat="false" ht="15" hidden="false" customHeight="false" outlineLevel="0" collapsed="false">
      <c r="B10" s="60" t="s">
        <v>698</v>
      </c>
      <c r="C10" s="60" t="n">
        <v>4</v>
      </c>
      <c r="D10" s="60" t="s">
        <v>203</v>
      </c>
      <c r="E10" s="60" t="s">
        <v>698</v>
      </c>
    </row>
    <row r="11" customFormat="false" ht="15" hidden="false" customHeight="false" outlineLevel="0" collapsed="false">
      <c r="B11" s="60" t="s">
        <v>702</v>
      </c>
      <c r="C11" s="60" t="n">
        <v>4</v>
      </c>
      <c r="D11" s="60" t="s">
        <v>203</v>
      </c>
      <c r="E11" s="60" t="s">
        <v>702</v>
      </c>
    </row>
    <row r="12" customFormat="false" ht="15" hidden="false" customHeight="false" outlineLevel="0" collapsed="false">
      <c r="B12" s="60" t="s">
        <v>1020</v>
      </c>
      <c r="C12" s="60" t="n">
        <v>5</v>
      </c>
      <c r="D12" s="60" t="s">
        <v>203</v>
      </c>
      <c r="E12" s="60" t="s">
        <v>1020</v>
      </c>
    </row>
    <row r="13" customFormat="false" ht="15" hidden="false" customHeight="false" outlineLevel="0" collapsed="false">
      <c r="B13" s="60" t="s">
        <v>1170</v>
      </c>
      <c r="C13" s="60" t="n">
        <v>5</v>
      </c>
      <c r="D13" s="60" t="s">
        <v>203</v>
      </c>
      <c r="E13" s="60" t="s">
        <v>1170</v>
      </c>
    </row>
    <row r="14" customFormat="false" ht="15" hidden="false" customHeight="false" outlineLevel="0" collapsed="false">
      <c r="B14" s="60" t="s">
        <v>1178</v>
      </c>
      <c r="C14" s="60" t="n">
        <v>5</v>
      </c>
      <c r="D14" s="60" t="s">
        <v>203</v>
      </c>
      <c r="E14" s="60" t="s">
        <v>1178</v>
      </c>
    </row>
    <row r="15" customFormat="false" ht="15" hidden="false" customHeight="false" outlineLevel="0" collapsed="false">
      <c r="B15" s="60" t="s">
        <v>1202</v>
      </c>
      <c r="C15" s="60" t="n">
        <v>5</v>
      </c>
      <c r="D15" s="60" t="s">
        <v>203</v>
      </c>
      <c r="E15" s="60" t="s">
        <v>1202</v>
      </c>
    </row>
    <row r="16" customFormat="false" ht="15" hidden="false" customHeight="false" outlineLevel="0" collapsed="false">
      <c r="B16" s="60" t="s">
        <v>1332</v>
      </c>
      <c r="C16" s="60" t="n">
        <v>5</v>
      </c>
      <c r="D16" s="60" t="s">
        <v>203</v>
      </c>
      <c r="E16" s="60" t="s">
        <v>1332</v>
      </c>
    </row>
    <row r="17" customFormat="false" ht="15" hidden="false" customHeight="false" outlineLevel="0" collapsed="false">
      <c r="B17" s="60" t="s">
        <v>1352</v>
      </c>
      <c r="C17" s="60" t="n">
        <v>5</v>
      </c>
      <c r="D17" s="60" t="s">
        <v>203</v>
      </c>
      <c r="E17" s="60" t="s">
        <v>1352</v>
      </c>
    </row>
    <row r="18" customFormat="false" ht="15" hidden="false" customHeight="false" outlineLevel="0" collapsed="false">
      <c r="B18" s="60" t="s">
        <v>1356</v>
      </c>
      <c r="C18" s="60" t="n">
        <v>5</v>
      </c>
      <c r="D18" s="60" t="s">
        <v>203</v>
      </c>
      <c r="E18" s="60" t="s">
        <v>1356</v>
      </c>
    </row>
    <row r="19" customFormat="false" ht="15" hidden="false" customHeight="false" outlineLevel="0" collapsed="false">
      <c r="B19" s="60" t="s">
        <v>1407</v>
      </c>
      <c r="C19" s="60" t="n">
        <v>5</v>
      </c>
      <c r="D19" s="60" t="s">
        <v>203</v>
      </c>
      <c r="E19" s="60" t="s">
        <v>1407</v>
      </c>
    </row>
    <row r="20" customFormat="false" ht="15" hidden="false" customHeight="false" outlineLevel="0" collapsed="false">
      <c r="B20" s="60" t="s">
        <v>1715</v>
      </c>
      <c r="C20" s="60" t="n">
        <v>6</v>
      </c>
      <c r="D20" s="60" t="s">
        <v>203</v>
      </c>
      <c r="E20" s="60" t="s">
        <v>1715</v>
      </c>
    </row>
    <row r="21" customFormat="false" ht="15" hidden="false" customHeight="false" outlineLevel="0" collapsed="false">
      <c r="B21" s="60" t="s">
        <v>1793</v>
      </c>
      <c r="C21" s="60" t="n">
        <v>6</v>
      </c>
      <c r="D21" s="60" t="s">
        <v>203</v>
      </c>
      <c r="E21" s="60" t="s">
        <v>1793</v>
      </c>
    </row>
    <row r="22" customFormat="false" ht="15" hidden="false" customHeight="false" outlineLevel="0" collapsed="false">
      <c r="B22" s="60" t="s">
        <v>1797</v>
      </c>
      <c r="C22" s="60" t="n">
        <v>6</v>
      </c>
      <c r="D22" s="60" t="s">
        <v>203</v>
      </c>
      <c r="E22" s="60" t="s">
        <v>1797</v>
      </c>
    </row>
    <row r="23" customFormat="false" ht="15" hidden="false" customHeight="false" outlineLevel="0" collapsed="false">
      <c r="B23" s="60" t="s">
        <v>1801</v>
      </c>
      <c r="C23" s="60" t="n">
        <v>6</v>
      </c>
      <c r="D23" s="60" t="s">
        <v>203</v>
      </c>
      <c r="E23" s="60" t="s">
        <v>1801</v>
      </c>
    </row>
    <row r="24" customFormat="false" ht="15" hidden="false" customHeight="false" outlineLevel="0" collapsed="false">
      <c r="B24" s="60" t="s">
        <v>2084</v>
      </c>
      <c r="C24" s="60" t="n">
        <v>6</v>
      </c>
      <c r="D24" s="60" t="s">
        <v>203</v>
      </c>
      <c r="E24" s="60" t="s">
        <v>2084</v>
      </c>
    </row>
    <row r="25" customFormat="false" ht="15" hidden="false" customHeight="false" outlineLevel="0" collapsed="false">
      <c r="B25" s="60" t="s">
        <v>2088</v>
      </c>
      <c r="C25" s="60" t="n">
        <v>6</v>
      </c>
      <c r="D25" s="60" t="s">
        <v>203</v>
      </c>
      <c r="E25" s="60" t="s">
        <v>2088</v>
      </c>
    </row>
    <row r="26" customFormat="false" ht="15" hidden="false" customHeight="false" outlineLevel="0" collapsed="false">
      <c r="B26" s="60" t="s">
        <v>2152</v>
      </c>
      <c r="C26" s="60" t="n">
        <v>6</v>
      </c>
      <c r="D26" s="60" t="s">
        <v>203</v>
      </c>
      <c r="E26" s="60" t="s">
        <v>2152</v>
      </c>
    </row>
    <row r="27" customFormat="false" ht="15" hidden="false" customHeight="false" outlineLevel="0" collapsed="false">
      <c r="B27" s="60" t="s">
        <v>2543</v>
      </c>
      <c r="C27" s="60" t="n">
        <v>7</v>
      </c>
      <c r="D27" s="60" t="s">
        <v>203</v>
      </c>
      <c r="E27" s="60" t="s">
        <v>2543</v>
      </c>
    </row>
    <row r="28" customFormat="false" ht="15" hidden="false" customHeight="false" outlineLevel="0" collapsed="false">
      <c r="B28" s="60" t="s">
        <v>2620</v>
      </c>
      <c r="C28" s="60" t="n">
        <v>7</v>
      </c>
      <c r="D28" s="60" t="s">
        <v>203</v>
      </c>
      <c r="E28" s="60" t="s">
        <v>2620</v>
      </c>
    </row>
    <row r="29" customFormat="false" ht="15" hidden="false" customHeight="false" outlineLevel="0" collapsed="false">
      <c r="B29" s="60" t="s">
        <v>2631</v>
      </c>
      <c r="C29" s="60" t="n">
        <v>7</v>
      </c>
      <c r="D29" s="60" t="s">
        <v>203</v>
      </c>
      <c r="E29" s="60" t="s">
        <v>2631</v>
      </c>
    </row>
    <row r="30" customFormat="false" ht="15" hidden="false" customHeight="false" outlineLevel="0" collapsed="false">
      <c r="B30" s="60" t="s">
        <v>2661</v>
      </c>
      <c r="C30" s="60" t="n">
        <v>7</v>
      </c>
      <c r="D30" s="60" t="s">
        <v>203</v>
      </c>
      <c r="E30" s="60" t="s">
        <v>2661</v>
      </c>
    </row>
    <row r="31" customFormat="false" ht="15" hidden="false" customHeight="false" outlineLevel="0" collapsed="false">
      <c r="B31" s="60" t="s">
        <v>2770</v>
      </c>
      <c r="C31" s="60" t="n">
        <v>7</v>
      </c>
      <c r="D31" s="60" t="s">
        <v>203</v>
      </c>
      <c r="E31" s="60" t="s">
        <v>2770</v>
      </c>
    </row>
    <row r="32" customFormat="false" ht="15" hidden="false" customHeight="false" outlineLevel="0" collapsed="false">
      <c r="B32" s="60" t="s">
        <v>2781</v>
      </c>
      <c r="C32" s="60" t="n">
        <v>7</v>
      </c>
      <c r="D32" s="60" t="s">
        <v>203</v>
      </c>
      <c r="E32" s="60" t="s">
        <v>2781</v>
      </c>
    </row>
    <row r="33" customFormat="false" ht="15" hidden="false" customHeight="false" outlineLevel="0" collapsed="false">
      <c r="B33" s="60" t="s">
        <v>3161</v>
      </c>
      <c r="C33" s="60" t="n">
        <v>8</v>
      </c>
      <c r="D33" s="60" t="s">
        <v>203</v>
      </c>
      <c r="E33" s="60" t="s">
        <v>3161</v>
      </c>
    </row>
    <row r="34" customFormat="false" ht="15" hidden="false" customHeight="false" outlineLevel="0" collapsed="false">
      <c r="B34" s="60" t="s">
        <v>3169</v>
      </c>
      <c r="C34" s="60" t="n">
        <v>8</v>
      </c>
      <c r="D34" s="60" t="s">
        <v>203</v>
      </c>
      <c r="E34" s="60" t="s">
        <v>3169</v>
      </c>
    </row>
    <row r="35" customFormat="false" ht="15" hidden="false" customHeight="false" outlineLevel="0" collapsed="false">
      <c r="B35" s="60" t="s">
        <v>3173</v>
      </c>
      <c r="C35" s="60" t="n">
        <v>8</v>
      </c>
      <c r="D35" s="60" t="s">
        <v>203</v>
      </c>
      <c r="E35" s="60" t="s">
        <v>3173</v>
      </c>
    </row>
    <row r="36" customFormat="false" ht="15" hidden="false" customHeight="false" outlineLevel="0" collapsed="false">
      <c r="B36" s="60" t="s">
        <v>3176</v>
      </c>
      <c r="C36" s="60" t="n">
        <v>8</v>
      </c>
      <c r="D36" s="60" t="s">
        <v>203</v>
      </c>
      <c r="E36" s="60" t="s">
        <v>3176</v>
      </c>
    </row>
    <row r="37" customFormat="false" ht="15" hidden="false" customHeight="false" outlineLevel="0" collapsed="false">
      <c r="B37" s="60" t="s">
        <v>3180</v>
      </c>
      <c r="C37" s="60" t="n">
        <v>8</v>
      </c>
      <c r="D37" s="60" t="s">
        <v>203</v>
      </c>
      <c r="E37" s="60" t="s">
        <v>3180</v>
      </c>
    </row>
    <row r="38" customFormat="false" ht="15" hidden="false" customHeight="false" outlineLevel="0" collapsed="false">
      <c r="B38" s="60" t="s">
        <v>256</v>
      </c>
      <c r="C38" s="60" t="n">
        <v>8</v>
      </c>
      <c r="D38" s="60" t="s">
        <v>203</v>
      </c>
      <c r="E38" s="60" t="s">
        <v>256</v>
      </c>
    </row>
    <row r="39" customFormat="false" ht="15" hidden="false" customHeight="false" outlineLevel="0" collapsed="false">
      <c r="B39" s="60" t="s">
        <v>3312</v>
      </c>
      <c r="C39" s="60" t="n">
        <v>8</v>
      </c>
      <c r="D39" s="60" t="s">
        <v>203</v>
      </c>
      <c r="E39" s="60" t="s">
        <v>3312</v>
      </c>
    </row>
    <row r="40" customFormat="false" ht="15" hidden="false" customHeight="false" outlineLevel="0" collapsed="false">
      <c r="B40" s="60" t="s">
        <v>3316</v>
      </c>
      <c r="C40" s="60" t="n">
        <v>8</v>
      </c>
      <c r="D40" s="60" t="s">
        <v>203</v>
      </c>
      <c r="E40" s="60" t="s">
        <v>3316</v>
      </c>
    </row>
    <row r="41" customFormat="false" ht="15" hidden="false" customHeight="false" outlineLevel="0" collapsed="false">
      <c r="B41" s="60" t="s">
        <v>3319</v>
      </c>
      <c r="C41" s="60" t="n">
        <v>8</v>
      </c>
      <c r="D41" s="60" t="s">
        <v>203</v>
      </c>
      <c r="E41" s="60" t="s">
        <v>3319</v>
      </c>
    </row>
    <row r="42" customFormat="false" ht="15" hidden="false" customHeight="false" outlineLevel="0" collapsed="false">
      <c r="B42" s="60" t="s">
        <v>3363</v>
      </c>
      <c r="C42" s="60" t="n">
        <v>8</v>
      </c>
      <c r="D42" s="60" t="s">
        <v>203</v>
      </c>
      <c r="E42" s="60" t="s">
        <v>3363</v>
      </c>
    </row>
    <row r="43" customFormat="false" ht="15" hidden="false" customHeight="false" outlineLevel="0" collapsed="false">
      <c r="B43" s="60" t="s">
        <v>3485</v>
      </c>
      <c r="C43" s="60" t="n">
        <v>9</v>
      </c>
      <c r="D43" s="60" t="s">
        <v>203</v>
      </c>
      <c r="E43" s="60" t="s">
        <v>3485</v>
      </c>
    </row>
    <row r="44" customFormat="false" ht="15" hidden="false" customHeight="false" outlineLevel="0" collapsed="false">
      <c r="B44" s="60" t="s">
        <v>3485</v>
      </c>
      <c r="C44" s="60" t="n">
        <v>9</v>
      </c>
      <c r="D44" s="60" t="s">
        <v>203</v>
      </c>
      <c r="E44" s="60" t="s">
        <v>3485</v>
      </c>
    </row>
    <row r="45" customFormat="false" ht="15" hidden="false" customHeight="false" outlineLevel="0" collapsed="false">
      <c r="B45" s="60" t="s">
        <v>3491</v>
      </c>
      <c r="C45" s="60" t="n">
        <v>9</v>
      </c>
      <c r="D45" s="60" t="s">
        <v>203</v>
      </c>
      <c r="E45" s="60" t="s">
        <v>3491</v>
      </c>
    </row>
    <row r="46" customFormat="false" ht="15" hidden="false" customHeight="false" outlineLevel="0" collapsed="false">
      <c r="B46" s="60" t="s">
        <v>3494</v>
      </c>
      <c r="C46" s="60" t="n">
        <v>9</v>
      </c>
      <c r="D46" s="60" t="s">
        <v>203</v>
      </c>
      <c r="E46" s="60" t="s">
        <v>3494</v>
      </c>
    </row>
    <row r="47" customFormat="false" ht="15" hidden="false" customHeight="false" outlineLevel="0" collapsed="false">
      <c r="B47" s="60" t="s">
        <v>3498</v>
      </c>
      <c r="C47" s="60" t="n">
        <v>9</v>
      </c>
      <c r="D47" s="60" t="s">
        <v>203</v>
      </c>
      <c r="E47" s="60" t="s">
        <v>3498</v>
      </c>
    </row>
    <row r="48" customFormat="false" ht="15" hidden="false" customHeight="false" outlineLevel="0" collapsed="false">
      <c r="B48" s="60" t="s">
        <v>3512</v>
      </c>
      <c r="C48" s="60" t="n">
        <v>9</v>
      </c>
      <c r="D48" s="60" t="s">
        <v>203</v>
      </c>
      <c r="E48" s="60" t="s">
        <v>3512</v>
      </c>
    </row>
    <row r="49" customFormat="false" ht="15" hidden="false" customHeight="false" outlineLevel="0" collapsed="false">
      <c r="B49" s="60" t="s">
        <v>3519</v>
      </c>
      <c r="C49" s="60" t="n">
        <v>9</v>
      </c>
      <c r="D49" s="60" t="s">
        <v>203</v>
      </c>
      <c r="E49" s="60" t="s">
        <v>3519</v>
      </c>
    </row>
    <row r="50" customFormat="false" ht="15" hidden="false" customHeight="false" outlineLevel="0" collapsed="false">
      <c r="B50" s="60" t="s">
        <v>3647</v>
      </c>
      <c r="C50" s="60" t="n">
        <v>9</v>
      </c>
      <c r="D50" s="60" t="s">
        <v>203</v>
      </c>
      <c r="E50" s="60" t="s">
        <v>3647</v>
      </c>
    </row>
    <row r="51" customFormat="false" ht="15" hidden="false" customHeight="false" outlineLevel="0" collapsed="false">
      <c r="B51" s="60" t="s">
        <v>3663</v>
      </c>
      <c r="C51" s="60" t="n">
        <v>9</v>
      </c>
      <c r="D51" s="60" t="s">
        <v>203</v>
      </c>
      <c r="E51" s="60" t="s">
        <v>3663</v>
      </c>
    </row>
    <row r="52" customFormat="false" ht="15" hidden="false" customHeight="false" outlineLevel="0" collapsed="false">
      <c r="B52" s="60" t="s">
        <v>3703</v>
      </c>
      <c r="C52" s="60" t="n">
        <v>9</v>
      </c>
      <c r="D52" s="60" t="s">
        <v>203</v>
      </c>
      <c r="E52" s="60" t="s">
        <v>3703</v>
      </c>
    </row>
    <row r="53" customFormat="false" ht="15" hidden="false" customHeight="false" outlineLevel="0" collapsed="false">
      <c r="B53" s="60" t="s">
        <v>3707</v>
      </c>
      <c r="C53" s="60" t="n">
        <v>9</v>
      </c>
      <c r="D53" s="60" t="s">
        <v>203</v>
      </c>
      <c r="E53" s="60" t="s">
        <v>3707</v>
      </c>
    </row>
    <row r="54" customFormat="false" ht="15" hidden="false" customHeight="false" outlineLevel="0" collapsed="false">
      <c r="B54" s="60" t="s">
        <v>3783</v>
      </c>
      <c r="C54" s="60" t="n">
        <v>9</v>
      </c>
      <c r="D54" s="60" t="s">
        <v>203</v>
      </c>
      <c r="E54" s="60" t="s">
        <v>3783</v>
      </c>
    </row>
    <row r="55" customFormat="false" ht="15" hidden="false" customHeight="false" outlineLevel="0" collapsed="false">
      <c r="B55" s="60" t="s">
        <v>3913</v>
      </c>
      <c r="C55" s="60" t="n">
        <v>11</v>
      </c>
      <c r="D55" s="60" t="s">
        <v>203</v>
      </c>
      <c r="E55" s="60" t="s">
        <v>3913</v>
      </c>
    </row>
    <row r="56" customFormat="false" ht="25" hidden="false" customHeight="false" outlineLevel="0" collapsed="false">
      <c r="B56" s="66" t="s">
        <v>3916</v>
      </c>
      <c r="C56" s="60" t="n">
        <v>11</v>
      </c>
      <c r="D56" s="60" t="s">
        <v>203</v>
      </c>
      <c r="E56" s="60" t="s">
        <v>3916</v>
      </c>
    </row>
    <row r="57" customFormat="false" ht="15" hidden="false" customHeight="false" outlineLevel="0" collapsed="false">
      <c r="B57" s="60" t="s">
        <v>535</v>
      </c>
      <c r="C57" s="60" t="n">
        <v>4</v>
      </c>
      <c r="D57" s="60" t="s">
        <v>536</v>
      </c>
      <c r="E57" s="60" t="s">
        <v>535</v>
      </c>
    </row>
    <row r="58" customFormat="false" ht="15" hidden="false" customHeight="false" outlineLevel="0" collapsed="false">
      <c r="B58" s="60" t="s">
        <v>1809</v>
      </c>
      <c r="C58" s="60" t="n">
        <v>6</v>
      </c>
      <c r="D58" s="60" t="s">
        <v>536</v>
      </c>
      <c r="E58" s="60" t="s">
        <v>1809</v>
      </c>
    </row>
    <row r="59" customFormat="false" ht="15" hidden="false" customHeight="false" outlineLevel="0" collapsed="false">
      <c r="B59" s="60" t="s">
        <v>1813</v>
      </c>
      <c r="C59" s="60" t="n">
        <v>6</v>
      </c>
      <c r="D59" s="60" t="s">
        <v>536</v>
      </c>
      <c r="E59" s="60" t="s">
        <v>1813</v>
      </c>
    </row>
    <row r="60" customFormat="false" ht="15" hidden="false" customHeight="false" outlineLevel="0" collapsed="false">
      <c r="B60" s="60" t="s">
        <v>2053</v>
      </c>
      <c r="C60" s="60" t="n">
        <v>6</v>
      </c>
      <c r="D60" s="60" t="s">
        <v>536</v>
      </c>
      <c r="E60" s="60" t="s">
        <v>2053</v>
      </c>
    </row>
    <row r="61" customFormat="false" ht="15" hidden="false" customHeight="false" outlineLevel="0" collapsed="false">
      <c r="B61" s="60" t="s">
        <v>2059</v>
      </c>
      <c r="C61" s="60" t="n">
        <v>6</v>
      </c>
      <c r="D61" s="60" t="s">
        <v>536</v>
      </c>
      <c r="E61" s="60" t="s">
        <v>2059</v>
      </c>
    </row>
    <row r="62" customFormat="false" ht="15" hidden="false" customHeight="false" outlineLevel="0" collapsed="false">
      <c r="B62" s="60" t="s">
        <v>2062</v>
      </c>
      <c r="C62" s="60" t="n">
        <v>6</v>
      </c>
      <c r="D62" s="60" t="s">
        <v>536</v>
      </c>
      <c r="E62" s="60" t="s">
        <v>2062</v>
      </c>
    </row>
    <row r="63" customFormat="false" ht="15" hidden="false" customHeight="false" outlineLevel="0" collapsed="false">
      <c r="B63" s="60" t="s">
        <v>2065</v>
      </c>
      <c r="C63" s="60" t="n">
        <v>6</v>
      </c>
      <c r="D63" s="60" t="s">
        <v>536</v>
      </c>
      <c r="E63" s="60" t="s">
        <v>2065</v>
      </c>
    </row>
    <row r="64" customFormat="false" ht="15" hidden="false" customHeight="false" outlineLevel="0" collapsed="false">
      <c r="B64" s="60" t="s">
        <v>2068</v>
      </c>
      <c r="C64" s="60" t="n">
        <v>6</v>
      </c>
      <c r="D64" s="60" t="s">
        <v>536</v>
      </c>
      <c r="E64" s="60" t="s">
        <v>2068</v>
      </c>
    </row>
    <row r="65" customFormat="false" ht="15" hidden="false" customHeight="false" outlineLevel="0" collapsed="false">
      <c r="B65" s="60" t="s">
        <v>2533</v>
      </c>
      <c r="C65" s="60" t="n">
        <v>7</v>
      </c>
      <c r="D65" s="60" t="s">
        <v>536</v>
      </c>
      <c r="E65" s="60" t="s">
        <v>2533</v>
      </c>
    </row>
    <row r="66" customFormat="false" ht="15" hidden="false" customHeight="false" outlineLevel="0" collapsed="false">
      <c r="B66" s="60" t="s">
        <v>2537</v>
      </c>
      <c r="C66" s="60" t="n">
        <v>7</v>
      </c>
      <c r="D66" s="60" t="s">
        <v>536</v>
      </c>
      <c r="E66" s="60" t="s">
        <v>2537</v>
      </c>
    </row>
    <row r="67" customFormat="false" ht="15" hidden="false" customHeight="false" outlineLevel="0" collapsed="false">
      <c r="B67" s="60" t="s">
        <v>2540</v>
      </c>
      <c r="C67" s="60" t="n">
        <v>7</v>
      </c>
      <c r="D67" s="60" t="s">
        <v>536</v>
      </c>
      <c r="E67" s="60" t="s">
        <v>2540</v>
      </c>
    </row>
    <row r="68" customFormat="false" ht="15" hidden="false" customHeight="false" outlineLevel="0" collapsed="false">
      <c r="B68" s="60" t="s">
        <v>2756</v>
      </c>
      <c r="C68" s="60" t="n">
        <v>7</v>
      </c>
      <c r="D68" s="60" t="s">
        <v>536</v>
      </c>
      <c r="E68" s="60" t="s">
        <v>2756</v>
      </c>
    </row>
    <row r="69" customFormat="false" ht="15" hidden="false" customHeight="false" outlineLevel="0" collapsed="false">
      <c r="B69" s="60" t="s">
        <v>2760</v>
      </c>
      <c r="C69" s="60" t="n">
        <v>7</v>
      </c>
      <c r="D69" s="60" t="s">
        <v>536</v>
      </c>
      <c r="E69" s="60" t="s">
        <v>2760</v>
      </c>
    </row>
    <row r="70" customFormat="false" ht="15" hidden="false" customHeight="false" outlineLevel="0" collapsed="false">
      <c r="B70" s="60" t="s">
        <v>2763</v>
      </c>
      <c r="C70" s="60" t="n">
        <v>7</v>
      </c>
      <c r="D70" s="60" t="s">
        <v>536</v>
      </c>
      <c r="E70" s="60" t="s">
        <v>2763</v>
      </c>
    </row>
    <row r="71" customFormat="false" ht="15" hidden="false" customHeight="false" outlineLevel="0" collapsed="false">
      <c r="B71" s="60" t="s">
        <v>3262</v>
      </c>
      <c r="C71" s="60" t="n">
        <v>8</v>
      </c>
      <c r="D71" s="60" t="s">
        <v>536</v>
      </c>
      <c r="E71" s="60" t="s">
        <v>3262</v>
      </c>
    </row>
    <row r="72" customFormat="false" ht="15" hidden="false" customHeight="false" outlineLevel="0" collapsed="false">
      <c r="B72" s="60" t="s">
        <v>3267</v>
      </c>
      <c r="C72" s="60" t="n">
        <v>8</v>
      </c>
      <c r="D72" s="60" t="s">
        <v>536</v>
      </c>
      <c r="E72" s="60" t="s">
        <v>3267</v>
      </c>
    </row>
    <row r="73" customFormat="false" ht="15" hidden="false" customHeight="false" outlineLevel="0" collapsed="false">
      <c r="B73" s="60" t="s">
        <v>3271</v>
      </c>
      <c r="C73" s="60" t="n">
        <v>8</v>
      </c>
      <c r="D73" s="60" t="s">
        <v>536</v>
      </c>
      <c r="E73" s="60" t="s">
        <v>3271</v>
      </c>
    </row>
    <row r="74" customFormat="false" ht="15" hidden="false" customHeight="false" outlineLevel="0" collapsed="false">
      <c r="B74" s="60" t="s">
        <v>3837</v>
      </c>
      <c r="C74" s="60" t="n">
        <v>10</v>
      </c>
      <c r="D74" s="60" t="s">
        <v>536</v>
      </c>
      <c r="E74" s="60" t="s">
        <v>3837</v>
      </c>
    </row>
    <row r="75" customFormat="false" ht="15" hidden="false" customHeight="false" outlineLevel="0" collapsed="false">
      <c r="B75" s="60" t="s">
        <v>3840</v>
      </c>
      <c r="C75" s="60" t="n">
        <v>10</v>
      </c>
      <c r="D75" s="60" t="s">
        <v>536</v>
      </c>
      <c r="E75" s="60" t="s">
        <v>3840</v>
      </c>
    </row>
    <row r="76" customFormat="false" ht="15" hidden="false" customHeight="false" outlineLevel="0" collapsed="false">
      <c r="B76" s="60" t="s">
        <v>3843</v>
      </c>
      <c r="C76" s="60" t="n">
        <v>10</v>
      </c>
      <c r="D76" s="60" t="s">
        <v>536</v>
      </c>
      <c r="E76" s="60" t="s">
        <v>3843</v>
      </c>
    </row>
    <row r="77" customFormat="false" ht="15" hidden="false" customHeight="false" outlineLevel="0" collapsed="false">
      <c r="B77" s="60" t="s">
        <v>3846</v>
      </c>
      <c r="C77" s="60" t="n">
        <v>10</v>
      </c>
      <c r="D77" s="60" t="s">
        <v>536</v>
      </c>
      <c r="E77" s="60" t="s">
        <v>3846</v>
      </c>
    </row>
    <row r="78" customFormat="false" ht="15" hidden="false" customHeight="false" outlineLevel="0" collapsed="false">
      <c r="B78" s="60" t="s">
        <v>3849</v>
      </c>
      <c r="C78" s="60" t="n">
        <v>10</v>
      </c>
      <c r="D78" s="60" t="s">
        <v>536</v>
      </c>
      <c r="E78" s="60" t="s">
        <v>3849</v>
      </c>
    </row>
    <row r="79" customFormat="false" ht="15" hidden="false" customHeight="false" outlineLevel="0" collapsed="false">
      <c r="B79" s="60" t="s">
        <v>3942</v>
      </c>
      <c r="C79" s="60" t="n">
        <v>11</v>
      </c>
      <c r="D79" s="60" t="s">
        <v>536</v>
      </c>
      <c r="E79" s="60" t="s">
        <v>3942</v>
      </c>
    </row>
    <row r="80" customFormat="false" ht="15" hidden="false" customHeight="false" outlineLevel="0" collapsed="false">
      <c r="B80" s="60" t="s">
        <v>3945</v>
      </c>
      <c r="C80" s="60" t="n">
        <v>11</v>
      </c>
      <c r="D80" s="60" t="s">
        <v>536</v>
      </c>
      <c r="E80" s="60" t="s">
        <v>3945</v>
      </c>
    </row>
    <row r="81" customFormat="false" ht="15" hidden="false" customHeight="false" outlineLevel="0" collapsed="false">
      <c r="B81" s="60" t="s">
        <v>3949</v>
      </c>
      <c r="C81" s="60" t="n">
        <v>11</v>
      </c>
      <c r="D81" s="60" t="s">
        <v>536</v>
      </c>
      <c r="E81" s="60" t="s">
        <v>3949</v>
      </c>
    </row>
    <row r="82" customFormat="false" ht="15" hidden="false" customHeight="false" outlineLevel="0" collapsed="false">
      <c r="B82" s="60" t="s">
        <v>3952</v>
      </c>
      <c r="C82" s="60" t="n">
        <v>11</v>
      </c>
      <c r="D82" s="60" t="s">
        <v>536</v>
      </c>
      <c r="E82" s="60" t="s">
        <v>3952</v>
      </c>
    </row>
    <row r="83" customFormat="false" ht="15" hidden="false" customHeight="false" outlineLevel="0" collapsed="false">
      <c r="B83" s="60" t="s">
        <v>3977</v>
      </c>
      <c r="C83" s="60" t="n">
        <v>11</v>
      </c>
      <c r="D83" s="60" t="s">
        <v>536</v>
      </c>
      <c r="E83" s="60" t="s">
        <v>3977</v>
      </c>
    </row>
    <row r="84" customFormat="false" ht="15" hidden="false" customHeight="false" outlineLevel="0" collapsed="false">
      <c r="B84" s="60" t="s">
        <v>3981</v>
      </c>
      <c r="C84" s="60" t="n">
        <v>11</v>
      </c>
      <c r="D84" s="60" t="s">
        <v>536</v>
      </c>
      <c r="E84" s="60" t="s">
        <v>3981</v>
      </c>
    </row>
    <row r="85" customFormat="false" ht="15" hidden="false" customHeight="false" outlineLevel="0" collapsed="false">
      <c r="B85" s="60" t="s">
        <v>154</v>
      </c>
      <c r="C85" s="60" t="n">
        <v>1</v>
      </c>
      <c r="D85" s="60" t="s">
        <v>168</v>
      </c>
      <c r="E85" s="60" t="s">
        <v>154</v>
      </c>
    </row>
    <row r="86" customFormat="false" ht="15" hidden="false" customHeight="false" outlineLevel="0" collapsed="false">
      <c r="B86" s="60" t="s">
        <v>160</v>
      </c>
      <c r="C86" s="60" t="n">
        <v>1</v>
      </c>
      <c r="D86" s="60" t="s">
        <v>168</v>
      </c>
      <c r="E86" s="60" t="s">
        <v>160</v>
      </c>
    </row>
    <row r="87" customFormat="false" ht="15" hidden="false" customHeight="false" outlineLevel="0" collapsed="false">
      <c r="B87" s="60" t="s">
        <v>167</v>
      </c>
      <c r="C87" s="60" t="n">
        <v>1</v>
      </c>
      <c r="D87" s="60" t="s">
        <v>168</v>
      </c>
      <c r="E87" s="60" t="s">
        <v>167</v>
      </c>
    </row>
    <row r="88" customFormat="false" ht="15" hidden="false" customHeight="false" outlineLevel="0" collapsed="false">
      <c r="B88" s="60" t="s">
        <v>898</v>
      </c>
      <c r="C88" s="60" t="n">
        <v>4</v>
      </c>
      <c r="D88" s="60" t="s">
        <v>168</v>
      </c>
      <c r="E88" s="60" t="s">
        <v>898</v>
      </c>
    </row>
    <row r="89" customFormat="false" ht="15" hidden="false" customHeight="false" outlineLevel="0" collapsed="false">
      <c r="B89" s="60" t="s">
        <v>910</v>
      </c>
      <c r="C89" s="60" t="n">
        <v>4</v>
      </c>
      <c r="D89" s="60" t="s">
        <v>168</v>
      </c>
      <c r="E89" s="60" t="s">
        <v>910</v>
      </c>
    </row>
    <row r="90" customFormat="false" ht="15" hidden="false" customHeight="false" outlineLevel="0" collapsed="false">
      <c r="B90" s="60" t="s">
        <v>919</v>
      </c>
      <c r="C90" s="60" t="n">
        <v>4</v>
      </c>
      <c r="D90" s="60" t="s">
        <v>168</v>
      </c>
      <c r="E90" s="60" t="s">
        <v>919</v>
      </c>
    </row>
    <row r="91" customFormat="false" ht="15" hidden="false" customHeight="false" outlineLevel="0" collapsed="false">
      <c r="B91" s="60" t="s">
        <v>923</v>
      </c>
      <c r="C91" s="60" t="n">
        <v>4</v>
      </c>
      <c r="D91" s="60" t="s">
        <v>168</v>
      </c>
      <c r="E91" s="60" t="s">
        <v>923</v>
      </c>
    </row>
    <row r="92" customFormat="false" ht="15" hidden="false" customHeight="false" outlineLevel="0" collapsed="false">
      <c r="B92" s="60" t="s">
        <v>926</v>
      </c>
      <c r="C92" s="60" t="n">
        <v>4</v>
      </c>
      <c r="D92" s="60" t="s">
        <v>168</v>
      </c>
      <c r="E92" s="60" t="s">
        <v>926</v>
      </c>
    </row>
    <row r="93" customFormat="false" ht="15" hidden="false" customHeight="false" outlineLevel="0" collapsed="false">
      <c r="B93" s="60" t="s">
        <v>929</v>
      </c>
      <c r="C93" s="60" t="n">
        <v>4</v>
      </c>
      <c r="D93" s="60" t="s">
        <v>168</v>
      </c>
      <c r="E93" s="60" t="s">
        <v>929</v>
      </c>
    </row>
    <row r="94" customFormat="false" ht="15" hidden="false" customHeight="false" outlineLevel="0" collapsed="false">
      <c r="B94" s="60" t="s">
        <v>932</v>
      </c>
      <c r="C94" s="60" t="n">
        <v>4</v>
      </c>
      <c r="D94" s="60" t="s">
        <v>168</v>
      </c>
      <c r="E94" s="60" t="s">
        <v>932</v>
      </c>
    </row>
    <row r="95" customFormat="false" ht="15" hidden="false" customHeight="false" outlineLevel="0" collapsed="false">
      <c r="B95" s="60" t="s">
        <v>936</v>
      </c>
      <c r="C95" s="60" t="n">
        <v>4</v>
      </c>
      <c r="D95" s="60" t="s">
        <v>168</v>
      </c>
      <c r="E95" s="60" t="s">
        <v>936</v>
      </c>
    </row>
    <row r="96" customFormat="false" ht="15" hidden="false" customHeight="false" outlineLevel="0" collapsed="false">
      <c r="B96" s="60" t="s">
        <v>939</v>
      </c>
      <c r="C96" s="60" t="n">
        <v>4</v>
      </c>
      <c r="D96" s="60" t="s">
        <v>168</v>
      </c>
      <c r="E96" s="60" t="s">
        <v>939</v>
      </c>
    </row>
    <row r="97" customFormat="false" ht="15" hidden="false" customHeight="false" outlineLevel="0" collapsed="false">
      <c r="B97" s="60" t="s">
        <v>942</v>
      </c>
      <c r="C97" s="60" t="n">
        <v>4</v>
      </c>
      <c r="D97" s="60" t="s">
        <v>168</v>
      </c>
      <c r="E97" s="60" t="s">
        <v>942</v>
      </c>
    </row>
    <row r="98" customFormat="false" ht="15" hidden="false" customHeight="false" outlineLevel="0" collapsed="false">
      <c r="B98" s="60" t="s">
        <v>949</v>
      </c>
      <c r="C98" s="60" t="n">
        <v>4</v>
      </c>
      <c r="D98" s="60" t="s">
        <v>168</v>
      </c>
      <c r="E98" s="60" t="s">
        <v>949</v>
      </c>
    </row>
    <row r="99" customFormat="false" ht="15" hidden="false" customHeight="false" outlineLevel="0" collapsed="false">
      <c r="B99" s="60" t="s">
        <v>1622</v>
      </c>
      <c r="C99" s="60" t="n">
        <v>5</v>
      </c>
      <c r="D99" s="60" t="s">
        <v>168</v>
      </c>
      <c r="E99" s="60" t="s">
        <v>1622</v>
      </c>
    </row>
    <row r="100" customFormat="false" ht="15" hidden="false" customHeight="false" outlineLevel="0" collapsed="false">
      <c r="B100" s="60" t="s">
        <v>1630</v>
      </c>
      <c r="C100" s="60" t="n">
        <v>5</v>
      </c>
      <c r="D100" s="60" t="s">
        <v>168</v>
      </c>
      <c r="E100" s="60" t="s">
        <v>1630</v>
      </c>
    </row>
    <row r="101" customFormat="false" ht="15" hidden="false" customHeight="false" outlineLevel="0" collapsed="false">
      <c r="B101" s="60" t="s">
        <v>1645</v>
      </c>
      <c r="C101" s="60" t="n">
        <v>5</v>
      </c>
      <c r="D101" s="60" t="s">
        <v>168</v>
      </c>
      <c r="E101" s="60" t="s">
        <v>1645</v>
      </c>
    </row>
    <row r="102" customFormat="false" ht="15" hidden="false" customHeight="false" outlineLevel="0" collapsed="false">
      <c r="B102" s="60" t="s">
        <v>2325</v>
      </c>
      <c r="C102" s="60" t="n">
        <v>6</v>
      </c>
      <c r="D102" s="60" t="s">
        <v>168</v>
      </c>
      <c r="E102" s="60" t="s">
        <v>2325</v>
      </c>
    </row>
    <row r="103" customFormat="false" ht="15" hidden="false" customHeight="false" outlineLevel="0" collapsed="false">
      <c r="B103" s="60" t="s">
        <v>2328</v>
      </c>
      <c r="C103" s="60" t="n">
        <v>6</v>
      </c>
      <c r="D103" s="60" t="s">
        <v>168</v>
      </c>
      <c r="E103" s="60" t="s">
        <v>2328</v>
      </c>
    </row>
    <row r="104" customFormat="false" ht="15" hidden="false" customHeight="false" outlineLevel="0" collapsed="false">
      <c r="B104" s="60" t="s">
        <v>2332</v>
      </c>
      <c r="C104" s="60" t="n">
        <v>6</v>
      </c>
      <c r="D104" s="60" t="s">
        <v>168</v>
      </c>
      <c r="E104" s="60" t="s">
        <v>2332</v>
      </c>
    </row>
    <row r="105" customFormat="false" ht="15" hidden="false" customHeight="false" outlineLevel="0" collapsed="false">
      <c r="B105" s="60" t="s">
        <v>2337</v>
      </c>
      <c r="C105" s="60" t="n">
        <v>6</v>
      </c>
      <c r="D105" s="60" t="s">
        <v>168</v>
      </c>
      <c r="E105" s="60" t="s">
        <v>2337</v>
      </c>
    </row>
    <row r="106" customFormat="false" ht="15" hidden="false" customHeight="false" outlineLevel="0" collapsed="false">
      <c r="B106" s="60" t="s">
        <v>3033</v>
      </c>
      <c r="C106" s="60" t="n">
        <v>7</v>
      </c>
      <c r="D106" s="60" t="s">
        <v>168</v>
      </c>
      <c r="E106" s="60" t="s">
        <v>3033</v>
      </c>
    </row>
    <row r="107" customFormat="false" ht="15" hidden="false" customHeight="false" outlineLevel="0" collapsed="false">
      <c r="B107" s="60" t="s">
        <v>3038</v>
      </c>
      <c r="C107" s="60" t="n">
        <v>7</v>
      </c>
      <c r="D107" s="60" t="s">
        <v>168</v>
      </c>
      <c r="E107" s="60" t="s">
        <v>3038</v>
      </c>
    </row>
    <row r="108" customFormat="false" ht="15" hidden="false" customHeight="false" outlineLevel="0" collapsed="false">
      <c r="B108" s="60" t="s">
        <v>3416</v>
      </c>
      <c r="C108" s="60" t="n">
        <v>8</v>
      </c>
      <c r="D108" s="60" t="s">
        <v>168</v>
      </c>
      <c r="E108" s="60" t="s">
        <v>3416</v>
      </c>
    </row>
    <row r="109" customFormat="false" ht="15" hidden="false" customHeight="false" outlineLevel="0" collapsed="false">
      <c r="B109" s="60" t="s">
        <v>3764</v>
      </c>
      <c r="C109" s="60" t="n">
        <v>9</v>
      </c>
      <c r="D109" s="60" t="s">
        <v>168</v>
      </c>
      <c r="E109" s="60" t="s">
        <v>3764</v>
      </c>
    </row>
    <row r="110" customFormat="false" ht="15" hidden="false" customHeight="false" outlineLevel="0" collapsed="false">
      <c r="B110" s="60" t="s">
        <v>3797</v>
      </c>
      <c r="C110" s="60" t="n">
        <v>9</v>
      </c>
      <c r="D110" s="60" t="s">
        <v>168</v>
      </c>
      <c r="E110" s="60" t="s">
        <v>3797</v>
      </c>
    </row>
    <row r="111" customFormat="false" ht="15" hidden="false" customHeight="false" outlineLevel="0" collapsed="false">
      <c r="B111" s="60" t="s">
        <v>225</v>
      </c>
      <c r="C111" s="60" t="n">
        <v>2</v>
      </c>
      <c r="D111" s="60" t="s">
        <v>226</v>
      </c>
      <c r="E111" s="60" t="s">
        <v>225</v>
      </c>
    </row>
    <row r="112" customFormat="false" ht="15" hidden="false" customHeight="false" outlineLevel="0" collapsed="false">
      <c r="B112" s="60" t="s">
        <v>421</v>
      </c>
      <c r="C112" s="60" t="n">
        <v>3</v>
      </c>
      <c r="D112" s="60" t="s">
        <v>226</v>
      </c>
      <c r="E112" s="60" t="s">
        <v>421</v>
      </c>
    </row>
    <row r="113" customFormat="false" ht="15" hidden="false" customHeight="false" outlineLevel="0" collapsed="false">
      <c r="B113" s="60" t="s">
        <v>1426</v>
      </c>
      <c r="C113" s="60" t="n">
        <v>5</v>
      </c>
      <c r="D113" s="60" t="s">
        <v>226</v>
      </c>
      <c r="E113" s="60" t="s">
        <v>1426</v>
      </c>
    </row>
    <row r="114" customFormat="false" ht="15" hidden="false" customHeight="false" outlineLevel="0" collapsed="false">
      <c r="B114" s="60" t="s">
        <v>1558</v>
      </c>
      <c r="C114" s="60" t="n">
        <v>5</v>
      </c>
      <c r="D114" s="60" t="s">
        <v>226</v>
      </c>
      <c r="E114" s="60" t="s">
        <v>1558</v>
      </c>
    </row>
    <row r="115" customFormat="false" ht="15" hidden="false" customHeight="false" outlineLevel="0" collapsed="false">
      <c r="B115" s="60" t="s">
        <v>2302</v>
      </c>
      <c r="C115" s="60" t="n">
        <v>6</v>
      </c>
      <c r="D115" s="60" t="s">
        <v>226</v>
      </c>
      <c r="E115" s="60" t="s">
        <v>2302</v>
      </c>
    </row>
    <row r="116" customFormat="false" ht="15" hidden="false" customHeight="false" outlineLevel="0" collapsed="false">
      <c r="B116" s="60" t="s">
        <v>2306</v>
      </c>
      <c r="C116" s="60" t="n">
        <v>6</v>
      </c>
      <c r="D116" s="60" t="s">
        <v>226</v>
      </c>
      <c r="E116" s="60" t="s">
        <v>2306</v>
      </c>
    </row>
    <row r="117" customFormat="false" ht="15" hidden="false" customHeight="false" outlineLevel="0" collapsed="false">
      <c r="B117" s="60" t="s">
        <v>2826</v>
      </c>
      <c r="C117" s="60" t="n">
        <v>7</v>
      </c>
      <c r="D117" s="60" t="s">
        <v>226</v>
      </c>
      <c r="E117" s="60" t="s">
        <v>2826</v>
      </c>
    </row>
    <row r="118" customFormat="false" ht="15" hidden="false" customHeight="false" outlineLevel="0" collapsed="false">
      <c r="B118" s="60" t="s">
        <v>3403</v>
      </c>
      <c r="C118" s="60" t="n">
        <v>8</v>
      </c>
      <c r="D118" s="60" t="s">
        <v>226</v>
      </c>
      <c r="E118" s="60" t="s">
        <v>3403</v>
      </c>
    </row>
    <row r="119" customFormat="false" ht="15" hidden="false" customHeight="false" outlineLevel="0" collapsed="false">
      <c r="B119" s="60" t="s">
        <v>3670</v>
      </c>
      <c r="C119" s="60" t="n">
        <v>9</v>
      </c>
      <c r="D119" s="60" t="s">
        <v>226</v>
      </c>
      <c r="E119" s="60" t="s">
        <v>3670</v>
      </c>
    </row>
    <row r="120" customFormat="false" ht="15" hidden="false" customHeight="false" outlineLevel="0" collapsed="false">
      <c r="B120" s="60" t="s">
        <v>3756</v>
      </c>
      <c r="C120" s="60" t="n">
        <v>9</v>
      </c>
      <c r="D120" s="60" t="s">
        <v>226</v>
      </c>
      <c r="E120" s="60" t="s">
        <v>3756</v>
      </c>
    </row>
    <row r="121" customFormat="false" ht="15" hidden="false" customHeight="false" outlineLevel="0" collapsed="false">
      <c r="B121" s="60" t="s">
        <v>38</v>
      </c>
      <c r="C121" s="60" t="n">
        <v>1</v>
      </c>
      <c r="D121" s="60" t="s">
        <v>39</v>
      </c>
      <c r="E121" s="60" t="s">
        <v>38</v>
      </c>
    </row>
    <row r="122" customFormat="false" ht="15" hidden="false" customHeight="false" outlineLevel="0" collapsed="false">
      <c r="B122" s="60" t="s">
        <v>58</v>
      </c>
      <c r="C122" s="60" t="n">
        <v>1</v>
      </c>
      <c r="D122" s="60" t="s">
        <v>39</v>
      </c>
      <c r="E122" s="60" t="s">
        <v>58</v>
      </c>
    </row>
    <row r="123" customFormat="false" ht="15" hidden="false" customHeight="false" outlineLevel="0" collapsed="false">
      <c r="B123" s="60" t="s">
        <v>126</v>
      </c>
      <c r="C123" s="60" t="n">
        <v>1</v>
      </c>
      <c r="D123" s="60" t="s">
        <v>39</v>
      </c>
      <c r="E123" s="60" t="s">
        <v>126</v>
      </c>
    </row>
    <row r="124" customFormat="false" ht="15" hidden="false" customHeight="false" outlineLevel="0" collapsed="false">
      <c r="B124" s="60" t="s">
        <v>130</v>
      </c>
      <c r="C124" s="60" t="n">
        <v>1</v>
      </c>
      <c r="D124" s="60" t="s">
        <v>39</v>
      </c>
      <c r="E124" s="60" t="s">
        <v>130</v>
      </c>
    </row>
    <row r="125" customFormat="false" ht="15" hidden="false" customHeight="false" outlineLevel="0" collapsed="false">
      <c r="B125" s="60" t="s">
        <v>176</v>
      </c>
      <c r="C125" s="60" t="n">
        <v>2</v>
      </c>
      <c r="D125" s="60" t="s">
        <v>39</v>
      </c>
      <c r="E125" s="60" t="s">
        <v>176</v>
      </c>
    </row>
    <row r="126" customFormat="false" ht="15" hidden="false" customHeight="false" outlineLevel="0" collapsed="false">
      <c r="B126" s="60" t="s">
        <v>240</v>
      </c>
      <c r="C126" s="60" t="n">
        <v>3</v>
      </c>
      <c r="D126" s="60" t="s">
        <v>39</v>
      </c>
      <c r="E126" s="60" t="s">
        <v>240</v>
      </c>
    </row>
    <row r="127" customFormat="false" ht="15" hidden="false" customHeight="false" outlineLevel="0" collapsed="false">
      <c r="B127" s="60" t="s">
        <v>245</v>
      </c>
      <c r="C127" s="60" t="n">
        <v>3</v>
      </c>
      <c r="D127" s="60" t="s">
        <v>39</v>
      </c>
      <c r="E127" s="60" t="s">
        <v>245</v>
      </c>
    </row>
    <row r="128" customFormat="false" ht="15" hidden="false" customHeight="false" outlineLevel="0" collapsed="false">
      <c r="B128" s="60" t="s">
        <v>378</v>
      </c>
      <c r="C128" s="60" t="n">
        <v>3</v>
      </c>
      <c r="D128" s="60" t="s">
        <v>39</v>
      </c>
      <c r="E128" s="60" t="s">
        <v>378</v>
      </c>
    </row>
    <row r="129" customFormat="false" ht="15" hidden="false" customHeight="false" outlineLevel="0" collapsed="false">
      <c r="B129" s="60" t="s">
        <v>406</v>
      </c>
      <c r="C129" s="60" t="n">
        <v>3</v>
      </c>
      <c r="D129" s="60" t="s">
        <v>39</v>
      </c>
      <c r="E129" s="60" t="s">
        <v>406</v>
      </c>
    </row>
    <row r="130" customFormat="false" ht="15" hidden="false" customHeight="false" outlineLevel="0" collapsed="false">
      <c r="B130" s="60" t="s">
        <v>435</v>
      </c>
      <c r="C130" s="60" t="n">
        <v>3</v>
      </c>
      <c r="D130" s="60" t="s">
        <v>39</v>
      </c>
      <c r="E130" s="60" t="s">
        <v>435</v>
      </c>
    </row>
    <row r="131" customFormat="false" ht="15" hidden="false" customHeight="false" outlineLevel="0" collapsed="false">
      <c r="B131" s="60" t="s">
        <v>469</v>
      </c>
      <c r="C131" s="60" t="n">
        <v>4</v>
      </c>
      <c r="D131" s="60" t="s">
        <v>39</v>
      </c>
      <c r="E131" s="60" t="s">
        <v>469</v>
      </c>
    </row>
    <row r="132" customFormat="false" ht="15" hidden="false" customHeight="false" outlineLevel="0" collapsed="false">
      <c r="B132" s="60" t="s">
        <v>513</v>
      </c>
      <c r="C132" s="60" t="n">
        <v>4</v>
      </c>
      <c r="D132" s="60" t="s">
        <v>39</v>
      </c>
      <c r="E132" s="60" t="s">
        <v>513</v>
      </c>
    </row>
    <row r="133" customFormat="false" ht="15" hidden="false" customHeight="false" outlineLevel="0" collapsed="false">
      <c r="B133" s="60" t="s">
        <v>566</v>
      </c>
      <c r="C133" s="60" t="n">
        <v>4</v>
      </c>
      <c r="D133" s="60" t="s">
        <v>39</v>
      </c>
      <c r="E133" s="60" t="s">
        <v>566</v>
      </c>
    </row>
    <row r="134" customFormat="false" ht="15" hidden="false" customHeight="false" outlineLevel="0" collapsed="false">
      <c r="B134" s="60" t="s">
        <v>866</v>
      </c>
      <c r="C134" s="60" t="n">
        <v>4</v>
      </c>
      <c r="D134" s="60" t="s">
        <v>39</v>
      </c>
      <c r="E134" s="60" t="s">
        <v>866</v>
      </c>
    </row>
    <row r="135" customFormat="false" ht="15" hidden="false" customHeight="false" outlineLevel="0" collapsed="false">
      <c r="B135" s="60" t="s">
        <v>463</v>
      </c>
      <c r="C135" s="60" t="n">
        <v>4</v>
      </c>
      <c r="D135" s="60" t="s">
        <v>39</v>
      </c>
      <c r="E135" s="60" t="s">
        <v>463</v>
      </c>
    </row>
    <row r="136" customFormat="false" ht="15" hidden="false" customHeight="false" outlineLevel="0" collapsed="false">
      <c r="B136" s="60" t="s">
        <v>966</v>
      </c>
      <c r="C136" s="60" t="n">
        <v>5</v>
      </c>
      <c r="D136" s="60" t="s">
        <v>39</v>
      </c>
      <c r="E136" s="60" t="s">
        <v>966</v>
      </c>
    </row>
    <row r="137" customFormat="false" ht="15" hidden="false" customHeight="false" outlineLevel="0" collapsed="false">
      <c r="B137" s="60" t="s">
        <v>971</v>
      </c>
      <c r="C137" s="60" t="n">
        <v>5</v>
      </c>
      <c r="D137" s="60" t="s">
        <v>39</v>
      </c>
      <c r="E137" s="60" t="s">
        <v>971</v>
      </c>
    </row>
    <row r="138" customFormat="false" ht="15" hidden="false" customHeight="false" outlineLevel="0" collapsed="false">
      <c r="B138" s="60" t="s">
        <v>975</v>
      </c>
      <c r="C138" s="60" t="n">
        <v>5</v>
      </c>
      <c r="D138" s="60" t="s">
        <v>39</v>
      </c>
      <c r="E138" s="60" t="s">
        <v>975</v>
      </c>
    </row>
    <row r="139" customFormat="false" ht="15" hidden="false" customHeight="false" outlineLevel="0" collapsed="false">
      <c r="B139" s="60" t="s">
        <v>993</v>
      </c>
      <c r="C139" s="60" t="n">
        <v>5</v>
      </c>
      <c r="D139" s="60" t="s">
        <v>39</v>
      </c>
      <c r="E139" s="60" t="s">
        <v>993</v>
      </c>
    </row>
    <row r="140" customFormat="false" ht="15" hidden="false" customHeight="false" outlineLevel="0" collapsed="false">
      <c r="B140" s="60" t="s">
        <v>1053</v>
      </c>
      <c r="C140" s="60" t="n">
        <v>5</v>
      </c>
      <c r="D140" s="60" t="s">
        <v>39</v>
      </c>
      <c r="E140" s="60" t="s">
        <v>1053</v>
      </c>
    </row>
    <row r="141" customFormat="false" ht="15" hidden="false" customHeight="false" outlineLevel="0" collapsed="false">
      <c r="B141" s="60" t="s">
        <v>1475</v>
      </c>
      <c r="C141" s="60" t="n">
        <v>5</v>
      </c>
      <c r="D141" s="60" t="s">
        <v>39</v>
      </c>
      <c r="E141" s="60" t="s">
        <v>1475</v>
      </c>
    </row>
    <row r="142" customFormat="false" ht="15" hidden="false" customHeight="false" outlineLevel="0" collapsed="false">
      <c r="B142" s="60" t="s">
        <v>1518</v>
      </c>
      <c r="C142" s="60" t="n">
        <v>5</v>
      </c>
      <c r="D142" s="60" t="s">
        <v>39</v>
      </c>
      <c r="E142" s="60" t="s">
        <v>1518</v>
      </c>
    </row>
    <row r="143" customFormat="false" ht="15" hidden="false" customHeight="false" outlineLevel="0" collapsed="false">
      <c r="B143" s="60" t="s">
        <v>1600</v>
      </c>
      <c r="C143" s="60" t="n">
        <v>5</v>
      </c>
      <c r="D143" s="60" t="s">
        <v>39</v>
      </c>
      <c r="E143" s="60" t="s">
        <v>1600</v>
      </c>
    </row>
    <row r="144" customFormat="false" ht="15" hidden="false" customHeight="false" outlineLevel="0" collapsed="false">
      <c r="B144" s="60" t="s">
        <v>1652</v>
      </c>
      <c r="C144" s="60" t="n">
        <v>6</v>
      </c>
      <c r="D144" s="60" t="s">
        <v>39</v>
      </c>
      <c r="E144" s="60" t="s">
        <v>1652</v>
      </c>
    </row>
    <row r="145" customFormat="false" ht="15" hidden="false" customHeight="false" outlineLevel="0" collapsed="false">
      <c r="B145" s="60" t="s">
        <v>1656</v>
      </c>
      <c r="C145" s="60" t="n">
        <v>6</v>
      </c>
      <c r="D145" s="60" t="s">
        <v>39</v>
      </c>
      <c r="E145" s="60" t="s">
        <v>1656</v>
      </c>
    </row>
    <row r="146" customFormat="false" ht="15" hidden="false" customHeight="false" outlineLevel="0" collapsed="false">
      <c r="B146" s="60" t="s">
        <v>1678</v>
      </c>
      <c r="C146" s="60" t="n">
        <v>6</v>
      </c>
      <c r="D146" s="60" t="s">
        <v>39</v>
      </c>
      <c r="E146" s="60" t="s">
        <v>1678</v>
      </c>
    </row>
    <row r="147" customFormat="false" ht="15" hidden="false" customHeight="false" outlineLevel="0" collapsed="false">
      <c r="B147" s="60" t="s">
        <v>1682</v>
      </c>
      <c r="C147" s="60" t="n">
        <v>6</v>
      </c>
      <c r="D147" s="60" t="s">
        <v>39</v>
      </c>
      <c r="E147" s="60" t="s">
        <v>1682</v>
      </c>
    </row>
    <row r="148" customFormat="false" ht="15" hidden="false" customHeight="false" outlineLevel="0" collapsed="false">
      <c r="B148" s="60" t="s">
        <v>1777</v>
      </c>
      <c r="C148" s="60" t="n">
        <v>6</v>
      </c>
      <c r="D148" s="60" t="s">
        <v>39</v>
      </c>
      <c r="E148" s="60" t="s">
        <v>1777</v>
      </c>
    </row>
    <row r="149" customFormat="false" ht="15" hidden="false" customHeight="false" outlineLevel="0" collapsed="false">
      <c r="B149" s="60" t="s">
        <v>2269</v>
      </c>
      <c r="C149" s="60" t="n">
        <v>6</v>
      </c>
      <c r="D149" s="60" t="s">
        <v>39</v>
      </c>
      <c r="E149" s="60" t="s">
        <v>2269</v>
      </c>
    </row>
    <row r="150" customFormat="false" ht="15" hidden="false" customHeight="false" outlineLevel="0" collapsed="false">
      <c r="B150" s="60" t="s">
        <v>2273</v>
      </c>
      <c r="C150" s="60" t="n">
        <v>6</v>
      </c>
      <c r="D150" s="60" t="s">
        <v>39</v>
      </c>
      <c r="E150" s="60" t="s">
        <v>2273</v>
      </c>
    </row>
    <row r="151" customFormat="false" ht="15" hidden="false" customHeight="false" outlineLevel="0" collapsed="false">
      <c r="B151" s="60" t="s">
        <v>2356</v>
      </c>
      <c r="C151" s="60" t="n">
        <v>6</v>
      </c>
      <c r="D151" s="60" t="s">
        <v>39</v>
      </c>
      <c r="E151" s="60" t="s">
        <v>2356</v>
      </c>
    </row>
    <row r="152" customFormat="false" ht="15" hidden="false" customHeight="false" outlineLevel="0" collapsed="false">
      <c r="B152" s="60" t="s">
        <v>2406</v>
      </c>
      <c r="C152" s="60" t="n">
        <v>7</v>
      </c>
      <c r="D152" s="60" t="s">
        <v>39</v>
      </c>
      <c r="E152" s="60" t="s">
        <v>2406</v>
      </c>
    </row>
    <row r="153" customFormat="false" ht="15" hidden="false" customHeight="false" outlineLevel="0" collapsed="false">
      <c r="B153" s="60" t="s">
        <v>2415</v>
      </c>
      <c r="C153" s="60" t="n">
        <v>7</v>
      </c>
      <c r="D153" s="60" t="s">
        <v>39</v>
      </c>
      <c r="E153" s="60" t="s">
        <v>2415</v>
      </c>
    </row>
    <row r="154" customFormat="false" ht="15" hidden="false" customHeight="false" outlineLevel="0" collapsed="false">
      <c r="B154" s="60" t="s">
        <v>2419</v>
      </c>
      <c r="C154" s="60" t="n">
        <v>7</v>
      </c>
      <c r="D154" s="60" t="s">
        <v>39</v>
      </c>
      <c r="E154" s="60" t="s">
        <v>2419</v>
      </c>
    </row>
    <row r="155" customFormat="false" ht="15" hidden="false" customHeight="false" outlineLevel="0" collapsed="false">
      <c r="B155" s="60" t="s">
        <v>2460</v>
      </c>
      <c r="C155" s="60" t="n">
        <v>7</v>
      </c>
      <c r="D155" s="60" t="s">
        <v>39</v>
      </c>
      <c r="E155" s="60" t="s">
        <v>2460</v>
      </c>
    </row>
    <row r="156" customFormat="false" ht="15" hidden="false" customHeight="false" outlineLevel="0" collapsed="false">
      <c r="B156" s="60" t="s">
        <v>2504</v>
      </c>
      <c r="C156" s="60" t="n">
        <v>7</v>
      </c>
      <c r="D156" s="60" t="s">
        <v>39</v>
      </c>
      <c r="E156" s="60" t="s">
        <v>2504</v>
      </c>
    </row>
    <row r="157" customFormat="false" ht="15" hidden="false" customHeight="false" outlineLevel="0" collapsed="false">
      <c r="B157" s="60" t="s">
        <v>2822</v>
      </c>
      <c r="C157" s="60" t="n">
        <v>7</v>
      </c>
      <c r="D157" s="60" t="s">
        <v>39</v>
      </c>
      <c r="E157" s="60" t="s">
        <v>2822</v>
      </c>
    </row>
    <row r="158" customFormat="false" ht="15" hidden="false" customHeight="false" outlineLevel="0" collapsed="false">
      <c r="B158" s="60" t="s">
        <v>2940</v>
      </c>
      <c r="C158" s="60" t="n">
        <v>7</v>
      </c>
      <c r="D158" s="60" t="s">
        <v>39</v>
      </c>
      <c r="E158" s="60" t="s">
        <v>2940</v>
      </c>
    </row>
    <row r="159" customFormat="false" ht="15" hidden="false" customHeight="false" outlineLevel="0" collapsed="false">
      <c r="B159" s="60" t="s">
        <v>2962</v>
      </c>
      <c r="C159" s="60" t="n">
        <v>7</v>
      </c>
      <c r="D159" s="60" t="s">
        <v>39</v>
      </c>
      <c r="E159" s="60" t="s">
        <v>2962</v>
      </c>
    </row>
    <row r="160" customFormat="false" ht="15" hidden="false" customHeight="false" outlineLevel="0" collapsed="false">
      <c r="B160" s="60" t="s">
        <v>2966</v>
      </c>
      <c r="C160" s="60" t="n">
        <v>7</v>
      </c>
      <c r="D160" s="60" t="s">
        <v>39</v>
      </c>
      <c r="E160" s="60" t="s">
        <v>2966</v>
      </c>
    </row>
    <row r="161" customFormat="false" ht="15" hidden="false" customHeight="false" outlineLevel="0" collapsed="false">
      <c r="B161" s="60" t="s">
        <v>3045</v>
      </c>
      <c r="C161" s="60" t="n">
        <v>7</v>
      </c>
      <c r="D161" s="60" t="s">
        <v>39</v>
      </c>
      <c r="E161" s="60" t="s">
        <v>3045</v>
      </c>
    </row>
    <row r="162" customFormat="false" ht="15" hidden="false" customHeight="false" outlineLevel="0" collapsed="false">
      <c r="B162" s="60" t="s">
        <v>3049</v>
      </c>
      <c r="C162" s="60" t="n">
        <v>7</v>
      </c>
      <c r="D162" s="60" t="s">
        <v>39</v>
      </c>
      <c r="E162" s="60" t="s">
        <v>3049</v>
      </c>
    </row>
    <row r="163" customFormat="false" ht="15" hidden="false" customHeight="false" outlineLevel="0" collapsed="false">
      <c r="B163" s="60" t="s">
        <v>3052</v>
      </c>
      <c r="C163" s="60" t="n">
        <v>7</v>
      </c>
      <c r="D163" s="60" t="s">
        <v>39</v>
      </c>
      <c r="E163" s="60" t="s">
        <v>3052</v>
      </c>
    </row>
    <row r="164" customFormat="false" ht="15" hidden="false" customHeight="false" outlineLevel="0" collapsed="false">
      <c r="B164" s="60" t="s">
        <v>2411</v>
      </c>
      <c r="C164" s="60" t="n">
        <v>7</v>
      </c>
      <c r="D164" s="60" t="s">
        <v>39</v>
      </c>
      <c r="E164" s="60" t="s">
        <v>2411</v>
      </c>
    </row>
    <row r="165" customFormat="false" ht="15" hidden="false" customHeight="false" outlineLevel="0" collapsed="false">
      <c r="B165" s="60" t="s">
        <v>2423</v>
      </c>
      <c r="C165" s="60" t="n">
        <v>7</v>
      </c>
      <c r="D165" s="60" t="s">
        <v>39</v>
      </c>
      <c r="E165" s="60" t="s">
        <v>2423</v>
      </c>
    </row>
    <row r="166" customFormat="false" ht="15" hidden="false" customHeight="false" outlineLevel="0" collapsed="false">
      <c r="B166" s="60" t="s">
        <v>3095</v>
      </c>
      <c r="C166" s="60" t="n">
        <v>8</v>
      </c>
      <c r="D166" s="60" t="s">
        <v>39</v>
      </c>
      <c r="E166" s="60" t="s">
        <v>3095</v>
      </c>
    </row>
    <row r="167" customFormat="false" ht="15" hidden="false" customHeight="false" outlineLevel="0" collapsed="false">
      <c r="B167" s="60" t="s">
        <v>3100</v>
      </c>
      <c r="C167" s="60" t="n">
        <v>8</v>
      </c>
      <c r="D167" s="60" t="s">
        <v>39</v>
      </c>
      <c r="E167" s="60" t="s">
        <v>3100</v>
      </c>
    </row>
    <row r="168" customFormat="false" ht="15" hidden="false" customHeight="false" outlineLevel="0" collapsed="false">
      <c r="B168" s="60" t="s">
        <v>3104</v>
      </c>
      <c r="C168" s="60" t="n">
        <v>8</v>
      </c>
      <c r="D168" s="60" t="s">
        <v>39</v>
      </c>
      <c r="E168" s="60" t="s">
        <v>3104</v>
      </c>
    </row>
    <row r="169" customFormat="false" ht="15" hidden="false" customHeight="false" outlineLevel="0" collapsed="false">
      <c r="B169" s="60" t="s">
        <v>3108</v>
      </c>
      <c r="C169" s="60" t="n">
        <v>8</v>
      </c>
      <c r="D169" s="60" t="s">
        <v>39</v>
      </c>
      <c r="E169" s="60" t="s">
        <v>3108</v>
      </c>
    </row>
    <row r="170" customFormat="false" ht="15" hidden="false" customHeight="false" outlineLevel="0" collapsed="false">
      <c r="B170" s="60" t="s">
        <v>3111</v>
      </c>
      <c r="C170" s="60" t="n">
        <v>8</v>
      </c>
      <c r="D170" s="60" t="s">
        <v>39</v>
      </c>
      <c r="E170" s="60" t="s">
        <v>3111</v>
      </c>
    </row>
    <row r="171" customFormat="false" ht="15" hidden="false" customHeight="false" outlineLevel="0" collapsed="false">
      <c r="B171" s="60" t="s">
        <v>3114</v>
      </c>
      <c r="C171" s="60" t="n">
        <v>8</v>
      </c>
      <c r="D171" s="60" t="s">
        <v>39</v>
      </c>
      <c r="E171" s="60" t="s">
        <v>3114</v>
      </c>
    </row>
    <row r="172" customFormat="false" ht="15" hidden="false" customHeight="false" outlineLevel="0" collapsed="false">
      <c r="B172" s="60" t="s">
        <v>3154</v>
      </c>
      <c r="C172" s="60" t="n">
        <v>8</v>
      </c>
      <c r="D172" s="60" t="s">
        <v>39</v>
      </c>
      <c r="E172" s="60" t="s">
        <v>3154</v>
      </c>
    </row>
    <row r="173" customFormat="false" ht="15" hidden="false" customHeight="false" outlineLevel="0" collapsed="false">
      <c r="B173" s="60" t="s">
        <v>3390</v>
      </c>
      <c r="C173" s="60" t="n">
        <v>8</v>
      </c>
      <c r="D173" s="60" t="s">
        <v>39</v>
      </c>
      <c r="E173" s="60" t="s">
        <v>3390</v>
      </c>
    </row>
    <row r="174" customFormat="false" ht="15" hidden="false" customHeight="false" outlineLevel="0" collapsed="false">
      <c r="B174" s="60" t="s">
        <v>3393</v>
      </c>
      <c r="C174" s="60" t="n">
        <v>8</v>
      </c>
      <c r="D174" s="60" t="s">
        <v>39</v>
      </c>
      <c r="E174" s="60" t="s">
        <v>3393</v>
      </c>
    </row>
    <row r="175" customFormat="false" ht="15" hidden="false" customHeight="false" outlineLevel="0" collapsed="false">
      <c r="B175" s="60" t="s">
        <v>3413</v>
      </c>
      <c r="C175" s="60" t="n">
        <v>8</v>
      </c>
      <c r="D175" s="60" t="s">
        <v>39</v>
      </c>
      <c r="E175" s="60" t="s">
        <v>3413</v>
      </c>
    </row>
    <row r="176" customFormat="false" ht="15" hidden="false" customHeight="false" outlineLevel="0" collapsed="false">
      <c r="B176" s="60" t="s">
        <v>3450</v>
      </c>
      <c r="C176" s="60" t="n">
        <v>9</v>
      </c>
      <c r="D176" s="60" t="s">
        <v>39</v>
      </c>
      <c r="E176" s="60" t="s">
        <v>3450</v>
      </c>
    </row>
    <row r="177" customFormat="false" ht="15" hidden="false" customHeight="false" outlineLevel="0" collapsed="false">
      <c r="B177" s="60" t="s">
        <v>3470</v>
      </c>
      <c r="C177" s="60" t="n">
        <v>9</v>
      </c>
      <c r="D177" s="60" t="s">
        <v>39</v>
      </c>
      <c r="E177" s="60" t="s">
        <v>3470</v>
      </c>
    </row>
    <row r="178" customFormat="false" ht="15" hidden="false" customHeight="false" outlineLevel="0" collapsed="false">
      <c r="B178" s="60" t="s">
        <v>3504</v>
      </c>
      <c r="C178" s="60" t="n">
        <v>9</v>
      </c>
      <c r="D178" s="60" t="s">
        <v>39</v>
      </c>
      <c r="E178" s="60" t="s">
        <v>3504</v>
      </c>
    </row>
    <row r="179" customFormat="false" ht="15" hidden="false" customHeight="false" outlineLevel="0" collapsed="false">
      <c r="B179" s="60" t="s">
        <v>3745</v>
      </c>
      <c r="C179" s="60" t="n">
        <v>9</v>
      </c>
      <c r="D179" s="60" t="s">
        <v>39</v>
      </c>
      <c r="E179" s="60" t="s">
        <v>3745</v>
      </c>
    </row>
    <row r="180" customFormat="false" ht="15" hidden="false" customHeight="false" outlineLevel="0" collapsed="false">
      <c r="B180" s="60" t="s">
        <v>448</v>
      </c>
      <c r="C180" s="60" t="n">
        <v>3</v>
      </c>
      <c r="D180" s="60" t="s">
        <v>449</v>
      </c>
      <c r="E180" s="60" t="s">
        <v>448</v>
      </c>
    </row>
    <row r="181" customFormat="false" ht="15" hidden="false" customHeight="false" outlineLevel="0" collapsed="false">
      <c r="B181" s="60" t="s">
        <v>599</v>
      </c>
      <c r="C181" s="60" t="n">
        <v>4</v>
      </c>
      <c r="D181" s="60" t="s">
        <v>449</v>
      </c>
      <c r="E181" s="60" t="s">
        <v>599</v>
      </c>
    </row>
    <row r="182" customFormat="false" ht="15" hidden="false" customHeight="false" outlineLevel="0" collapsed="false">
      <c r="B182" s="60" t="s">
        <v>795</v>
      </c>
      <c r="C182" s="60" t="n">
        <v>4</v>
      </c>
      <c r="D182" s="60" t="s">
        <v>449</v>
      </c>
      <c r="E182" s="60" t="s">
        <v>795</v>
      </c>
    </row>
    <row r="183" customFormat="false" ht="15" hidden="false" customHeight="false" outlineLevel="0" collapsed="false">
      <c r="B183" s="60" t="s">
        <v>959</v>
      </c>
      <c r="C183" s="60" t="n">
        <v>4</v>
      </c>
      <c r="D183" s="60" t="s">
        <v>449</v>
      </c>
      <c r="E183" s="60" t="s">
        <v>959</v>
      </c>
    </row>
    <row r="184" customFormat="false" ht="15" hidden="false" customHeight="false" outlineLevel="0" collapsed="false">
      <c r="B184" s="60" t="s">
        <v>1227</v>
      </c>
      <c r="C184" s="60" t="n">
        <v>5</v>
      </c>
      <c r="D184" s="60" t="s">
        <v>449</v>
      </c>
      <c r="E184" s="60" t="s">
        <v>1227</v>
      </c>
    </row>
    <row r="185" customFormat="false" ht="15" hidden="false" customHeight="false" outlineLevel="0" collapsed="false">
      <c r="B185" s="60" t="s">
        <v>1308</v>
      </c>
      <c r="C185" s="60" t="n">
        <v>5</v>
      </c>
      <c r="D185" s="60" t="s">
        <v>449</v>
      </c>
      <c r="E185" s="60" t="s">
        <v>1308</v>
      </c>
    </row>
    <row r="186" customFormat="false" ht="15" hidden="false" customHeight="false" outlineLevel="0" collapsed="false">
      <c r="B186" s="60" t="s">
        <v>1320</v>
      </c>
      <c r="C186" s="60" t="n">
        <v>5</v>
      </c>
      <c r="D186" s="60" t="s">
        <v>449</v>
      </c>
      <c r="E186" s="60" t="s">
        <v>1320</v>
      </c>
    </row>
    <row r="187" customFormat="false" ht="15" hidden="false" customHeight="false" outlineLevel="0" collapsed="false">
      <c r="B187" s="60" t="s">
        <v>1977</v>
      </c>
      <c r="C187" s="60" t="n">
        <v>6</v>
      </c>
      <c r="D187" s="60" t="s">
        <v>449</v>
      </c>
      <c r="E187" s="60" t="s">
        <v>1977</v>
      </c>
    </row>
    <row r="188" customFormat="false" ht="15" hidden="false" customHeight="false" outlineLevel="0" collapsed="false">
      <c r="B188" s="60" t="s">
        <v>1981</v>
      </c>
      <c r="C188" s="60" t="n">
        <v>6</v>
      </c>
      <c r="D188" s="60" t="s">
        <v>449</v>
      </c>
      <c r="E188" s="60" t="s">
        <v>1981</v>
      </c>
    </row>
    <row r="189" customFormat="false" ht="15" hidden="false" customHeight="false" outlineLevel="0" collapsed="false">
      <c r="B189" s="60" t="s">
        <v>2179</v>
      </c>
      <c r="C189" s="60" t="n">
        <v>6</v>
      </c>
      <c r="D189" s="60" t="s">
        <v>449</v>
      </c>
      <c r="E189" s="60" t="s">
        <v>2179</v>
      </c>
    </row>
    <row r="190" customFormat="false" ht="15" hidden="false" customHeight="false" outlineLevel="0" collapsed="false">
      <c r="B190" s="60" t="s">
        <v>2183</v>
      </c>
      <c r="C190" s="60" t="n">
        <v>6</v>
      </c>
      <c r="D190" s="60" t="s">
        <v>449</v>
      </c>
      <c r="E190" s="60" t="s">
        <v>2183</v>
      </c>
    </row>
    <row r="191" customFormat="false" ht="15" hidden="false" customHeight="false" outlineLevel="0" collapsed="false">
      <c r="B191" s="60" t="s">
        <v>2376</v>
      </c>
      <c r="C191" s="60" t="n">
        <v>6</v>
      </c>
      <c r="D191" s="60" t="s">
        <v>449</v>
      </c>
      <c r="E191" s="60" t="s">
        <v>2376</v>
      </c>
    </row>
    <row r="192" customFormat="false" ht="15" hidden="false" customHeight="false" outlineLevel="0" collapsed="false">
      <c r="B192" s="60" t="s">
        <v>3258</v>
      </c>
      <c r="C192" s="60" t="n">
        <v>8</v>
      </c>
      <c r="D192" s="60" t="s">
        <v>449</v>
      </c>
      <c r="E192" s="60" t="s">
        <v>3258</v>
      </c>
    </row>
    <row r="193" customFormat="false" ht="15" hidden="false" customHeight="false" outlineLevel="0" collapsed="false">
      <c r="B193" s="60" t="s">
        <v>3350</v>
      </c>
      <c r="C193" s="60" t="n">
        <v>8</v>
      </c>
      <c r="D193" s="60" t="s">
        <v>449</v>
      </c>
      <c r="E193" s="60" t="s">
        <v>3350</v>
      </c>
    </row>
    <row r="194" customFormat="false" ht="15" hidden="false" customHeight="false" outlineLevel="0" collapsed="false">
      <c r="B194" s="60" t="s">
        <v>3355</v>
      </c>
      <c r="C194" s="60" t="n">
        <v>8</v>
      </c>
      <c r="D194" s="60" t="s">
        <v>449</v>
      </c>
      <c r="E194" s="60" t="s">
        <v>3355</v>
      </c>
    </row>
    <row r="195" customFormat="false" ht="15" hidden="false" customHeight="false" outlineLevel="0" collapsed="false">
      <c r="B195" s="60" t="s">
        <v>3561</v>
      </c>
      <c r="C195" s="60" t="n">
        <v>9</v>
      </c>
      <c r="D195" s="60" t="s">
        <v>449</v>
      </c>
      <c r="E195" s="60" t="s">
        <v>3561</v>
      </c>
    </row>
    <row r="196" customFormat="false" ht="15" hidden="false" customHeight="false" outlineLevel="0" collapsed="false">
      <c r="B196" s="60" t="s">
        <v>3564</v>
      </c>
      <c r="C196" s="60" t="n">
        <v>9</v>
      </c>
      <c r="D196" s="60" t="s">
        <v>449</v>
      </c>
      <c r="E196" s="60" t="s">
        <v>3564</v>
      </c>
    </row>
    <row r="197" customFormat="false" ht="15" hidden="false" customHeight="false" outlineLevel="0" collapsed="false">
      <c r="B197" s="60" t="s">
        <v>3697</v>
      </c>
      <c r="C197" s="60" t="n">
        <v>9</v>
      </c>
      <c r="D197" s="60" t="s">
        <v>449</v>
      </c>
      <c r="E197" s="60" t="s">
        <v>3697</v>
      </c>
    </row>
    <row r="198" customFormat="false" ht="15" hidden="false" customHeight="false" outlineLevel="0" collapsed="false">
      <c r="B198" s="60" t="s">
        <v>3478</v>
      </c>
      <c r="C198" s="60" t="n">
        <v>9</v>
      </c>
      <c r="D198" s="60" t="s">
        <v>449</v>
      </c>
      <c r="E198" s="60" t="s">
        <v>3478</v>
      </c>
    </row>
    <row r="199" customFormat="false" ht="15" hidden="false" customHeight="false" outlineLevel="0" collapsed="false">
      <c r="B199" s="60" t="s">
        <v>3807</v>
      </c>
      <c r="C199" s="60" t="n">
        <v>10</v>
      </c>
      <c r="D199" s="60" t="s">
        <v>449</v>
      </c>
      <c r="E199" s="60" t="s">
        <v>3807</v>
      </c>
    </row>
    <row r="200" customFormat="false" ht="15" hidden="false" customHeight="false" outlineLevel="0" collapsed="false">
      <c r="B200" s="60" t="s">
        <v>3889</v>
      </c>
      <c r="C200" s="60" t="n">
        <v>10</v>
      </c>
      <c r="D200" s="60" t="s">
        <v>449</v>
      </c>
      <c r="E200" s="60" t="s">
        <v>3889</v>
      </c>
    </row>
    <row r="201" customFormat="false" ht="15" hidden="false" customHeight="false" outlineLevel="0" collapsed="false">
      <c r="B201" s="60" t="s">
        <v>3927</v>
      </c>
      <c r="C201" s="60" t="n">
        <v>11</v>
      </c>
      <c r="D201" s="60" t="s">
        <v>449</v>
      </c>
      <c r="E201" s="60" t="s">
        <v>3927</v>
      </c>
    </row>
    <row r="202" customFormat="false" ht="15" hidden="false" customHeight="false" outlineLevel="0" collapsed="false">
      <c r="B202" s="60" t="s">
        <v>3995</v>
      </c>
      <c r="C202" s="60" t="n">
        <v>11</v>
      </c>
      <c r="D202" s="60" t="s">
        <v>449</v>
      </c>
      <c r="E202" s="60" t="s">
        <v>3995</v>
      </c>
    </row>
    <row r="203" customFormat="false" ht="15" hidden="false" customHeight="false" outlineLevel="0" collapsed="false">
      <c r="B203" s="60" t="s">
        <v>3998</v>
      </c>
      <c r="C203" s="60" t="n">
        <v>11</v>
      </c>
      <c r="D203" s="60" t="s">
        <v>449</v>
      </c>
      <c r="E203" s="60" t="s">
        <v>3998</v>
      </c>
    </row>
    <row r="204" customFormat="false" ht="15" hidden="false" customHeight="false" outlineLevel="0" collapsed="false">
      <c r="B204" s="60" t="s">
        <v>82</v>
      </c>
      <c r="C204" s="60" t="n">
        <v>1</v>
      </c>
      <c r="D204" s="60" t="s">
        <v>83</v>
      </c>
      <c r="E204" s="60" t="s">
        <v>82</v>
      </c>
    </row>
    <row r="205" customFormat="false" ht="15" hidden="false" customHeight="false" outlineLevel="0" collapsed="false">
      <c r="B205" s="60" t="s">
        <v>308</v>
      </c>
      <c r="C205" s="60" t="n">
        <v>3</v>
      </c>
      <c r="D205" s="60" t="s">
        <v>83</v>
      </c>
      <c r="E205" s="60" t="s">
        <v>308</v>
      </c>
    </row>
    <row r="206" customFormat="false" ht="15" hidden="false" customHeight="false" outlineLevel="0" collapsed="false">
      <c r="B206" s="60" t="s">
        <v>473</v>
      </c>
      <c r="C206" s="60" t="n">
        <v>4</v>
      </c>
      <c r="D206" s="60" t="s">
        <v>83</v>
      </c>
      <c r="E206" s="60" t="s">
        <v>473</v>
      </c>
    </row>
    <row r="207" customFormat="false" ht="15" hidden="false" customHeight="false" outlineLevel="0" collapsed="false">
      <c r="B207" s="60" t="s">
        <v>1234</v>
      </c>
      <c r="C207" s="60" t="n">
        <v>5</v>
      </c>
      <c r="D207" s="60" t="s">
        <v>83</v>
      </c>
      <c r="E207" s="60" t="s">
        <v>1234</v>
      </c>
    </row>
    <row r="208" customFormat="false" ht="15" hidden="false" customHeight="false" outlineLevel="0" collapsed="false">
      <c r="B208" s="60" t="s">
        <v>1660</v>
      </c>
      <c r="C208" s="60" t="n">
        <v>6</v>
      </c>
      <c r="D208" s="60" t="s">
        <v>83</v>
      </c>
      <c r="E208" s="60" t="s">
        <v>1660</v>
      </c>
    </row>
    <row r="209" customFormat="false" ht="15" hidden="false" customHeight="false" outlineLevel="0" collapsed="false">
      <c r="B209" s="60" t="s">
        <v>1664</v>
      </c>
      <c r="C209" s="60" t="n">
        <v>6</v>
      </c>
      <c r="D209" s="60" t="s">
        <v>83</v>
      </c>
      <c r="E209" s="60" t="s">
        <v>1664</v>
      </c>
    </row>
    <row r="210" customFormat="false" ht="15" hidden="false" customHeight="false" outlineLevel="0" collapsed="false">
      <c r="B210" s="60" t="s">
        <v>1667</v>
      </c>
      <c r="C210" s="60" t="n">
        <v>6</v>
      </c>
      <c r="D210" s="60" t="s">
        <v>83</v>
      </c>
      <c r="E210" s="60" t="s">
        <v>1667</v>
      </c>
    </row>
    <row r="211" customFormat="false" ht="15" hidden="false" customHeight="false" outlineLevel="0" collapsed="false">
      <c r="B211" s="60" t="s">
        <v>1670</v>
      </c>
      <c r="C211" s="60" t="n">
        <v>6</v>
      </c>
      <c r="D211" s="60" t="s">
        <v>83</v>
      </c>
      <c r="E211" s="60" t="s">
        <v>1670</v>
      </c>
    </row>
    <row r="212" customFormat="false" ht="15" hidden="false" customHeight="false" outlineLevel="0" collapsed="false">
      <c r="B212" s="60" t="s">
        <v>1674</v>
      </c>
      <c r="C212" s="60" t="n">
        <v>6</v>
      </c>
      <c r="D212" s="60" t="s">
        <v>83</v>
      </c>
      <c r="E212" s="60" t="s">
        <v>1674</v>
      </c>
    </row>
    <row r="213" customFormat="false" ht="15" hidden="false" customHeight="false" outlineLevel="0" collapsed="false">
      <c r="B213" s="60" t="s">
        <v>2430</v>
      </c>
      <c r="C213" s="60" t="n">
        <v>7</v>
      </c>
      <c r="D213" s="60" t="s">
        <v>83</v>
      </c>
      <c r="E213" s="60" t="s">
        <v>2430</v>
      </c>
    </row>
    <row r="214" customFormat="false" ht="15" hidden="false" customHeight="false" outlineLevel="0" collapsed="false">
      <c r="B214" s="60" t="s">
        <v>2435</v>
      </c>
      <c r="C214" s="60" t="n">
        <v>7</v>
      </c>
      <c r="D214" s="60" t="s">
        <v>83</v>
      </c>
      <c r="E214" s="60" t="s">
        <v>2435</v>
      </c>
    </row>
    <row r="215" customFormat="false" ht="15" hidden="false" customHeight="false" outlineLevel="0" collapsed="false">
      <c r="B215" s="60" t="s">
        <v>2438</v>
      </c>
      <c r="C215" s="60" t="n">
        <v>7</v>
      </c>
      <c r="D215" s="60" t="s">
        <v>83</v>
      </c>
      <c r="E215" s="60" t="s">
        <v>2438</v>
      </c>
    </row>
    <row r="216" customFormat="false" ht="15" hidden="false" customHeight="false" outlineLevel="0" collapsed="false">
      <c r="B216" s="60" t="s">
        <v>2689</v>
      </c>
      <c r="C216" s="60" t="n">
        <v>7</v>
      </c>
      <c r="D216" s="60" t="s">
        <v>83</v>
      </c>
      <c r="E216" s="60" t="s">
        <v>2689</v>
      </c>
    </row>
    <row r="217" customFormat="false" ht="15" hidden="false" customHeight="false" outlineLevel="0" collapsed="false">
      <c r="B217" s="60" t="s">
        <v>3118</v>
      </c>
      <c r="C217" s="60" t="n">
        <v>8</v>
      </c>
      <c r="D217" s="60" t="s">
        <v>83</v>
      </c>
      <c r="E217" s="60" t="s">
        <v>3118</v>
      </c>
    </row>
    <row r="218" customFormat="false" ht="15" hidden="false" customHeight="false" outlineLevel="0" collapsed="false">
      <c r="B218" s="60" t="s">
        <v>3121</v>
      </c>
      <c r="C218" s="60" t="n">
        <v>8</v>
      </c>
      <c r="D218" s="60" t="s">
        <v>83</v>
      </c>
      <c r="E218" s="60" t="s">
        <v>3121</v>
      </c>
    </row>
    <row r="219" customFormat="false" ht="15" hidden="false" customHeight="false" outlineLevel="0" collapsed="false">
      <c r="B219" s="60" t="s">
        <v>3455</v>
      </c>
      <c r="C219" s="60" t="n">
        <v>9</v>
      </c>
      <c r="D219" s="60" t="s">
        <v>83</v>
      </c>
      <c r="E219" s="60" t="s">
        <v>3455</v>
      </c>
    </row>
    <row r="220" customFormat="false" ht="15" hidden="false" customHeight="false" outlineLevel="0" collapsed="false">
      <c r="B220" s="60" t="s">
        <v>3459</v>
      </c>
      <c r="C220" s="60" t="n">
        <v>9</v>
      </c>
      <c r="D220" s="60" t="s">
        <v>83</v>
      </c>
      <c r="E220" s="60" t="s">
        <v>3459</v>
      </c>
    </row>
    <row r="221" customFormat="false" ht="15" hidden="false" customHeight="false" outlineLevel="0" collapsed="false">
      <c r="B221" s="60" t="s">
        <v>3464</v>
      </c>
      <c r="C221" s="60" t="n">
        <v>9</v>
      </c>
      <c r="D221" s="60" t="s">
        <v>83</v>
      </c>
      <c r="E221" s="60" t="s">
        <v>3464</v>
      </c>
    </row>
    <row r="222" customFormat="false" ht="15" hidden="false" customHeight="false" outlineLevel="0" collapsed="false">
      <c r="B222" s="60" t="s">
        <v>3570</v>
      </c>
      <c r="C222" s="60" t="n">
        <v>9</v>
      </c>
      <c r="D222" s="60" t="s">
        <v>83</v>
      </c>
      <c r="E222" s="60" t="s">
        <v>3570</v>
      </c>
    </row>
    <row r="223" customFormat="false" ht="15" hidden="false" customHeight="false" outlineLevel="0" collapsed="false">
      <c r="B223" s="60" t="s">
        <v>14</v>
      </c>
      <c r="C223" s="60" t="n">
        <v>0</v>
      </c>
      <c r="D223" s="60" t="s">
        <v>15</v>
      </c>
      <c r="E223" s="60" t="s">
        <v>14</v>
      </c>
    </row>
    <row r="224" customFormat="false" ht="15" hidden="false" customHeight="false" outlineLevel="0" collapsed="false">
      <c r="B224" s="60" t="s">
        <v>25</v>
      </c>
      <c r="C224" s="60" t="n">
        <v>0</v>
      </c>
      <c r="D224" s="60" t="s">
        <v>15</v>
      </c>
      <c r="E224" s="60" t="s">
        <v>25</v>
      </c>
    </row>
    <row r="225" customFormat="false" ht="15" hidden="false" customHeight="false" outlineLevel="0" collapsed="false">
      <c r="B225" s="60" t="s">
        <v>31</v>
      </c>
      <c r="C225" s="60" t="n">
        <v>0</v>
      </c>
      <c r="D225" s="60" t="s">
        <v>15</v>
      </c>
      <c r="E225" s="60" t="s">
        <v>31</v>
      </c>
    </row>
    <row r="226" customFormat="false" ht="15" hidden="false" customHeight="false" outlineLevel="0" collapsed="false">
      <c r="B226" s="60" t="s">
        <v>35</v>
      </c>
      <c r="C226" s="60" t="n">
        <v>0</v>
      </c>
      <c r="D226" s="60" t="s">
        <v>15</v>
      </c>
      <c r="E226" s="60" t="s">
        <v>35</v>
      </c>
    </row>
    <row r="227" customFormat="false" ht="15" hidden="false" customHeight="false" outlineLevel="0" collapsed="false">
      <c r="B227" s="60" t="s">
        <v>75</v>
      </c>
      <c r="C227" s="60" t="n">
        <v>1</v>
      </c>
      <c r="D227" s="60" t="s">
        <v>15</v>
      </c>
      <c r="E227" s="60" t="s">
        <v>75</v>
      </c>
    </row>
    <row r="228" customFormat="false" ht="15" hidden="false" customHeight="false" outlineLevel="0" collapsed="false">
      <c r="B228" s="60" t="s">
        <v>137</v>
      </c>
      <c r="C228" s="60" t="n">
        <v>1</v>
      </c>
      <c r="D228" s="60" t="s">
        <v>15</v>
      </c>
      <c r="E228" s="60" t="s">
        <v>137</v>
      </c>
    </row>
    <row r="229" customFormat="false" ht="15" hidden="false" customHeight="false" outlineLevel="0" collapsed="false">
      <c r="B229" s="60" t="s">
        <v>217</v>
      </c>
      <c r="C229" s="60" t="n">
        <v>2</v>
      </c>
      <c r="D229" s="60" t="s">
        <v>15</v>
      </c>
      <c r="E229" s="60" t="s">
        <v>217</v>
      </c>
    </row>
    <row r="230" customFormat="false" ht="15" hidden="false" customHeight="false" outlineLevel="0" collapsed="false">
      <c r="B230" s="60" t="s">
        <v>334</v>
      </c>
      <c r="C230" s="60" t="n">
        <v>3</v>
      </c>
      <c r="D230" s="60" t="s">
        <v>15</v>
      </c>
      <c r="E230" s="60" t="s">
        <v>334</v>
      </c>
    </row>
    <row r="231" customFormat="false" ht="15" hidden="false" customHeight="false" outlineLevel="0" collapsed="false">
      <c r="B231" s="60" t="s">
        <v>386</v>
      </c>
      <c r="C231" s="60" t="n">
        <v>3</v>
      </c>
      <c r="D231" s="60" t="s">
        <v>15</v>
      </c>
      <c r="E231" s="60" t="s">
        <v>386</v>
      </c>
    </row>
    <row r="232" customFormat="false" ht="15" hidden="false" customHeight="false" outlineLevel="0" collapsed="false">
      <c r="B232" s="60" t="s">
        <v>1348</v>
      </c>
      <c r="C232" s="60" t="n">
        <v>5</v>
      </c>
      <c r="D232" s="60" t="s">
        <v>15</v>
      </c>
      <c r="E232" s="60" t="s">
        <v>1348</v>
      </c>
    </row>
    <row r="233" customFormat="false" ht="15" hidden="false" customHeight="false" outlineLevel="0" collapsed="false">
      <c r="B233" s="60" t="s">
        <v>1471</v>
      </c>
      <c r="C233" s="60" t="n">
        <v>5</v>
      </c>
      <c r="D233" s="60" t="s">
        <v>15</v>
      </c>
      <c r="E233" s="60" t="s">
        <v>1471</v>
      </c>
    </row>
    <row r="234" customFormat="false" ht="15" hidden="false" customHeight="false" outlineLevel="0" collapsed="false">
      <c r="B234" s="60" t="s">
        <v>1562</v>
      </c>
      <c r="C234" s="60" t="n">
        <v>5</v>
      </c>
      <c r="D234" s="60" t="s">
        <v>15</v>
      </c>
      <c r="E234" s="60" t="s">
        <v>1562</v>
      </c>
    </row>
    <row r="235" customFormat="false" ht="15" hidden="false" customHeight="false" outlineLevel="0" collapsed="false">
      <c r="B235" s="60" t="s">
        <v>1565</v>
      </c>
      <c r="C235" s="60" t="n">
        <v>5</v>
      </c>
      <c r="D235" s="60" t="s">
        <v>15</v>
      </c>
      <c r="E235" s="60" t="s">
        <v>1565</v>
      </c>
    </row>
    <row r="236" customFormat="false" ht="15" hidden="false" customHeight="false" outlineLevel="0" collapsed="false">
      <c r="B236" s="60" t="s">
        <v>2871</v>
      </c>
      <c r="C236" s="60" t="n">
        <v>7</v>
      </c>
      <c r="D236" s="60" t="s">
        <v>15</v>
      </c>
      <c r="E236" s="60" t="s">
        <v>2871</v>
      </c>
    </row>
    <row r="237" customFormat="false" ht="15" hidden="false" customHeight="false" outlineLevel="0" collapsed="false">
      <c r="B237" s="60" t="s">
        <v>3012</v>
      </c>
      <c r="C237" s="60" t="n">
        <v>7</v>
      </c>
      <c r="D237" s="60" t="s">
        <v>15</v>
      </c>
      <c r="E237" s="60" t="s">
        <v>3012</v>
      </c>
    </row>
    <row r="238" customFormat="false" ht="15" hidden="false" customHeight="false" outlineLevel="0" collapsed="false">
      <c r="B238" s="60" t="s">
        <v>3018</v>
      </c>
      <c r="C238" s="60" t="n">
        <v>7</v>
      </c>
      <c r="D238" s="60" t="s">
        <v>15</v>
      </c>
      <c r="E238" s="60" t="s">
        <v>3018</v>
      </c>
    </row>
    <row r="239" customFormat="false" ht="15" hidden="false" customHeight="false" outlineLevel="0" collapsed="false">
      <c r="B239" s="60" t="s">
        <v>3367</v>
      </c>
      <c r="C239" s="60" t="n">
        <v>8</v>
      </c>
      <c r="D239" s="60" t="s">
        <v>15</v>
      </c>
      <c r="E239" s="60" t="s">
        <v>3367</v>
      </c>
    </row>
    <row r="240" customFormat="false" ht="15" hidden="false" customHeight="false" outlineLevel="0" collapsed="false">
      <c r="B240" s="60" t="s">
        <v>62</v>
      </c>
      <c r="C240" s="60" t="n">
        <v>1</v>
      </c>
      <c r="D240" s="60" t="s">
        <v>63</v>
      </c>
      <c r="E240" s="60" t="s">
        <v>62</v>
      </c>
    </row>
    <row r="241" customFormat="false" ht="15" hidden="false" customHeight="false" outlineLevel="0" collapsed="false">
      <c r="B241" s="60" t="s">
        <v>93</v>
      </c>
      <c r="C241" s="60" t="n">
        <v>1</v>
      </c>
      <c r="D241" s="60" t="s">
        <v>63</v>
      </c>
      <c r="E241" s="60" t="s">
        <v>93</v>
      </c>
    </row>
    <row r="242" customFormat="false" ht="15" hidden="false" customHeight="false" outlineLevel="0" collapsed="false">
      <c r="B242" s="60" t="s">
        <v>109</v>
      </c>
      <c r="C242" s="60" t="n">
        <v>1</v>
      </c>
      <c r="D242" s="60" t="s">
        <v>63</v>
      </c>
      <c r="E242" s="60" t="s">
        <v>109</v>
      </c>
    </row>
    <row r="243" customFormat="false" ht="15" hidden="false" customHeight="false" outlineLevel="0" collapsed="false">
      <c r="B243" s="60" t="s">
        <v>133</v>
      </c>
      <c r="C243" s="60" t="n">
        <v>1</v>
      </c>
      <c r="D243" s="60" t="s">
        <v>63</v>
      </c>
      <c r="E243" s="60" t="s">
        <v>133</v>
      </c>
    </row>
    <row r="244" customFormat="false" ht="15" hidden="false" customHeight="false" outlineLevel="0" collapsed="false">
      <c r="B244" s="60" t="s">
        <v>198</v>
      </c>
      <c r="C244" s="60" t="n">
        <v>2</v>
      </c>
      <c r="D244" s="60" t="s">
        <v>63</v>
      </c>
      <c r="E244" s="60" t="s">
        <v>198</v>
      </c>
    </row>
    <row r="245" customFormat="false" ht="15" hidden="false" customHeight="false" outlineLevel="0" collapsed="false">
      <c r="B245" s="60" t="s">
        <v>259</v>
      </c>
      <c r="C245" s="60" t="n">
        <v>3</v>
      </c>
      <c r="D245" s="60" t="s">
        <v>63</v>
      </c>
      <c r="E245" s="60" t="s">
        <v>259</v>
      </c>
    </row>
    <row r="246" customFormat="false" ht="15" hidden="false" customHeight="false" outlineLevel="0" collapsed="false">
      <c r="B246" s="60" t="s">
        <v>323</v>
      </c>
      <c r="C246" s="60" t="n">
        <v>3</v>
      </c>
      <c r="D246" s="60" t="s">
        <v>63</v>
      </c>
      <c r="E246" s="60" t="s">
        <v>323</v>
      </c>
    </row>
    <row r="247" customFormat="false" ht="15" hidden="false" customHeight="false" outlineLevel="0" collapsed="false">
      <c r="B247" s="60" t="s">
        <v>341</v>
      </c>
      <c r="C247" s="60" t="n">
        <v>3</v>
      </c>
      <c r="D247" s="60" t="s">
        <v>63</v>
      </c>
      <c r="E247" s="60" t="s">
        <v>341</v>
      </c>
    </row>
    <row r="248" customFormat="false" ht="15" hidden="false" customHeight="false" outlineLevel="0" collapsed="false">
      <c r="B248" s="60" t="s">
        <v>382</v>
      </c>
      <c r="C248" s="60" t="n">
        <v>3</v>
      </c>
      <c r="D248" s="60" t="s">
        <v>63</v>
      </c>
      <c r="E248" s="60" t="s">
        <v>382</v>
      </c>
    </row>
    <row r="249" customFormat="false" ht="15" hidden="false" customHeight="false" outlineLevel="0" collapsed="false">
      <c r="B249" s="60" t="s">
        <v>477</v>
      </c>
      <c r="C249" s="60" t="n">
        <v>4</v>
      </c>
      <c r="D249" s="60" t="s">
        <v>63</v>
      </c>
      <c r="E249" s="60" t="s">
        <v>477</v>
      </c>
    </row>
    <row r="250" customFormat="false" ht="15" hidden="false" customHeight="false" outlineLevel="0" collapsed="false">
      <c r="B250" s="60" t="s">
        <v>610</v>
      </c>
      <c r="C250" s="60" t="n">
        <v>4</v>
      </c>
      <c r="D250" s="60" t="s">
        <v>63</v>
      </c>
      <c r="E250" s="60" t="s">
        <v>610</v>
      </c>
    </row>
    <row r="251" customFormat="false" ht="15" hidden="false" customHeight="false" outlineLevel="0" collapsed="false">
      <c r="B251" s="60" t="s">
        <v>614</v>
      </c>
      <c r="C251" s="60" t="n">
        <v>4</v>
      </c>
      <c r="D251" s="60" t="s">
        <v>63</v>
      </c>
      <c r="E251" s="60" t="s">
        <v>614</v>
      </c>
    </row>
    <row r="252" customFormat="false" ht="15" hidden="false" customHeight="false" outlineLevel="0" collapsed="false">
      <c r="B252" s="60" t="s">
        <v>624</v>
      </c>
      <c r="C252" s="60" t="n">
        <v>4</v>
      </c>
      <c r="D252" s="60" t="s">
        <v>63</v>
      </c>
      <c r="E252" s="60" t="s">
        <v>624</v>
      </c>
    </row>
    <row r="253" customFormat="false" ht="15" hidden="false" customHeight="false" outlineLevel="0" collapsed="false">
      <c r="B253" s="60" t="s">
        <v>629</v>
      </c>
      <c r="C253" s="60" t="n">
        <v>4</v>
      </c>
      <c r="D253" s="60" t="s">
        <v>63</v>
      </c>
      <c r="E253" s="60" t="s">
        <v>629</v>
      </c>
    </row>
    <row r="254" customFormat="false" ht="15" hidden="false" customHeight="false" outlineLevel="0" collapsed="false">
      <c r="B254" s="60" t="s">
        <v>705</v>
      </c>
      <c r="C254" s="60" t="n">
        <v>4</v>
      </c>
      <c r="D254" s="60" t="s">
        <v>63</v>
      </c>
      <c r="E254" s="60" t="s">
        <v>705</v>
      </c>
    </row>
    <row r="255" customFormat="false" ht="15" hidden="false" customHeight="false" outlineLevel="0" collapsed="false">
      <c r="B255" s="60" t="s">
        <v>723</v>
      </c>
      <c r="C255" s="60" t="n">
        <v>4</v>
      </c>
      <c r="D255" s="60" t="s">
        <v>63</v>
      </c>
      <c r="E255" s="60" t="s">
        <v>723</v>
      </c>
    </row>
    <row r="256" customFormat="false" ht="15" hidden="false" customHeight="false" outlineLevel="0" collapsed="false">
      <c r="B256" s="60" t="s">
        <v>777</v>
      </c>
      <c r="C256" s="60" t="n">
        <v>4</v>
      </c>
      <c r="D256" s="60" t="s">
        <v>63</v>
      </c>
      <c r="E256" s="60" t="s">
        <v>777</v>
      </c>
    </row>
    <row r="257" customFormat="false" ht="15" hidden="false" customHeight="false" outlineLevel="0" collapsed="false">
      <c r="B257" s="60" t="s">
        <v>790</v>
      </c>
      <c r="C257" s="60" t="n">
        <v>4</v>
      </c>
      <c r="D257" s="60" t="s">
        <v>63</v>
      </c>
      <c r="E257" s="60" t="s">
        <v>790</v>
      </c>
    </row>
    <row r="258" customFormat="false" ht="15" hidden="false" customHeight="false" outlineLevel="0" collapsed="false">
      <c r="B258" s="60" t="s">
        <v>804</v>
      </c>
      <c r="C258" s="60" t="n">
        <v>4</v>
      </c>
      <c r="D258" s="60" t="s">
        <v>63</v>
      </c>
      <c r="E258" s="60" t="s">
        <v>804</v>
      </c>
    </row>
    <row r="259" customFormat="false" ht="15" hidden="false" customHeight="false" outlineLevel="0" collapsed="false">
      <c r="B259" s="60" t="s">
        <v>809</v>
      </c>
      <c r="C259" s="60" t="n">
        <v>4</v>
      </c>
      <c r="D259" s="60" t="s">
        <v>63</v>
      </c>
      <c r="E259" s="60" t="s">
        <v>809</v>
      </c>
    </row>
    <row r="260" customFormat="false" ht="15" hidden="false" customHeight="false" outlineLevel="0" collapsed="false">
      <c r="B260" s="60" t="s">
        <v>813</v>
      </c>
      <c r="C260" s="60" t="n">
        <v>4</v>
      </c>
      <c r="D260" s="60" t="s">
        <v>63</v>
      </c>
      <c r="E260" s="60" t="s">
        <v>813</v>
      </c>
    </row>
    <row r="261" customFormat="false" ht="15" hidden="false" customHeight="false" outlineLevel="0" collapsed="false">
      <c r="B261" s="60" t="s">
        <v>989</v>
      </c>
      <c r="C261" s="60" t="n">
        <v>5</v>
      </c>
      <c r="D261" s="60" t="s">
        <v>63</v>
      </c>
      <c r="E261" s="60" t="s">
        <v>989</v>
      </c>
    </row>
    <row r="262" customFormat="false" ht="15" hidden="false" customHeight="false" outlineLevel="0" collapsed="false">
      <c r="B262" s="60" t="s">
        <v>1060</v>
      </c>
      <c r="C262" s="60" t="n">
        <v>5</v>
      </c>
      <c r="D262" s="60" t="s">
        <v>63</v>
      </c>
      <c r="E262" s="60" t="s">
        <v>1060</v>
      </c>
    </row>
    <row r="263" customFormat="false" ht="15" hidden="false" customHeight="false" outlineLevel="0" collapsed="false">
      <c r="B263" s="60" t="s">
        <v>1134</v>
      </c>
      <c r="C263" s="60" t="n">
        <v>5</v>
      </c>
      <c r="D263" s="60" t="s">
        <v>63</v>
      </c>
      <c r="E263" s="60" t="s">
        <v>1134</v>
      </c>
    </row>
    <row r="264" customFormat="false" ht="15" hidden="false" customHeight="false" outlineLevel="0" collapsed="false">
      <c r="B264" s="60" t="s">
        <v>1183</v>
      </c>
      <c r="C264" s="60" t="n">
        <v>5</v>
      </c>
      <c r="D264" s="60" t="s">
        <v>63</v>
      </c>
      <c r="E264" s="60" t="s">
        <v>1183</v>
      </c>
    </row>
    <row r="265" customFormat="false" ht="15" hidden="false" customHeight="false" outlineLevel="0" collapsed="false">
      <c r="B265" s="60" t="s">
        <v>1194</v>
      </c>
      <c r="C265" s="60" t="n">
        <v>5</v>
      </c>
      <c r="D265" s="60" t="s">
        <v>63</v>
      </c>
      <c r="E265" s="60" t="s">
        <v>1194</v>
      </c>
    </row>
    <row r="266" customFormat="false" ht="15" hidden="false" customHeight="false" outlineLevel="0" collapsed="false">
      <c r="B266" s="60" t="s">
        <v>1297</v>
      </c>
      <c r="C266" s="60" t="n">
        <v>5</v>
      </c>
      <c r="D266" s="60" t="s">
        <v>63</v>
      </c>
      <c r="E266" s="60" t="s">
        <v>1297</v>
      </c>
    </row>
    <row r="267" customFormat="false" ht="15" hidden="false" customHeight="false" outlineLevel="0" collapsed="false">
      <c r="B267" s="60" t="s">
        <v>1301</v>
      </c>
      <c r="C267" s="60" t="n">
        <v>5</v>
      </c>
      <c r="D267" s="60" t="s">
        <v>63</v>
      </c>
      <c r="E267" s="60" t="s">
        <v>1301</v>
      </c>
    </row>
    <row r="268" customFormat="false" ht="15" hidden="false" customHeight="false" outlineLevel="0" collapsed="false">
      <c r="B268" s="60" t="s">
        <v>1339</v>
      </c>
      <c r="C268" s="60" t="n">
        <v>5</v>
      </c>
      <c r="D268" s="60" t="s">
        <v>63</v>
      </c>
      <c r="E268" s="60" t="s">
        <v>1339</v>
      </c>
    </row>
    <row r="269" customFormat="false" ht="15" hidden="false" customHeight="false" outlineLevel="0" collapsed="false">
      <c r="B269" s="60" t="s">
        <v>1362</v>
      </c>
      <c r="C269" s="60" t="n">
        <v>5</v>
      </c>
      <c r="D269" s="60" t="s">
        <v>63</v>
      </c>
      <c r="E269" s="60" t="s">
        <v>1362</v>
      </c>
    </row>
    <row r="270" customFormat="false" ht="15" hidden="false" customHeight="false" outlineLevel="0" collapsed="false">
      <c r="B270" s="60" t="s">
        <v>1432</v>
      </c>
      <c r="C270" s="60" t="n">
        <v>5</v>
      </c>
      <c r="D270" s="60" t="s">
        <v>63</v>
      </c>
      <c r="E270" s="60" t="s">
        <v>1432</v>
      </c>
    </row>
    <row r="271" customFormat="false" ht="15" hidden="false" customHeight="false" outlineLevel="0" collapsed="false">
      <c r="B271" s="60" t="s">
        <v>1448</v>
      </c>
      <c r="C271" s="60" t="n">
        <v>5</v>
      </c>
      <c r="D271" s="60" t="s">
        <v>63</v>
      </c>
      <c r="E271" s="60" t="s">
        <v>1448</v>
      </c>
    </row>
    <row r="272" customFormat="false" ht="15" hidden="false" customHeight="false" outlineLevel="0" collapsed="false">
      <c r="B272" s="60" t="s">
        <v>1463</v>
      </c>
      <c r="C272" s="60" t="n">
        <v>5</v>
      </c>
      <c r="D272" s="60" t="s">
        <v>63</v>
      </c>
      <c r="E272" s="60" t="s">
        <v>1463</v>
      </c>
    </row>
    <row r="273" customFormat="false" ht="15" hidden="false" customHeight="false" outlineLevel="0" collapsed="false">
      <c r="B273" s="60" t="s">
        <v>1513</v>
      </c>
      <c r="C273" s="60" t="n">
        <v>5</v>
      </c>
      <c r="D273" s="60" t="s">
        <v>63</v>
      </c>
      <c r="E273" s="60" t="s">
        <v>1513</v>
      </c>
    </row>
    <row r="274" customFormat="false" ht="15" hidden="false" customHeight="false" outlineLevel="0" collapsed="false">
      <c r="B274" s="60" t="s">
        <v>1919</v>
      </c>
      <c r="C274" s="60" t="n">
        <v>6</v>
      </c>
      <c r="D274" s="60" t="s">
        <v>63</v>
      </c>
      <c r="E274" s="60" t="s">
        <v>1919</v>
      </c>
    </row>
    <row r="275" customFormat="false" ht="15" hidden="false" customHeight="false" outlineLevel="0" collapsed="false">
      <c r="B275" s="60" t="s">
        <v>1930</v>
      </c>
      <c r="C275" s="60" t="n">
        <v>6</v>
      </c>
      <c r="D275" s="60" t="s">
        <v>63</v>
      </c>
      <c r="E275" s="60" t="s">
        <v>1930</v>
      </c>
    </row>
    <row r="276" customFormat="false" ht="15" hidden="false" customHeight="false" outlineLevel="0" collapsed="false">
      <c r="B276" s="60" t="s">
        <v>2022</v>
      </c>
      <c r="C276" s="60" t="n">
        <v>6</v>
      </c>
      <c r="D276" s="60" t="s">
        <v>63</v>
      </c>
      <c r="E276" s="60" t="s">
        <v>2022</v>
      </c>
    </row>
    <row r="277" customFormat="false" ht="15" hidden="false" customHeight="false" outlineLevel="0" collapsed="false">
      <c r="B277" s="60" t="s">
        <v>2039</v>
      </c>
      <c r="C277" s="60" t="n">
        <v>6</v>
      </c>
      <c r="D277" s="60" t="s">
        <v>63</v>
      </c>
      <c r="E277" s="60" t="s">
        <v>2039</v>
      </c>
    </row>
    <row r="278" customFormat="false" ht="15" hidden="false" customHeight="false" outlineLevel="0" collapsed="false">
      <c r="B278" s="60" t="s">
        <v>2072</v>
      </c>
      <c r="C278" s="60" t="n">
        <v>6</v>
      </c>
      <c r="D278" s="60" t="s">
        <v>63</v>
      </c>
      <c r="E278" s="60" t="s">
        <v>2072</v>
      </c>
    </row>
    <row r="279" customFormat="false" ht="15" hidden="false" customHeight="false" outlineLevel="0" collapsed="false">
      <c r="B279" s="60" t="s">
        <v>2167</v>
      </c>
      <c r="C279" s="60" t="n">
        <v>6</v>
      </c>
      <c r="D279" s="60" t="s">
        <v>63</v>
      </c>
      <c r="E279" s="60" t="s">
        <v>2167</v>
      </c>
    </row>
    <row r="280" customFormat="false" ht="15" hidden="false" customHeight="false" outlineLevel="0" collapsed="false">
      <c r="B280" s="60" t="s">
        <v>2172</v>
      </c>
      <c r="C280" s="60" t="n">
        <v>6</v>
      </c>
      <c r="D280" s="60" t="s">
        <v>63</v>
      </c>
      <c r="E280" s="60" t="s">
        <v>2172</v>
      </c>
    </row>
    <row r="281" customFormat="false" ht="15" hidden="false" customHeight="false" outlineLevel="0" collapsed="false">
      <c r="B281" s="60" t="s">
        <v>2175</v>
      </c>
      <c r="C281" s="60" t="n">
        <v>6</v>
      </c>
      <c r="D281" s="60" t="s">
        <v>63</v>
      </c>
      <c r="E281" s="60" t="s">
        <v>2175</v>
      </c>
    </row>
    <row r="282" customFormat="false" ht="15" hidden="false" customHeight="false" outlineLevel="0" collapsed="false">
      <c r="B282" s="60" t="s">
        <v>2186</v>
      </c>
      <c r="C282" s="60" t="n">
        <v>6</v>
      </c>
      <c r="D282" s="60" t="s">
        <v>63</v>
      </c>
      <c r="E282" s="60" t="s">
        <v>2186</v>
      </c>
    </row>
    <row r="283" customFormat="false" ht="15" hidden="false" customHeight="false" outlineLevel="0" collapsed="false">
      <c r="B283" s="60" t="s">
        <v>2201</v>
      </c>
      <c r="C283" s="60" t="n">
        <v>6</v>
      </c>
      <c r="D283" s="60" t="s">
        <v>63</v>
      </c>
      <c r="E283" s="60" t="s">
        <v>2201</v>
      </c>
    </row>
    <row r="284" customFormat="false" ht="15" hidden="false" customHeight="false" outlineLevel="0" collapsed="false">
      <c r="B284" s="60" t="s">
        <v>2205</v>
      </c>
      <c r="C284" s="60" t="n">
        <v>6</v>
      </c>
      <c r="D284" s="60" t="s">
        <v>63</v>
      </c>
      <c r="E284" s="60" t="s">
        <v>2205</v>
      </c>
    </row>
    <row r="285" customFormat="false" ht="15" hidden="false" customHeight="false" outlineLevel="0" collapsed="false">
      <c r="B285" s="60" t="s">
        <v>2450</v>
      </c>
      <c r="C285" s="60" t="n">
        <v>7</v>
      </c>
      <c r="D285" s="60" t="s">
        <v>63</v>
      </c>
      <c r="E285" s="60" t="s">
        <v>2450</v>
      </c>
    </row>
    <row r="286" customFormat="false" ht="15" hidden="false" customHeight="false" outlineLevel="0" collapsed="false">
      <c r="B286" s="60" t="s">
        <v>2512</v>
      </c>
      <c r="C286" s="60" t="n">
        <v>7</v>
      </c>
      <c r="D286" s="60" t="s">
        <v>63</v>
      </c>
      <c r="E286" s="60" t="s">
        <v>2512</v>
      </c>
    </row>
    <row r="287" customFormat="false" ht="15" hidden="false" customHeight="false" outlineLevel="0" collapsed="false">
      <c r="B287" s="60" t="s">
        <v>2568</v>
      </c>
      <c r="C287" s="60" t="n">
        <v>7</v>
      </c>
      <c r="D287" s="60" t="s">
        <v>63</v>
      </c>
      <c r="E287" s="60" t="s">
        <v>2568</v>
      </c>
    </row>
    <row r="288" customFormat="false" ht="15" hidden="false" customHeight="false" outlineLevel="0" collapsed="false">
      <c r="B288" s="60" t="s">
        <v>2638</v>
      </c>
      <c r="C288" s="60" t="n">
        <v>7</v>
      </c>
      <c r="D288" s="60" t="s">
        <v>63</v>
      </c>
      <c r="E288" s="60" t="s">
        <v>2638</v>
      </c>
    </row>
    <row r="289" customFormat="false" ht="15" hidden="false" customHeight="false" outlineLevel="0" collapsed="false">
      <c r="B289" s="60" t="s">
        <v>2649</v>
      </c>
      <c r="C289" s="60" t="n">
        <v>7</v>
      </c>
      <c r="D289" s="60" t="s">
        <v>63</v>
      </c>
      <c r="E289" s="60" t="s">
        <v>2649</v>
      </c>
    </row>
    <row r="290" customFormat="false" ht="15" hidden="false" customHeight="false" outlineLevel="0" collapsed="false">
      <c r="B290" s="60" t="s">
        <v>2726</v>
      </c>
      <c r="C290" s="60" t="n">
        <v>7</v>
      </c>
      <c r="D290" s="60" t="s">
        <v>63</v>
      </c>
      <c r="E290" s="60" t="s">
        <v>2726</v>
      </c>
    </row>
    <row r="291" customFormat="false" ht="15" hidden="false" customHeight="false" outlineLevel="0" collapsed="false">
      <c r="B291" s="60" t="s">
        <v>2741</v>
      </c>
      <c r="C291" s="60" t="n">
        <v>7</v>
      </c>
      <c r="D291" s="60" t="s">
        <v>63</v>
      </c>
      <c r="E291" s="60" t="s">
        <v>2741</v>
      </c>
    </row>
    <row r="292" customFormat="false" ht="15" hidden="false" customHeight="false" outlineLevel="0" collapsed="false">
      <c r="B292" s="60" t="s">
        <v>2774</v>
      </c>
      <c r="C292" s="60" t="n">
        <v>7</v>
      </c>
      <c r="D292" s="60" t="s">
        <v>63</v>
      </c>
      <c r="E292" s="60" t="s">
        <v>2774</v>
      </c>
    </row>
    <row r="293" customFormat="false" ht="15" hidden="false" customHeight="false" outlineLevel="0" collapsed="false">
      <c r="B293" s="60" t="s">
        <v>2830</v>
      </c>
      <c r="C293" s="60" t="n">
        <v>7</v>
      </c>
      <c r="D293" s="60" t="s">
        <v>63</v>
      </c>
      <c r="E293" s="60" t="s">
        <v>2830</v>
      </c>
    </row>
    <row r="294" customFormat="false" ht="15" hidden="false" customHeight="false" outlineLevel="0" collapsed="false">
      <c r="B294" s="60" t="s">
        <v>2834</v>
      </c>
      <c r="C294" s="60" t="n">
        <v>7</v>
      </c>
      <c r="D294" s="60" t="s">
        <v>63</v>
      </c>
      <c r="E294" s="60" t="s">
        <v>2834</v>
      </c>
    </row>
    <row r="295" customFormat="false" ht="15" hidden="false" customHeight="false" outlineLevel="0" collapsed="false">
      <c r="B295" s="60" t="s">
        <v>2838</v>
      </c>
      <c r="C295" s="60" t="n">
        <v>7</v>
      </c>
      <c r="D295" s="60" t="s">
        <v>63</v>
      </c>
      <c r="E295" s="60" t="s">
        <v>2838</v>
      </c>
    </row>
    <row r="296" customFormat="false" ht="15" hidden="false" customHeight="false" outlineLevel="0" collapsed="false">
      <c r="B296" s="60" t="s">
        <v>2842</v>
      </c>
      <c r="C296" s="60" t="n">
        <v>7</v>
      </c>
      <c r="D296" s="60" t="s">
        <v>63</v>
      </c>
      <c r="E296" s="60" t="s">
        <v>2842</v>
      </c>
    </row>
    <row r="297" customFormat="false" ht="15" hidden="false" customHeight="false" outlineLevel="0" collapsed="false">
      <c r="B297" s="60" t="s">
        <v>2863</v>
      </c>
      <c r="C297" s="60" t="n">
        <v>7</v>
      </c>
      <c r="D297" s="60" t="s">
        <v>63</v>
      </c>
      <c r="E297" s="60" t="s">
        <v>2863</v>
      </c>
    </row>
    <row r="298" customFormat="false" ht="15" hidden="false" customHeight="false" outlineLevel="0" collapsed="false">
      <c r="B298" s="60" t="s">
        <v>2892</v>
      </c>
      <c r="C298" s="60" t="n">
        <v>7</v>
      </c>
      <c r="D298" s="60" t="s">
        <v>63</v>
      </c>
      <c r="E298" s="60" t="s">
        <v>2892</v>
      </c>
    </row>
    <row r="299" customFormat="false" ht="15" hidden="false" customHeight="false" outlineLevel="0" collapsed="false">
      <c r="B299" s="60" t="s">
        <v>2937</v>
      </c>
      <c r="C299" s="60" t="n">
        <v>7</v>
      </c>
      <c r="D299" s="60" t="s">
        <v>63</v>
      </c>
      <c r="E299" s="60" t="s">
        <v>2937</v>
      </c>
    </row>
    <row r="300" customFormat="false" ht="15" hidden="false" customHeight="false" outlineLevel="0" collapsed="false">
      <c r="B300" s="60" t="s">
        <v>3125</v>
      </c>
      <c r="C300" s="60" t="n">
        <v>8</v>
      </c>
      <c r="D300" s="60" t="s">
        <v>63</v>
      </c>
      <c r="E300" s="60" t="s">
        <v>3125</v>
      </c>
    </row>
    <row r="301" customFormat="false" ht="15" hidden="false" customHeight="false" outlineLevel="0" collapsed="false">
      <c r="B301" s="60" t="s">
        <v>3305</v>
      </c>
      <c r="C301" s="60" t="n">
        <v>8</v>
      </c>
      <c r="D301" s="60" t="s">
        <v>63</v>
      </c>
      <c r="E301" s="60" t="s">
        <v>3305</v>
      </c>
    </row>
    <row r="302" customFormat="false" ht="15" hidden="false" customHeight="false" outlineLevel="0" collapsed="false">
      <c r="B302" s="60" t="s">
        <v>3339</v>
      </c>
      <c r="C302" s="60" t="n">
        <v>8</v>
      </c>
      <c r="D302" s="60" t="s">
        <v>63</v>
      </c>
      <c r="E302" s="60" t="s">
        <v>3339</v>
      </c>
    </row>
    <row r="303" customFormat="false" ht="15" hidden="false" customHeight="false" outlineLevel="0" collapsed="false">
      <c r="B303" s="60" t="s">
        <v>3343</v>
      </c>
      <c r="C303" s="60" t="n">
        <v>8</v>
      </c>
      <c r="D303" s="60" t="s">
        <v>63</v>
      </c>
      <c r="E303" s="60" t="s">
        <v>3343</v>
      </c>
    </row>
    <row r="304" customFormat="false" ht="15" hidden="false" customHeight="false" outlineLevel="0" collapsed="false">
      <c r="B304" s="60" t="s">
        <v>3347</v>
      </c>
      <c r="C304" s="60" t="n">
        <v>8</v>
      </c>
      <c r="D304" s="60" t="s">
        <v>63</v>
      </c>
      <c r="E304" s="60" t="s">
        <v>3347</v>
      </c>
    </row>
    <row r="305" customFormat="false" ht="15" hidden="false" customHeight="false" outlineLevel="0" collapsed="false">
      <c r="B305" s="60" t="s">
        <v>3383</v>
      </c>
      <c r="C305" s="60" t="n">
        <v>8</v>
      </c>
      <c r="D305" s="60" t="s">
        <v>63</v>
      </c>
      <c r="E305" s="60" t="s">
        <v>3383</v>
      </c>
    </row>
    <row r="306" customFormat="false" ht="15" hidden="false" customHeight="false" outlineLevel="0" collapsed="false">
      <c r="B306" s="60" t="s">
        <v>3386</v>
      </c>
      <c r="C306" s="60" t="n">
        <v>8</v>
      </c>
      <c r="D306" s="60" t="s">
        <v>63</v>
      </c>
      <c r="E306" s="60" t="s">
        <v>3386</v>
      </c>
    </row>
    <row r="307" customFormat="false" ht="15" hidden="false" customHeight="false" outlineLevel="0" collapsed="false">
      <c r="B307" s="60" t="s">
        <v>3467</v>
      </c>
      <c r="C307" s="60" t="n">
        <v>9</v>
      </c>
      <c r="D307" s="60" t="s">
        <v>63</v>
      </c>
      <c r="E307" s="60" t="s">
        <v>3467</v>
      </c>
    </row>
    <row r="308" customFormat="false" ht="15" hidden="false" customHeight="false" outlineLevel="0" collapsed="false">
      <c r="B308" s="60" t="s">
        <v>3536</v>
      </c>
      <c r="C308" s="60" t="n">
        <v>9</v>
      </c>
      <c r="D308" s="60" t="s">
        <v>63</v>
      </c>
      <c r="E308" s="60" t="s">
        <v>3536</v>
      </c>
    </row>
    <row r="309" customFormat="false" ht="15" hidden="false" customHeight="false" outlineLevel="0" collapsed="false">
      <c r="B309" s="60" t="s">
        <v>3582</v>
      </c>
      <c r="C309" s="60" t="n">
        <v>9</v>
      </c>
      <c r="D309" s="60" t="s">
        <v>63</v>
      </c>
      <c r="E309" s="60" t="s">
        <v>3582</v>
      </c>
    </row>
    <row r="310" customFormat="false" ht="15" hidden="false" customHeight="false" outlineLevel="0" collapsed="false">
      <c r="B310" s="60" t="s">
        <v>3593</v>
      </c>
      <c r="C310" s="60" t="n">
        <v>9</v>
      </c>
      <c r="D310" s="60" t="s">
        <v>63</v>
      </c>
      <c r="E310" s="60" t="s">
        <v>3593</v>
      </c>
    </row>
    <row r="311" customFormat="false" ht="15" hidden="false" customHeight="false" outlineLevel="0" collapsed="false">
      <c r="B311" s="60" t="s">
        <v>3655</v>
      </c>
      <c r="C311" s="60" t="n">
        <v>9</v>
      </c>
      <c r="D311" s="60" t="s">
        <v>63</v>
      </c>
      <c r="E311" s="60" t="s">
        <v>3655</v>
      </c>
    </row>
    <row r="312" customFormat="false" ht="15" hidden="false" customHeight="false" outlineLevel="0" collapsed="false">
      <c r="B312" s="60" t="s">
        <v>3674</v>
      </c>
      <c r="C312" s="60" t="n">
        <v>9</v>
      </c>
      <c r="D312" s="60" t="s">
        <v>63</v>
      </c>
      <c r="E312" s="60" t="s">
        <v>3674</v>
      </c>
    </row>
    <row r="313" customFormat="false" ht="15" hidden="false" customHeight="false" outlineLevel="0" collapsed="false">
      <c r="B313" s="60" t="s">
        <v>3677</v>
      </c>
      <c r="C313" s="60" t="n">
        <v>9</v>
      </c>
      <c r="D313" s="60" t="s">
        <v>63</v>
      </c>
      <c r="E313" s="60" t="s">
        <v>3677</v>
      </c>
    </row>
    <row r="314" customFormat="false" ht="15" hidden="false" customHeight="false" outlineLevel="0" collapsed="false">
      <c r="B314" s="60" t="s">
        <v>3693</v>
      </c>
      <c r="C314" s="60" t="n">
        <v>9</v>
      </c>
      <c r="D314" s="60" t="s">
        <v>63</v>
      </c>
      <c r="E314" s="60" t="s">
        <v>3693</v>
      </c>
    </row>
    <row r="315" customFormat="false" ht="15" hidden="false" customHeight="false" outlineLevel="0" collapsed="false">
      <c r="B315" s="60" t="s">
        <v>3729</v>
      </c>
      <c r="C315" s="60" t="n">
        <v>9</v>
      </c>
      <c r="D315" s="60" t="s">
        <v>63</v>
      </c>
      <c r="E315" s="60" t="s">
        <v>3729</v>
      </c>
    </row>
    <row r="316" customFormat="false" ht="15" hidden="false" customHeight="false" outlineLevel="0" collapsed="false">
      <c r="B316" s="60" t="s">
        <v>3732</v>
      </c>
      <c r="C316" s="60" t="n">
        <v>9</v>
      </c>
      <c r="D316" s="60" t="s">
        <v>63</v>
      </c>
      <c r="E316" s="60" t="s">
        <v>3732</v>
      </c>
    </row>
    <row r="317" customFormat="false" ht="15" hidden="false" customHeight="false" outlineLevel="0" collapsed="false">
      <c r="B317" s="60" t="s">
        <v>179</v>
      </c>
      <c r="C317" s="60" t="n">
        <v>2</v>
      </c>
      <c r="D317" s="60" t="s">
        <v>180</v>
      </c>
      <c r="E317" s="60" t="s">
        <v>179</v>
      </c>
    </row>
    <row r="318" customFormat="false" ht="15" hidden="false" customHeight="false" outlineLevel="0" collapsed="false">
      <c r="B318" s="60" t="s">
        <v>250</v>
      </c>
      <c r="C318" s="60" t="n">
        <v>3</v>
      </c>
      <c r="D318" s="60" t="s">
        <v>180</v>
      </c>
      <c r="E318" s="60" t="s">
        <v>250</v>
      </c>
    </row>
    <row r="319" customFormat="false" ht="15" hidden="false" customHeight="false" outlineLevel="0" collapsed="false">
      <c r="B319" s="67" t="s">
        <v>269</v>
      </c>
      <c r="C319" s="60" t="n">
        <v>3</v>
      </c>
      <c r="D319" s="60" t="s">
        <v>180</v>
      </c>
      <c r="E319" s="67" t="s">
        <v>269</v>
      </c>
    </row>
    <row r="320" customFormat="false" ht="15" hidden="false" customHeight="false" outlineLevel="0" collapsed="false">
      <c r="B320" s="60" t="s">
        <v>425</v>
      </c>
      <c r="C320" s="60" t="n">
        <v>3</v>
      </c>
      <c r="D320" s="60" t="s">
        <v>180</v>
      </c>
      <c r="E320" s="60" t="s">
        <v>425</v>
      </c>
    </row>
    <row r="321" customFormat="false" ht="15" hidden="false" customHeight="false" outlineLevel="0" collapsed="false">
      <c r="B321" s="60" t="s">
        <v>763</v>
      </c>
      <c r="C321" s="60" t="n">
        <v>4</v>
      </c>
      <c r="D321" s="60" t="s">
        <v>180</v>
      </c>
      <c r="E321" s="60" t="s">
        <v>763</v>
      </c>
    </row>
    <row r="322" customFormat="false" ht="15" hidden="false" customHeight="false" outlineLevel="0" collapsed="false">
      <c r="B322" s="60" t="s">
        <v>819</v>
      </c>
      <c r="C322" s="60" t="n">
        <v>4</v>
      </c>
      <c r="D322" s="60" t="s">
        <v>180</v>
      </c>
      <c r="E322" s="60" t="s">
        <v>819</v>
      </c>
    </row>
    <row r="323" customFormat="false" ht="15" hidden="false" customHeight="false" outlineLevel="0" collapsed="false">
      <c r="B323" s="60" t="s">
        <v>829</v>
      </c>
      <c r="C323" s="60" t="n">
        <v>4</v>
      </c>
      <c r="D323" s="60" t="s">
        <v>180</v>
      </c>
      <c r="E323" s="60" t="s">
        <v>829</v>
      </c>
    </row>
    <row r="324" customFormat="false" ht="15" hidden="false" customHeight="false" outlineLevel="0" collapsed="false">
      <c r="B324" s="60" t="s">
        <v>1056</v>
      </c>
      <c r="C324" s="60" t="n">
        <v>5</v>
      </c>
      <c r="D324" s="60" t="s">
        <v>180</v>
      </c>
      <c r="E324" s="60" t="s">
        <v>1056</v>
      </c>
    </row>
    <row r="325" customFormat="false" ht="15" hidden="false" customHeight="false" outlineLevel="0" collapsed="false">
      <c r="B325" s="60" t="s">
        <v>1068</v>
      </c>
      <c r="C325" s="60" t="n">
        <v>5</v>
      </c>
      <c r="D325" s="60" t="s">
        <v>180</v>
      </c>
      <c r="E325" s="60" t="s">
        <v>1068</v>
      </c>
    </row>
    <row r="326" customFormat="false" ht="15" hidden="false" customHeight="false" outlineLevel="0" collapsed="false">
      <c r="B326" s="67" t="s">
        <v>1148</v>
      </c>
      <c r="C326" s="60" t="n">
        <v>5</v>
      </c>
      <c r="D326" s="60" t="s">
        <v>180</v>
      </c>
      <c r="E326" s="67" t="s">
        <v>1148</v>
      </c>
    </row>
    <row r="327" customFormat="false" ht="15" hidden="false" customHeight="false" outlineLevel="0" collapsed="false">
      <c r="B327" s="60" t="s">
        <v>1403</v>
      </c>
      <c r="C327" s="60" t="n">
        <v>5</v>
      </c>
      <c r="D327" s="60" t="s">
        <v>180</v>
      </c>
      <c r="E327" s="60" t="s">
        <v>1403</v>
      </c>
    </row>
    <row r="328" customFormat="false" ht="15" hidden="false" customHeight="false" outlineLevel="0" collapsed="false">
      <c r="B328" s="60" t="s">
        <v>1479</v>
      </c>
      <c r="C328" s="60" t="n">
        <v>5</v>
      </c>
      <c r="D328" s="60" t="s">
        <v>180</v>
      </c>
      <c r="E328" s="60" t="s">
        <v>1479</v>
      </c>
    </row>
    <row r="329" customFormat="false" ht="15" hidden="false" customHeight="false" outlineLevel="0" collapsed="false">
      <c r="B329" s="60" t="s">
        <v>1487</v>
      </c>
      <c r="C329" s="60" t="n">
        <v>5</v>
      </c>
      <c r="D329" s="60" t="s">
        <v>180</v>
      </c>
      <c r="E329" s="60" t="s">
        <v>1487</v>
      </c>
    </row>
    <row r="330" customFormat="false" ht="15" hidden="false" customHeight="false" outlineLevel="0" collapsed="false">
      <c r="B330" s="60" t="s">
        <v>1542</v>
      </c>
      <c r="C330" s="60" t="n">
        <v>5</v>
      </c>
      <c r="D330" s="60" t="s">
        <v>180</v>
      </c>
      <c r="E330" s="60" t="s">
        <v>1542</v>
      </c>
    </row>
    <row r="331" customFormat="false" ht="15" hidden="false" customHeight="false" outlineLevel="0" collapsed="false">
      <c r="B331" s="60" t="s">
        <v>1569</v>
      </c>
      <c r="C331" s="60" t="n">
        <v>5</v>
      </c>
      <c r="D331" s="60" t="s">
        <v>180</v>
      </c>
      <c r="E331" s="60" t="s">
        <v>1569</v>
      </c>
    </row>
    <row r="332" customFormat="false" ht="15" hidden="false" customHeight="false" outlineLevel="0" collapsed="false">
      <c r="B332" s="60" t="s">
        <v>1589</v>
      </c>
      <c r="C332" s="60" t="n">
        <v>5</v>
      </c>
      <c r="D332" s="60" t="s">
        <v>180</v>
      </c>
      <c r="E332" s="60" t="s">
        <v>1589</v>
      </c>
    </row>
    <row r="333" customFormat="false" ht="15" hidden="false" customHeight="false" outlineLevel="0" collapsed="false">
      <c r="B333" s="60" t="s">
        <v>1594</v>
      </c>
      <c r="C333" s="60" t="n">
        <v>5</v>
      </c>
      <c r="D333" s="60" t="s">
        <v>180</v>
      </c>
      <c r="E333" s="60" t="s">
        <v>1594</v>
      </c>
    </row>
    <row r="334" customFormat="false" ht="15" hidden="false" customHeight="false" outlineLevel="0" collapsed="false">
      <c r="B334" s="60" t="s">
        <v>1781</v>
      </c>
      <c r="C334" s="60" t="n">
        <v>6</v>
      </c>
      <c r="D334" s="60" t="s">
        <v>180</v>
      </c>
      <c r="E334" s="60" t="s">
        <v>1781</v>
      </c>
    </row>
    <row r="335" customFormat="false" ht="15" hidden="false" customHeight="false" outlineLevel="0" collapsed="false">
      <c r="B335" s="60" t="s">
        <v>1785</v>
      </c>
      <c r="C335" s="60" t="n">
        <v>6</v>
      </c>
      <c r="D335" s="60" t="s">
        <v>180</v>
      </c>
      <c r="E335" s="60" t="s">
        <v>1785</v>
      </c>
    </row>
    <row r="336" customFormat="false" ht="15" hidden="false" customHeight="false" outlineLevel="0" collapsed="false">
      <c r="B336" s="60" t="s">
        <v>1984</v>
      </c>
      <c r="C336" s="60" t="n">
        <v>6</v>
      </c>
      <c r="D336" s="60" t="s">
        <v>180</v>
      </c>
      <c r="E336" s="60" t="s">
        <v>1984</v>
      </c>
    </row>
    <row r="337" customFormat="false" ht="15" hidden="false" customHeight="false" outlineLevel="0" collapsed="false">
      <c r="B337" s="60" t="s">
        <v>1989</v>
      </c>
      <c r="C337" s="60" t="n">
        <v>6</v>
      </c>
      <c r="D337" s="60" t="s">
        <v>180</v>
      </c>
      <c r="E337" s="60" t="s">
        <v>1989</v>
      </c>
    </row>
    <row r="338" customFormat="false" ht="15" hidden="false" customHeight="false" outlineLevel="0" collapsed="false">
      <c r="B338" s="60" t="s">
        <v>2144</v>
      </c>
      <c r="C338" s="60" t="n">
        <v>6</v>
      </c>
      <c r="D338" s="60" t="s">
        <v>180</v>
      </c>
      <c r="E338" s="60" t="s">
        <v>2144</v>
      </c>
    </row>
    <row r="339" customFormat="false" ht="15" hidden="false" customHeight="false" outlineLevel="0" collapsed="false">
      <c r="B339" s="60" t="s">
        <v>2197</v>
      </c>
      <c r="C339" s="60" t="n">
        <v>6</v>
      </c>
      <c r="D339" s="60" t="s">
        <v>180</v>
      </c>
      <c r="E339" s="60" t="s">
        <v>2197</v>
      </c>
    </row>
    <row r="340" customFormat="false" ht="15" hidden="false" customHeight="false" outlineLevel="0" collapsed="false">
      <c r="B340" s="60" t="s">
        <v>2310</v>
      </c>
      <c r="C340" s="60" t="n">
        <v>6</v>
      </c>
      <c r="D340" s="60" t="s">
        <v>180</v>
      </c>
      <c r="E340" s="60" t="s">
        <v>2310</v>
      </c>
    </row>
    <row r="341" customFormat="false" ht="15" hidden="false" customHeight="false" outlineLevel="0" collapsed="false">
      <c r="B341" s="60" t="s">
        <v>2313</v>
      </c>
      <c r="C341" s="60" t="n">
        <v>6</v>
      </c>
      <c r="D341" s="60" t="s">
        <v>180</v>
      </c>
      <c r="E341" s="60" t="s">
        <v>2313</v>
      </c>
    </row>
    <row r="342" customFormat="false" ht="15" hidden="false" customHeight="false" outlineLevel="0" collapsed="false">
      <c r="B342" s="60" t="s">
        <v>2508</v>
      </c>
      <c r="C342" s="60" t="n">
        <v>7</v>
      </c>
      <c r="D342" s="60" t="s">
        <v>180</v>
      </c>
      <c r="E342" s="60" t="s">
        <v>2508</v>
      </c>
    </row>
    <row r="343" customFormat="false" ht="15" hidden="false" customHeight="false" outlineLevel="0" collapsed="false">
      <c r="B343" s="60" t="s">
        <v>2520</v>
      </c>
      <c r="C343" s="60" t="n">
        <v>7</v>
      </c>
      <c r="D343" s="60" t="s">
        <v>180</v>
      </c>
      <c r="E343" s="60" t="s">
        <v>2520</v>
      </c>
    </row>
    <row r="344" customFormat="false" ht="15" hidden="false" customHeight="false" outlineLevel="0" collapsed="false">
      <c r="B344" s="60" t="s">
        <v>2524</v>
      </c>
      <c r="C344" s="60" t="n">
        <v>7</v>
      </c>
      <c r="D344" s="60" t="s">
        <v>180</v>
      </c>
      <c r="E344" s="60" t="s">
        <v>2524</v>
      </c>
    </row>
    <row r="345" customFormat="false" ht="15" hidden="false" customHeight="false" outlineLevel="0" collapsed="false">
      <c r="B345" s="60" t="s">
        <v>2576</v>
      </c>
      <c r="C345" s="60" t="n">
        <v>7</v>
      </c>
      <c r="D345" s="60" t="s">
        <v>180</v>
      </c>
      <c r="E345" s="60" t="s">
        <v>2576</v>
      </c>
    </row>
    <row r="346" customFormat="false" ht="15" hidden="false" customHeight="false" outlineLevel="0" collapsed="false">
      <c r="B346" s="60" t="s">
        <v>2681</v>
      </c>
      <c r="C346" s="60" t="n">
        <v>7</v>
      </c>
      <c r="D346" s="60" t="s">
        <v>180</v>
      </c>
      <c r="E346" s="60" t="s">
        <v>2681</v>
      </c>
    </row>
    <row r="347" customFormat="false" ht="15" hidden="false" customHeight="false" outlineLevel="0" collapsed="false">
      <c r="B347" s="60" t="s">
        <v>2797</v>
      </c>
      <c r="C347" s="60" t="n">
        <v>7</v>
      </c>
      <c r="D347" s="60" t="s">
        <v>180</v>
      </c>
      <c r="E347" s="60" t="s">
        <v>2797</v>
      </c>
    </row>
    <row r="348" customFormat="false" ht="15" hidden="false" customHeight="false" outlineLevel="0" collapsed="false">
      <c r="B348" s="60" t="s">
        <v>2896</v>
      </c>
      <c r="C348" s="60" t="n">
        <v>7</v>
      </c>
      <c r="D348" s="60" t="s">
        <v>180</v>
      </c>
      <c r="E348" s="60" t="s">
        <v>2896</v>
      </c>
    </row>
    <row r="349" customFormat="false" ht="15" hidden="false" customHeight="false" outlineLevel="0" collapsed="false">
      <c r="B349" s="60" t="s">
        <v>2910</v>
      </c>
      <c r="C349" s="60" t="n">
        <v>7</v>
      </c>
      <c r="D349" s="60" t="s">
        <v>180</v>
      </c>
      <c r="E349" s="60" t="s">
        <v>2910</v>
      </c>
    </row>
    <row r="350" customFormat="false" ht="15" hidden="false" customHeight="false" outlineLevel="0" collapsed="false">
      <c r="B350" s="60" t="s">
        <v>2914</v>
      </c>
      <c r="C350" s="60" t="n">
        <v>7</v>
      </c>
      <c r="D350" s="60" t="s">
        <v>180</v>
      </c>
      <c r="E350" s="60" t="s">
        <v>2914</v>
      </c>
    </row>
    <row r="351" customFormat="false" ht="15" hidden="false" customHeight="false" outlineLevel="0" collapsed="false">
      <c r="B351" s="60" t="s">
        <v>2972</v>
      </c>
      <c r="C351" s="60" t="n">
        <v>7</v>
      </c>
      <c r="D351" s="60" t="s">
        <v>180</v>
      </c>
      <c r="E351" s="60" t="s">
        <v>2972</v>
      </c>
    </row>
    <row r="352" customFormat="false" ht="15" hidden="false" customHeight="false" outlineLevel="0" collapsed="false">
      <c r="B352" s="60" t="s">
        <v>3042</v>
      </c>
      <c r="C352" s="60" t="n">
        <v>7</v>
      </c>
      <c r="D352" s="60" t="s">
        <v>180</v>
      </c>
      <c r="E352" s="60" t="s">
        <v>3042</v>
      </c>
    </row>
    <row r="353" customFormat="false" ht="15" hidden="false" customHeight="false" outlineLevel="0" collapsed="false">
      <c r="B353" s="60" t="s">
        <v>3309</v>
      </c>
      <c r="C353" s="60" t="n">
        <v>8</v>
      </c>
      <c r="D353" s="60" t="s">
        <v>180</v>
      </c>
      <c r="E353" s="60" t="s">
        <v>3309</v>
      </c>
    </row>
    <row r="354" customFormat="false" ht="15" hidden="false" customHeight="false" outlineLevel="0" collapsed="false">
      <c r="B354" s="60" t="s">
        <v>3410</v>
      </c>
      <c r="C354" s="60" t="n">
        <v>8</v>
      </c>
      <c r="D354" s="60" t="s">
        <v>180</v>
      </c>
      <c r="E354" s="60" t="s">
        <v>3410</v>
      </c>
    </row>
    <row r="355" customFormat="false" ht="15" hidden="false" customHeight="false" outlineLevel="0" collapsed="false">
      <c r="B355" s="60" t="s">
        <v>3539</v>
      </c>
      <c r="C355" s="60" t="n">
        <v>9</v>
      </c>
      <c r="D355" s="60" t="s">
        <v>180</v>
      </c>
      <c r="E355" s="60" t="s">
        <v>3539</v>
      </c>
    </row>
    <row r="356" customFormat="false" ht="15" hidden="false" customHeight="false" outlineLevel="0" collapsed="false">
      <c r="B356" s="60" t="s">
        <v>3567</v>
      </c>
      <c r="C356" s="60" t="n">
        <v>9</v>
      </c>
      <c r="D356" s="60" t="s">
        <v>180</v>
      </c>
      <c r="E356" s="60" t="s">
        <v>3567</v>
      </c>
    </row>
    <row r="357" customFormat="false" ht="15" hidden="false" customHeight="false" outlineLevel="0" collapsed="false">
      <c r="B357" s="60" t="s">
        <v>3768</v>
      </c>
      <c r="C357" s="60" t="n">
        <v>9</v>
      </c>
      <c r="D357" s="60" t="s">
        <v>180</v>
      </c>
      <c r="E357" s="60" t="s">
        <v>3768</v>
      </c>
    </row>
    <row r="358" customFormat="false" ht="15" hidden="false" customHeight="false" outlineLevel="0" collapsed="false">
      <c r="B358" s="60" t="s">
        <v>1341</v>
      </c>
      <c r="C358" s="60" t="n">
        <v>5</v>
      </c>
      <c r="D358" s="60" t="s">
        <v>1342</v>
      </c>
      <c r="E358" s="60" t="s">
        <v>1341</v>
      </c>
    </row>
    <row r="359" customFormat="false" ht="15" hidden="false" customHeight="false" outlineLevel="0" collapsed="false">
      <c r="B359" s="60" t="s">
        <v>1608</v>
      </c>
      <c r="C359" s="60" t="n">
        <v>5</v>
      </c>
      <c r="D359" s="60" t="s">
        <v>1342</v>
      </c>
      <c r="E359" s="60" t="s">
        <v>1608</v>
      </c>
    </row>
    <row r="360" customFormat="false" ht="15" hidden="false" customHeight="false" outlineLevel="0" collapsed="false">
      <c r="B360" s="60" t="s">
        <v>1633</v>
      </c>
      <c r="C360" s="60" t="n">
        <v>5</v>
      </c>
      <c r="D360" s="60" t="s">
        <v>1342</v>
      </c>
      <c r="E360" s="60" t="s">
        <v>1633</v>
      </c>
    </row>
    <row r="361" customFormat="false" ht="15" hidden="false" customHeight="false" outlineLevel="0" collapsed="false">
      <c r="B361" s="60" t="s">
        <v>2043</v>
      </c>
      <c r="C361" s="60" t="n">
        <v>6</v>
      </c>
      <c r="D361" s="60" t="s">
        <v>1342</v>
      </c>
      <c r="E361" s="60" t="s">
        <v>2043</v>
      </c>
    </row>
    <row r="362" customFormat="false" ht="15" hidden="false" customHeight="false" outlineLevel="0" collapsed="false">
      <c r="B362" s="60" t="s">
        <v>2047</v>
      </c>
      <c r="C362" s="60" t="n">
        <v>6</v>
      </c>
      <c r="D362" s="60" t="s">
        <v>1342</v>
      </c>
      <c r="E362" s="60" t="s">
        <v>2047</v>
      </c>
    </row>
    <row r="363" customFormat="false" ht="15" hidden="false" customHeight="false" outlineLevel="0" collapsed="false">
      <c r="B363" s="60" t="s">
        <v>2050</v>
      </c>
      <c r="C363" s="60" t="n">
        <v>6</v>
      </c>
      <c r="D363" s="60" t="s">
        <v>1342</v>
      </c>
      <c r="E363" s="60" t="s">
        <v>2050</v>
      </c>
    </row>
    <row r="364" customFormat="false" ht="15" hidden="false" customHeight="false" outlineLevel="0" collapsed="false">
      <c r="B364" s="60" t="s">
        <v>2364</v>
      </c>
      <c r="C364" s="60" t="n">
        <v>6</v>
      </c>
      <c r="D364" s="60" t="s">
        <v>1342</v>
      </c>
      <c r="E364" s="60" t="s">
        <v>2364</v>
      </c>
    </row>
    <row r="365" customFormat="false" ht="15" hidden="false" customHeight="false" outlineLevel="0" collapsed="false">
      <c r="B365" s="60" t="s">
        <v>1608</v>
      </c>
      <c r="C365" s="60" t="n">
        <v>6</v>
      </c>
      <c r="D365" s="60" t="s">
        <v>1342</v>
      </c>
      <c r="E365" s="60" t="s">
        <v>1608</v>
      </c>
    </row>
    <row r="366" customFormat="false" ht="15" hidden="false" customHeight="false" outlineLevel="0" collapsed="false">
      <c r="B366" s="60" t="s">
        <v>2399</v>
      </c>
      <c r="C366" s="60" t="n">
        <v>6</v>
      </c>
      <c r="D366" s="60" t="s">
        <v>1342</v>
      </c>
      <c r="E366" s="60" t="s">
        <v>2399</v>
      </c>
    </row>
    <row r="367" customFormat="false" ht="15" hidden="false" customHeight="false" outlineLevel="0" collapsed="false">
      <c r="B367" s="60" t="s">
        <v>2402</v>
      </c>
      <c r="C367" s="60" t="n">
        <v>6</v>
      </c>
      <c r="D367" s="60" t="s">
        <v>1342</v>
      </c>
      <c r="E367" s="60" t="s">
        <v>2402</v>
      </c>
    </row>
    <row r="368" customFormat="false" ht="15" hidden="false" customHeight="false" outlineLevel="0" collapsed="false">
      <c r="B368" s="60" t="s">
        <v>2745</v>
      </c>
      <c r="C368" s="60" t="n">
        <v>7</v>
      </c>
      <c r="D368" s="60" t="s">
        <v>1342</v>
      </c>
      <c r="E368" s="60" t="s">
        <v>2745</v>
      </c>
    </row>
    <row r="369" customFormat="false" ht="15" hidden="false" customHeight="false" outlineLevel="0" collapsed="false">
      <c r="B369" s="60" t="s">
        <v>2749</v>
      </c>
      <c r="C369" s="60" t="n">
        <v>7</v>
      </c>
      <c r="D369" s="60" t="s">
        <v>1342</v>
      </c>
      <c r="E369" s="60" t="s">
        <v>2749</v>
      </c>
    </row>
    <row r="370" customFormat="false" ht="15" hidden="false" customHeight="false" outlineLevel="0" collapsed="false">
      <c r="B370" s="60" t="s">
        <v>2139</v>
      </c>
      <c r="C370" s="60" t="n">
        <v>7</v>
      </c>
      <c r="D370" s="60" t="s">
        <v>1342</v>
      </c>
      <c r="E370" s="60" t="s">
        <v>2139</v>
      </c>
    </row>
    <row r="371" customFormat="false" ht="15" hidden="false" customHeight="false" outlineLevel="0" collapsed="false">
      <c r="B371" s="60" t="s">
        <v>3083</v>
      </c>
      <c r="C371" s="60" t="n">
        <v>7</v>
      </c>
      <c r="D371" s="60" t="s">
        <v>1342</v>
      </c>
      <c r="E371" s="60" t="s">
        <v>3083</v>
      </c>
    </row>
    <row r="372" customFormat="false" ht="15" hidden="false" customHeight="false" outlineLevel="0" collapsed="false">
      <c r="B372" s="60" t="s">
        <v>3087</v>
      </c>
      <c r="C372" s="60" t="n">
        <v>7</v>
      </c>
      <c r="D372" s="60" t="s">
        <v>1342</v>
      </c>
      <c r="E372" s="60" t="s">
        <v>3087</v>
      </c>
    </row>
    <row r="373" customFormat="false" ht="15" hidden="false" customHeight="false" outlineLevel="0" collapsed="false">
      <c r="B373" s="60" t="s">
        <v>3274</v>
      </c>
      <c r="C373" s="60" t="n">
        <v>8</v>
      </c>
      <c r="D373" s="60" t="s">
        <v>1342</v>
      </c>
      <c r="E373" s="60" t="s">
        <v>3274</v>
      </c>
    </row>
    <row r="374" customFormat="false" ht="15" hidden="false" customHeight="false" outlineLevel="0" collapsed="false">
      <c r="B374" s="60" t="s">
        <v>3277</v>
      </c>
      <c r="C374" s="60" t="n">
        <v>8</v>
      </c>
      <c r="D374" s="60" t="s">
        <v>1342</v>
      </c>
      <c r="E374" s="60" t="s">
        <v>3277</v>
      </c>
    </row>
    <row r="375" customFormat="false" ht="15" hidden="false" customHeight="false" outlineLevel="0" collapsed="false">
      <c r="B375" s="60" t="s">
        <v>3281</v>
      </c>
      <c r="C375" s="60" t="n">
        <v>8</v>
      </c>
      <c r="D375" s="60" t="s">
        <v>1342</v>
      </c>
      <c r="E375" s="60" t="s">
        <v>3281</v>
      </c>
    </row>
    <row r="376" customFormat="false" ht="15" hidden="false" customHeight="false" outlineLevel="0" collapsed="false">
      <c r="B376" s="60" t="s">
        <v>3284</v>
      </c>
      <c r="C376" s="60" t="n">
        <v>8</v>
      </c>
      <c r="D376" s="60" t="s">
        <v>1342</v>
      </c>
      <c r="E376" s="60" t="s">
        <v>3284</v>
      </c>
    </row>
    <row r="377" customFormat="false" ht="15" hidden="false" customHeight="false" outlineLevel="0" collapsed="false">
      <c r="B377" s="60" t="s">
        <v>3287</v>
      </c>
      <c r="C377" s="60" t="n">
        <v>8</v>
      </c>
      <c r="D377" s="60" t="s">
        <v>1342</v>
      </c>
      <c r="E377" s="60" t="s">
        <v>3287</v>
      </c>
    </row>
    <row r="378" customFormat="false" ht="15" hidden="false" customHeight="false" outlineLevel="0" collapsed="false">
      <c r="B378" s="60" t="s">
        <v>3290</v>
      </c>
      <c r="C378" s="60" t="n">
        <v>8</v>
      </c>
      <c r="D378" s="60" t="s">
        <v>1342</v>
      </c>
      <c r="E378" s="60" t="s">
        <v>3290</v>
      </c>
    </row>
    <row r="379" customFormat="false" ht="15" hidden="false" customHeight="false" outlineLevel="0" collapsed="false">
      <c r="B379" s="60" t="s">
        <v>3294</v>
      </c>
      <c r="C379" s="60" t="n">
        <v>8</v>
      </c>
      <c r="D379" s="60" t="s">
        <v>1342</v>
      </c>
      <c r="E379" s="60" t="s">
        <v>3294</v>
      </c>
    </row>
    <row r="380" customFormat="false" ht="15" hidden="false" customHeight="false" outlineLevel="0" collapsed="false">
      <c r="B380" s="60" t="s">
        <v>3297</v>
      </c>
      <c r="C380" s="60" t="n">
        <v>8</v>
      </c>
      <c r="D380" s="60" t="s">
        <v>1342</v>
      </c>
      <c r="E380" s="60" t="s">
        <v>3297</v>
      </c>
    </row>
    <row r="381" customFormat="false" ht="15" hidden="false" customHeight="false" outlineLevel="0" collapsed="false">
      <c r="B381" s="60" t="s">
        <v>3301</v>
      </c>
      <c r="C381" s="60" t="n">
        <v>8</v>
      </c>
      <c r="D381" s="60" t="s">
        <v>1342</v>
      </c>
      <c r="E381" s="60" t="s">
        <v>3301</v>
      </c>
    </row>
    <row r="382" customFormat="false" ht="15" hidden="false" customHeight="false" outlineLevel="0" collapsed="false">
      <c r="B382" s="60" t="s">
        <v>3420</v>
      </c>
      <c r="C382" s="60" t="n">
        <v>8</v>
      </c>
      <c r="D382" s="60" t="s">
        <v>1342</v>
      </c>
      <c r="E382" s="60" t="s">
        <v>3420</v>
      </c>
    </row>
    <row r="383" customFormat="false" ht="15" hidden="false" customHeight="false" outlineLevel="0" collapsed="false">
      <c r="B383" s="60" t="s">
        <v>3446</v>
      </c>
      <c r="C383" s="60" t="n">
        <v>8</v>
      </c>
      <c r="D383" s="60" t="s">
        <v>1342</v>
      </c>
      <c r="E383" s="60" t="s">
        <v>3446</v>
      </c>
    </row>
    <row r="384" customFormat="false" ht="15" hidden="false" customHeight="false" outlineLevel="0" collapsed="false">
      <c r="B384" s="60" t="s">
        <v>3597</v>
      </c>
      <c r="C384" s="60" t="n">
        <v>9</v>
      </c>
      <c r="D384" s="60" t="s">
        <v>1342</v>
      </c>
      <c r="E384" s="60" t="s">
        <v>3597</v>
      </c>
    </row>
    <row r="385" customFormat="false" ht="15" hidden="false" customHeight="false" outlineLevel="0" collapsed="false">
      <c r="B385" s="60" t="s">
        <v>3601</v>
      </c>
      <c r="C385" s="60" t="n">
        <v>9</v>
      </c>
      <c r="D385" s="60" t="s">
        <v>1342</v>
      </c>
      <c r="E385" s="60" t="s">
        <v>3601</v>
      </c>
    </row>
    <row r="386" customFormat="false" ht="15" hidden="false" customHeight="false" outlineLevel="0" collapsed="false">
      <c r="B386" s="60" t="s">
        <v>3605</v>
      </c>
      <c r="C386" s="60" t="n">
        <v>9</v>
      </c>
      <c r="D386" s="60" t="s">
        <v>1342</v>
      </c>
      <c r="E386" s="60" t="s">
        <v>3605</v>
      </c>
    </row>
    <row r="387" customFormat="false" ht="15" hidden="false" customHeight="false" outlineLevel="0" collapsed="false">
      <c r="B387" s="60" t="s">
        <v>3608</v>
      </c>
      <c r="C387" s="60" t="n">
        <v>9</v>
      </c>
      <c r="D387" s="60" t="s">
        <v>1342</v>
      </c>
      <c r="E387" s="60" t="s">
        <v>3608</v>
      </c>
    </row>
    <row r="388" customFormat="false" ht="15" hidden="false" customHeight="false" outlineLevel="0" collapsed="false">
      <c r="B388" s="60" t="s">
        <v>3612</v>
      </c>
      <c r="C388" s="60" t="n">
        <v>9</v>
      </c>
      <c r="D388" s="60" t="s">
        <v>1342</v>
      </c>
      <c r="E388" s="60" t="s">
        <v>3612</v>
      </c>
    </row>
    <row r="389" customFormat="false" ht="15" hidden="false" customHeight="false" outlineLevel="0" collapsed="false">
      <c r="B389" s="60" t="s">
        <v>3616</v>
      </c>
      <c r="C389" s="60" t="n">
        <v>9</v>
      </c>
      <c r="D389" s="60" t="s">
        <v>1342</v>
      </c>
      <c r="E389" s="60" t="s">
        <v>3616</v>
      </c>
    </row>
    <row r="390" customFormat="false" ht="15" hidden="false" customHeight="false" outlineLevel="0" collapsed="false">
      <c r="B390" s="60" t="s">
        <v>3620</v>
      </c>
      <c r="C390" s="60" t="n">
        <v>9</v>
      </c>
      <c r="D390" s="60" t="s">
        <v>1342</v>
      </c>
      <c r="E390" s="60" t="s">
        <v>3620</v>
      </c>
    </row>
    <row r="391" customFormat="false" ht="15" hidden="false" customHeight="false" outlineLevel="0" collapsed="false">
      <c r="B391" s="60" t="s">
        <v>3623</v>
      </c>
      <c r="C391" s="60" t="n">
        <v>9</v>
      </c>
      <c r="D391" s="60" t="s">
        <v>1342</v>
      </c>
      <c r="E391" s="60" t="s">
        <v>3623</v>
      </c>
    </row>
    <row r="392" customFormat="false" ht="15" hidden="false" customHeight="false" outlineLevel="0" collapsed="false">
      <c r="B392" s="60" t="s">
        <v>3627</v>
      </c>
      <c r="C392" s="60" t="n">
        <v>9</v>
      </c>
      <c r="D392" s="60" t="s">
        <v>1342</v>
      </c>
      <c r="E392" s="60" t="s">
        <v>3627</v>
      </c>
    </row>
    <row r="393" customFormat="false" ht="15" hidden="false" customHeight="false" outlineLevel="0" collapsed="false">
      <c r="B393" s="60" t="s">
        <v>3631</v>
      </c>
      <c r="C393" s="60" t="n">
        <v>9</v>
      </c>
      <c r="D393" s="60" t="s">
        <v>1342</v>
      </c>
      <c r="E393" s="60" t="s">
        <v>3631</v>
      </c>
    </row>
    <row r="394" customFormat="false" ht="15" hidden="false" customHeight="false" outlineLevel="0" collapsed="false">
      <c r="B394" s="60" t="s">
        <v>3634</v>
      </c>
      <c r="C394" s="60" t="n">
        <v>9</v>
      </c>
      <c r="D394" s="60" t="s">
        <v>1342</v>
      </c>
      <c r="E394" s="60" t="s">
        <v>3634</v>
      </c>
    </row>
    <row r="395" customFormat="false" ht="15" hidden="false" customHeight="false" outlineLevel="0" collapsed="false">
      <c r="B395" s="60" t="s">
        <v>3637</v>
      </c>
      <c r="C395" s="60" t="n">
        <v>9</v>
      </c>
      <c r="D395" s="60" t="s">
        <v>1342</v>
      </c>
      <c r="E395" s="60" t="s">
        <v>3637</v>
      </c>
    </row>
    <row r="396" customFormat="false" ht="15" hidden="false" customHeight="false" outlineLevel="0" collapsed="false">
      <c r="B396" s="60" t="s">
        <v>3641</v>
      </c>
      <c r="C396" s="60" t="n">
        <v>9</v>
      </c>
      <c r="D396" s="60" t="s">
        <v>1342</v>
      </c>
      <c r="E396" s="60" t="s">
        <v>3641</v>
      </c>
    </row>
    <row r="397" customFormat="false" ht="15" hidden="false" customHeight="false" outlineLevel="0" collapsed="false">
      <c r="B397" s="60" t="s">
        <v>3644</v>
      </c>
      <c r="C397" s="60" t="n">
        <v>9</v>
      </c>
      <c r="D397" s="60" t="s">
        <v>1342</v>
      </c>
      <c r="E397" s="60" t="s">
        <v>3644</v>
      </c>
    </row>
    <row r="398" customFormat="false" ht="15" hidden="false" customHeight="false" outlineLevel="0" collapsed="false">
      <c r="B398" s="60" t="s">
        <v>3772</v>
      </c>
      <c r="C398" s="60" t="n">
        <v>9</v>
      </c>
      <c r="D398" s="60" t="s">
        <v>1342</v>
      </c>
      <c r="E398" s="60" t="s">
        <v>3772</v>
      </c>
    </row>
    <row r="399" customFormat="false" ht="15" hidden="false" customHeight="false" outlineLevel="0" collapsed="false">
      <c r="B399" s="60" t="s">
        <v>3790</v>
      </c>
      <c r="C399" s="60" t="n">
        <v>9</v>
      </c>
      <c r="D399" s="60" t="s">
        <v>1342</v>
      </c>
      <c r="E399" s="60" t="s">
        <v>3790</v>
      </c>
    </row>
    <row r="400" customFormat="false" ht="15" hidden="false" customHeight="false" outlineLevel="0" collapsed="false">
      <c r="B400" s="60" t="s">
        <v>3794</v>
      </c>
      <c r="C400" s="60" t="n">
        <v>9</v>
      </c>
      <c r="D400" s="60" t="s">
        <v>1342</v>
      </c>
      <c r="E400" s="60" t="s">
        <v>3794</v>
      </c>
    </row>
    <row r="401" customFormat="false" ht="15" hidden="false" customHeight="false" outlineLevel="0" collapsed="false">
      <c r="B401" s="60" t="s">
        <v>272</v>
      </c>
      <c r="C401" s="60" t="n">
        <v>3</v>
      </c>
      <c r="D401" s="60" t="s">
        <v>273</v>
      </c>
      <c r="E401" s="60" t="s">
        <v>272</v>
      </c>
    </row>
    <row r="402" customFormat="false" ht="15" hidden="false" customHeight="false" outlineLevel="0" collapsed="false">
      <c r="B402" s="60" t="s">
        <v>319</v>
      </c>
      <c r="C402" s="60" t="n">
        <v>3</v>
      </c>
      <c r="D402" s="60" t="s">
        <v>273</v>
      </c>
      <c r="E402" s="60" t="s">
        <v>319</v>
      </c>
    </row>
    <row r="403" customFormat="false" ht="15" hidden="false" customHeight="false" outlineLevel="0" collapsed="false">
      <c r="B403" s="60" t="s">
        <v>373</v>
      </c>
      <c r="C403" s="60" t="n">
        <v>3</v>
      </c>
      <c r="D403" s="60" t="s">
        <v>273</v>
      </c>
      <c r="E403" s="60" t="s">
        <v>373</v>
      </c>
    </row>
    <row r="404" customFormat="false" ht="15" hidden="false" customHeight="false" outlineLevel="0" collapsed="false">
      <c r="B404" s="60" t="s">
        <v>1283</v>
      </c>
      <c r="C404" s="60" t="n">
        <v>5</v>
      </c>
      <c r="D404" s="60" t="s">
        <v>273</v>
      </c>
      <c r="E404" s="60" t="s">
        <v>1283</v>
      </c>
    </row>
    <row r="405" customFormat="false" ht="15" hidden="false" customHeight="false" outlineLevel="0" collapsed="false">
      <c r="B405" s="60" t="s">
        <v>1900</v>
      </c>
      <c r="C405" s="60" t="n">
        <v>6</v>
      </c>
      <c r="D405" s="60" t="s">
        <v>273</v>
      </c>
      <c r="E405" s="60" t="s">
        <v>1900</v>
      </c>
    </row>
    <row r="406" customFormat="false" ht="15" hidden="false" customHeight="false" outlineLevel="0" collapsed="false">
      <c r="B406" s="60" t="s">
        <v>1905</v>
      </c>
      <c r="C406" s="60" t="n">
        <v>6</v>
      </c>
      <c r="D406" s="60" t="s">
        <v>273</v>
      </c>
      <c r="E406" s="60" t="s">
        <v>1905</v>
      </c>
    </row>
    <row r="407" customFormat="false" ht="15" hidden="false" customHeight="false" outlineLevel="0" collapsed="false">
      <c r="B407" s="60" t="s">
        <v>2148</v>
      </c>
      <c r="C407" s="60" t="n">
        <v>6</v>
      </c>
      <c r="D407" s="60" t="s">
        <v>273</v>
      </c>
      <c r="E407" s="60" t="s">
        <v>2148</v>
      </c>
    </row>
    <row r="408" customFormat="false" ht="15" hidden="false" customHeight="false" outlineLevel="0" collapsed="false">
      <c r="B408" s="60" t="s">
        <v>2719</v>
      </c>
      <c r="C408" s="60" t="n">
        <v>7</v>
      </c>
      <c r="D408" s="60" t="s">
        <v>273</v>
      </c>
      <c r="E408" s="60" t="s">
        <v>2719</v>
      </c>
    </row>
    <row r="409" customFormat="false" ht="15" hidden="false" customHeight="false" outlineLevel="0" collapsed="false">
      <c r="B409" s="60" t="s">
        <v>2025</v>
      </c>
      <c r="C409" s="60" t="n">
        <v>7</v>
      </c>
      <c r="D409" s="60" t="s">
        <v>273</v>
      </c>
      <c r="E409" s="60" t="s">
        <v>2025</v>
      </c>
    </row>
    <row r="410" customFormat="false" ht="15" hidden="false" customHeight="false" outlineLevel="0" collapsed="false">
      <c r="B410" s="60" t="s">
        <v>88</v>
      </c>
      <c r="C410" s="60" t="n">
        <v>1</v>
      </c>
      <c r="D410" s="60" t="s">
        <v>89</v>
      </c>
      <c r="E410" s="60" t="s">
        <v>88</v>
      </c>
    </row>
    <row r="411" customFormat="false" ht="15" hidden="false" customHeight="false" outlineLevel="0" collapsed="false">
      <c r="B411" s="60" t="s">
        <v>189</v>
      </c>
      <c r="C411" s="60" t="n">
        <v>2</v>
      </c>
      <c r="D411" s="60" t="s">
        <v>89</v>
      </c>
      <c r="E411" s="60" t="s">
        <v>189</v>
      </c>
    </row>
    <row r="412" customFormat="false" ht="15" hidden="false" customHeight="false" outlineLevel="0" collapsed="false">
      <c r="B412" s="60" t="s">
        <v>255</v>
      </c>
      <c r="C412" s="60" t="n">
        <v>3</v>
      </c>
      <c r="D412" s="60" t="s">
        <v>89</v>
      </c>
      <c r="E412" s="60" t="s">
        <v>255</v>
      </c>
    </row>
    <row r="413" customFormat="false" ht="15" hidden="false" customHeight="false" outlineLevel="0" collapsed="false">
      <c r="B413" s="60" t="s">
        <v>316</v>
      </c>
      <c r="C413" s="60" t="n">
        <v>3</v>
      </c>
      <c r="D413" s="60" t="s">
        <v>89</v>
      </c>
      <c r="E413" s="60" t="s">
        <v>316</v>
      </c>
    </row>
    <row r="414" customFormat="false" ht="15" hidden="false" customHeight="false" outlineLevel="0" collapsed="false">
      <c r="B414" s="60" t="s">
        <v>682</v>
      </c>
      <c r="C414" s="60" t="n">
        <v>4</v>
      </c>
      <c r="D414" s="60" t="s">
        <v>89</v>
      </c>
      <c r="E414" s="60" t="s">
        <v>682</v>
      </c>
    </row>
    <row r="415" customFormat="false" ht="15" hidden="false" customHeight="false" outlineLevel="0" collapsed="false">
      <c r="B415" s="60" t="s">
        <v>685</v>
      </c>
      <c r="C415" s="60" t="n">
        <v>4</v>
      </c>
      <c r="D415" s="60" t="s">
        <v>89</v>
      </c>
      <c r="E415" s="60" t="s">
        <v>685</v>
      </c>
    </row>
    <row r="416" customFormat="false" ht="15" hidden="false" customHeight="false" outlineLevel="0" collapsed="false">
      <c r="B416" s="60" t="s">
        <v>1267</v>
      </c>
      <c r="C416" s="60" t="n">
        <v>5</v>
      </c>
      <c r="D416" s="60" t="s">
        <v>89</v>
      </c>
      <c r="E416" s="60" t="s">
        <v>1267</v>
      </c>
    </row>
    <row r="417" customFormat="false" ht="15" hidden="false" customHeight="false" outlineLevel="0" collapsed="false">
      <c r="B417" s="60" t="s">
        <v>2014</v>
      </c>
      <c r="C417" s="60" t="n">
        <v>6</v>
      </c>
      <c r="D417" s="60" t="s">
        <v>89</v>
      </c>
      <c r="E417" s="60" t="s">
        <v>2014</v>
      </c>
    </row>
    <row r="418" customFormat="false" ht="15" hidden="false" customHeight="false" outlineLevel="0" collapsed="false">
      <c r="B418" s="60" t="s">
        <v>2310</v>
      </c>
      <c r="C418" s="60" t="n">
        <v>7</v>
      </c>
      <c r="D418" s="60" t="s">
        <v>89</v>
      </c>
      <c r="E418" s="60" t="s">
        <v>2310</v>
      </c>
    </row>
    <row r="419" customFormat="false" ht="15" hidden="false" customHeight="false" outlineLevel="0" collapsed="false">
      <c r="B419" s="60" t="s">
        <v>3249</v>
      </c>
      <c r="C419" s="60" t="n">
        <v>8</v>
      </c>
      <c r="D419" s="60" t="s">
        <v>89</v>
      </c>
      <c r="E419" s="60" t="s">
        <v>3249</v>
      </c>
    </row>
    <row r="420" customFormat="false" ht="15" hidden="false" customHeight="false" outlineLevel="0" collapsed="false">
      <c r="B420" s="60" t="s">
        <v>141</v>
      </c>
      <c r="C420" s="60" t="n">
        <v>1</v>
      </c>
      <c r="D420" s="60" t="s">
        <v>142</v>
      </c>
      <c r="E420" s="60" t="s">
        <v>141</v>
      </c>
    </row>
    <row r="421" customFormat="false" ht="15" hidden="false" customHeight="false" outlineLevel="0" collapsed="false">
      <c r="B421" s="60" t="s">
        <v>206</v>
      </c>
      <c r="C421" s="60" t="n">
        <v>2</v>
      </c>
      <c r="D421" s="60" t="s">
        <v>142</v>
      </c>
      <c r="E421" s="60" t="s">
        <v>206</v>
      </c>
    </row>
    <row r="422" customFormat="false" ht="15" hidden="false" customHeight="false" outlineLevel="0" collapsed="false">
      <c r="B422" s="60" t="s">
        <v>390</v>
      </c>
      <c r="C422" s="60" t="n">
        <v>3</v>
      </c>
      <c r="D422" s="60" t="s">
        <v>142</v>
      </c>
      <c r="E422" s="60" t="s">
        <v>390</v>
      </c>
    </row>
    <row r="423" customFormat="false" ht="15" hidden="false" customHeight="false" outlineLevel="0" collapsed="false">
      <c r="B423" s="60" t="s">
        <v>394</v>
      </c>
      <c r="C423" s="60" t="n">
        <v>3</v>
      </c>
      <c r="D423" s="60" t="s">
        <v>142</v>
      </c>
      <c r="E423" s="60" t="s">
        <v>394</v>
      </c>
    </row>
    <row r="424" customFormat="false" ht="15" hidden="false" customHeight="false" outlineLevel="0" collapsed="false">
      <c r="B424" s="60" t="s">
        <v>560</v>
      </c>
      <c r="C424" s="60" t="n">
        <v>4</v>
      </c>
      <c r="D424" s="60" t="s">
        <v>142</v>
      </c>
      <c r="E424" s="60" t="s">
        <v>560</v>
      </c>
    </row>
    <row r="425" customFormat="false" ht="15" hidden="false" customHeight="false" outlineLevel="0" collapsed="false">
      <c r="B425" s="60" t="s">
        <v>604</v>
      </c>
      <c r="C425" s="60" t="n">
        <v>4</v>
      </c>
      <c r="D425" s="60" t="s">
        <v>142</v>
      </c>
      <c r="E425" s="60" t="s">
        <v>604</v>
      </c>
    </row>
    <row r="426" customFormat="false" ht="15" hidden="false" customHeight="false" outlineLevel="0" collapsed="false">
      <c r="B426" s="60" t="s">
        <v>620</v>
      </c>
      <c r="C426" s="60" t="n">
        <v>4</v>
      </c>
      <c r="D426" s="60" t="s">
        <v>142</v>
      </c>
      <c r="E426" s="60" t="s">
        <v>620</v>
      </c>
    </row>
    <row r="427" customFormat="false" ht="15" hidden="false" customHeight="false" outlineLevel="0" collapsed="false">
      <c r="B427" s="60" t="s">
        <v>668</v>
      </c>
      <c r="C427" s="60" t="n">
        <v>4</v>
      </c>
      <c r="D427" s="60" t="s">
        <v>142</v>
      </c>
      <c r="E427" s="60" t="s">
        <v>668</v>
      </c>
    </row>
    <row r="428" customFormat="false" ht="15" hidden="false" customHeight="false" outlineLevel="0" collapsed="false">
      <c r="B428" s="60" t="s">
        <v>688</v>
      </c>
      <c r="C428" s="60" t="n">
        <v>4</v>
      </c>
      <c r="D428" s="60" t="s">
        <v>142</v>
      </c>
      <c r="E428" s="60" t="s">
        <v>688</v>
      </c>
    </row>
    <row r="429" customFormat="false" ht="15" hidden="false" customHeight="false" outlineLevel="0" collapsed="false">
      <c r="B429" s="60" t="s">
        <v>712</v>
      </c>
      <c r="C429" s="60" t="n">
        <v>4</v>
      </c>
      <c r="D429" s="60" t="s">
        <v>142</v>
      </c>
      <c r="E429" s="60" t="s">
        <v>712</v>
      </c>
    </row>
    <row r="430" customFormat="false" ht="15" hidden="false" customHeight="false" outlineLevel="0" collapsed="false">
      <c r="B430" s="60" t="s">
        <v>767</v>
      </c>
      <c r="C430" s="60" t="n">
        <v>4</v>
      </c>
      <c r="D430" s="60" t="s">
        <v>142</v>
      </c>
      <c r="E430" s="60" t="s">
        <v>767</v>
      </c>
    </row>
    <row r="431" customFormat="false" ht="15" hidden="false" customHeight="false" outlineLevel="0" collapsed="false">
      <c r="B431" s="60" t="s">
        <v>825</v>
      </c>
      <c r="C431" s="60" t="n">
        <v>4</v>
      </c>
      <c r="D431" s="60" t="s">
        <v>142</v>
      </c>
      <c r="E431" s="60" t="s">
        <v>825</v>
      </c>
    </row>
    <row r="432" customFormat="false" ht="15" hidden="false" customHeight="false" outlineLevel="0" collapsed="false">
      <c r="B432" s="60" t="s">
        <v>833</v>
      </c>
      <c r="C432" s="60" t="n">
        <v>4</v>
      </c>
      <c r="D432" s="60" t="s">
        <v>142</v>
      </c>
      <c r="E432" s="60" t="s">
        <v>833</v>
      </c>
    </row>
    <row r="433" customFormat="false" ht="15" hidden="false" customHeight="false" outlineLevel="0" collapsed="false">
      <c r="B433" s="60" t="s">
        <v>837</v>
      </c>
      <c r="C433" s="60" t="n">
        <v>4</v>
      </c>
      <c r="D433" s="60" t="s">
        <v>142</v>
      </c>
      <c r="E433" s="60" t="s">
        <v>837</v>
      </c>
    </row>
    <row r="434" customFormat="false" ht="15" hidden="false" customHeight="false" outlineLevel="0" collapsed="false">
      <c r="B434" s="60" t="s">
        <v>1137</v>
      </c>
      <c r="C434" s="60" t="n">
        <v>5</v>
      </c>
      <c r="D434" s="60" t="s">
        <v>142</v>
      </c>
      <c r="E434" s="60" t="s">
        <v>1137</v>
      </c>
    </row>
    <row r="435" customFormat="false" ht="15" hidden="false" customHeight="false" outlineLevel="0" collapsed="false">
      <c r="B435" s="60" t="s">
        <v>1304</v>
      </c>
      <c r="C435" s="60" t="n">
        <v>5</v>
      </c>
      <c r="D435" s="60" t="s">
        <v>142</v>
      </c>
      <c r="E435" s="60" t="s">
        <v>1304</v>
      </c>
    </row>
    <row r="436" customFormat="false" ht="15" hidden="false" customHeight="false" outlineLevel="0" collapsed="false">
      <c r="B436" s="60" t="s">
        <v>1369</v>
      </c>
      <c r="C436" s="60" t="n">
        <v>5</v>
      </c>
      <c r="D436" s="60" t="s">
        <v>142</v>
      </c>
      <c r="E436" s="60" t="s">
        <v>1369</v>
      </c>
    </row>
    <row r="437" customFormat="false" ht="15" hidden="false" customHeight="false" outlineLevel="0" collapsed="false">
      <c r="B437" s="60" t="s">
        <v>1413</v>
      </c>
      <c r="C437" s="60" t="n">
        <v>5</v>
      </c>
      <c r="D437" s="60" t="s">
        <v>142</v>
      </c>
      <c r="E437" s="60" t="s">
        <v>1413</v>
      </c>
    </row>
    <row r="438" customFormat="false" ht="15" hidden="false" customHeight="false" outlineLevel="0" collapsed="false">
      <c r="B438" s="60" t="s">
        <v>1416</v>
      </c>
      <c r="C438" s="60" t="n">
        <v>5</v>
      </c>
      <c r="D438" s="60" t="s">
        <v>142</v>
      </c>
      <c r="E438" s="60" t="s">
        <v>1416</v>
      </c>
    </row>
    <row r="439" customFormat="false" ht="15" hidden="false" customHeight="false" outlineLevel="0" collapsed="false">
      <c r="B439" s="60" t="s">
        <v>1420</v>
      </c>
      <c r="C439" s="60" t="n">
        <v>5</v>
      </c>
      <c r="D439" s="60" t="s">
        <v>142</v>
      </c>
      <c r="E439" s="60" t="s">
        <v>1420</v>
      </c>
    </row>
    <row r="440" customFormat="false" ht="15" hidden="false" customHeight="false" outlineLevel="0" collapsed="false">
      <c r="B440" s="60" t="s">
        <v>1423</v>
      </c>
      <c r="C440" s="60" t="n">
        <v>5</v>
      </c>
      <c r="D440" s="60" t="s">
        <v>142</v>
      </c>
      <c r="E440" s="60" t="s">
        <v>1423</v>
      </c>
    </row>
    <row r="441" customFormat="false" ht="15" hidden="false" customHeight="false" outlineLevel="0" collapsed="false">
      <c r="B441" s="60" t="s">
        <v>1483</v>
      </c>
      <c r="C441" s="60" t="n">
        <v>5</v>
      </c>
      <c r="D441" s="60" t="s">
        <v>142</v>
      </c>
      <c r="E441" s="60" t="s">
        <v>1483</v>
      </c>
    </row>
    <row r="442" customFormat="false" ht="15" hidden="false" customHeight="false" outlineLevel="0" collapsed="false">
      <c r="B442" s="60" t="s">
        <v>1491</v>
      </c>
      <c r="C442" s="60" t="n">
        <v>5</v>
      </c>
      <c r="D442" s="60" t="s">
        <v>142</v>
      </c>
      <c r="E442" s="60" t="s">
        <v>1491</v>
      </c>
    </row>
    <row r="443" customFormat="false" ht="15" hidden="false" customHeight="false" outlineLevel="0" collapsed="false">
      <c r="B443" s="60" t="s">
        <v>1495</v>
      </c>
      <c r="C443" s="60" t="n">
        <v>5</v>
      </c>
      <c r="D443" s="60" t="s">
        <v>142</v>
      </c>
      <c r="E443" s="60" t="s">
        <v>1495</v>
      </c>
    </row>
    <row r="444" customFormat="false" ht="15" hidden="false" customHeight="false" outlineLevel="0" collapsed="false">
      <c r="B444" s="60" t="s">
        <v>1499</v>
      </c>
      <c r="C444" s="60" t="n">
        <v>5</v>
      </c>
      <c r="D444" s="60" t="s">
        <v>142</v>
      </c>
      <c r="E444" s="60" t="s">
        <v>1499</v>
      </c>
    </row>
    <row r="445" customFormat="false" ht="15" hidden="false" customHeight="false" outlineLevel="0" collapsed="false">
      <c r="B445" s="60" t="s">
        <v>1503</v>
      </c>
      <c r="C445" s="60" t="n">
        <v>5</v>
      </c>
      <c r="D445" s="60" t="s">
        <v>142</v>
      </c>
      <c r="E445" s="60" t="s">
        <v>1503</v>
      </c>
    </row>
    <row r="446" customFormat="false" ht="15" hidden="false" customHeight="false" outlineLevel="0" collapsed="false">
      <c r="B446" s="60" t="s">
        <v>1506</v>
      </c>
      <c r="C446" s="60" t="n">
        <v>5</v>
      </c>
      <c r="D446" s="60" t="s">
        <v>142</v>
      </c>
      <c r="E446" s="60" t="s">
        <v>1506</v>
      </c>
    </row>
    <row r="447" customFormat="false" ht="15" hidden="false" customHeight="false" outlineLevel="0" collapsed="false">
      <c r="B447" s="60" t="s">
        <v>1510</v>
      </c>
      <c r="C447" s="60" t="n">
        <v>5</v>
      </c>
      <c r="D447" s="60" t="s">
        <v>142</v>
      </c>
      <c r="E447" s="60" t="s">
        <v>1510</v>
      </c>
    </row>
    <row r="448" customFormat="false" ht="15" hidden="false" customHeight="false" outlineLevel="0" collapsed="false">
      <c r="B448" s="60" t="s">
        <v>1531</v>
      </c>
      <c r="C448" s="60" t="n">
        <v>5</v>
      </c>
      <c r="D448" s="60" t="s">
        <v>142</v>
      </c>
      <c r="E448" s="60" t="s">
        <v>1531</v>
      </c>
    </row>
    <row r="449" customFormat="false" ht="15" hidden="false" customHeight="false" outlineLevel="0" collapsed="false">
      <c r="B449" s="60" t="s">
        <v>1871</v>
      </c>
      <c r="C449" s="60" t="n">
        <v>6</v>
      </c>
      <c r="D449" s="60" t="s">
        <v>142</v>
      </c>
      <c r="E449" s="60" t="s">
        <v>1871</v>
      </c>
    </row>
    <row r="450" customFormat="false" ht="15" hidden="false" customHeight="false" outlineLevel="0" collapsed="false">
      <c r="B450" s="60" t="s">
        <v>1893</v>
      </c>
      <c r="C450" s="60" t="n">
        <v>6</v>
      </c>
      <c r="D450" s="60" t="s">
        <v>142</v>
      </c>
      <c r="E450" s="60" t="s">
        <v>1893</v>
      </c>
    </row>
    <row r="451" customFormat="false" ht="15" hidden="false" customHeight="false" outlineLevel="0" collapsed="false">
      <c r="B451" s="60" t="s">
        <v>1897</v>
      </c>
      <c r="C451" s="60" t="n">
        <v>6</v>
      </c>
      <c r="D451" s="60" t="s">
        <v>142</v>
      </c>
      <c r="E451" s="60" t="s">
        <v>1897</v>
      </c>
    </row>
    <row r="452" customFormat="false" ht="15" hidden="false" customHeight="false" outlineLevel="0" collapsed="false">
      <c r="B452" s="60" t="s">
        <v>1926</v>
      </c>
      <c r="C452" s="60" t="n">
        <v>6</v>
      </c>
      <c r="D452" s="60" t="s">
        <v>142</v>
      </c>
      <c r="E452" s="60" t="s">
        <v>1926</v>
      </c>
    </row>
    <row r="453" customFormat="false" ht="15" hidden="false" customHeight="false" outlineLevel="0" collapsed="false">
      <c r="B453" s="60" t="s">
        <v>2001</v>
      </c>
      <c r="C453" s="60" t="n">
        <v>6</v>
      </c>
      <c r="D453" s="60" t="s">
        <v>142</v>
      </c>
      <c r="E453" s="60" t="s">
        <v>2001</v>
      </c>
    </row>
    <row r="454" customFormat="false" ht="15" hidden="false" customHeight="false" outlineLevel="0" collapsed="false">
      <c r="B454" s="60" t="s">
        <v>2075</v>
      </c>
      <c r="C454" s="60" t="n">
        <v>6</v>
      </c>
      <c r="D454" s="60" t="s">
        <v>142</v>
      </c>
      <c r="E454" s="60" t="s">
        <v>2075</v>
      </c>
    </row>
    <row r="455" customFormat="false" ht="15" hidden="false" customHeight="false" outlineLevel="0" collapsed="false">
      <c r="B455" s="60" t="s">
        <v>2093</v>
      </c>
      <c r="C455" s="60" t="n">
        <v>6</v>
      </c>
      <c r="D455" s="60" t="s">
        <v>142</v>
      </c>
      <c r="E455" s="60" t="s">
        <v>2093</v>
      </c>
    </row>
    <row r="456" customFormat="false" ht="15" hidden="false" customHeight="false" outlineLevel="0" collapsed="false">
      <c r="B456" s="60" t="s">
        <v>2156</v>
      </c>
      <c r="C456" s="60" t="n">
        <v>6</v>
      </c>
      <c r="D456" s="60" t="s">
        <v>142</v>
      </c>
      <c r="E456" s="60" t="s">
        <v>2156</v>
      </c>
    </row>
    <row r="457" customFormat="false" ht="15" hidden="false" customHeight="false" outlineLevel="0" collapsed="false">
      <c r="B457" s="60" t="s">
        <v>2193</v>
      </c>
      <c r="C457" s="60" t="n">
        <v>6</v>
      </c>
      <c r="D457" s="60" t="s">
        <v>142</v>
      </c>
      <c r="E457" s="60" t="s">
        <v>2193</v>
      </c>
    </row>
    <row r="458" customFormat="false" ht="15" hidden="false" customHeight="false" outlineLevel="0" collapsed="false">
      <c r="B458" s="60" t="s">
        <v>2276</v>
      </c>
      <c r="C458" s="60" t="n">
        <v>6</v>
      </c>
      <c r="D458" s="60" t="s">
        <v>142</v>
      </c>
      <c r="E458" s="60" t="s">
        <v>2276</v>
      </c>
    </row>
    <row r="459" customFormat="false" ht="15" hidden="false" customHeight="false" outlineLevel="0" collapsed="false">
      <c r="B459" s="60" t="s">
        <v>2280</v>
      </c>
      <c r="C459" s="60" t="n">
        <v>6</v>
      </c>
      <c r="D459" s="60" t="s">
        <v>142</v>
      </c>
      <c r="E459" s="60" t="s">
        <v>2280</v>
      </c>
    </row>
    <row r="460" customFormat="false" ht="15" hidden="false" customHeight="false" outlineLevel="0" collapsed="false">
      <c r="B460" s="60" t="s">
        <v>2283</v>
      </c>
      <c r="C460" s="60" t="n">
        <v>6</v>
      </c>
      <c r="D460" s="60" t="s">
        <v>142</v>
      </c>
      <c r="E460" s="60" t="s">
        <v>2283</v>
      </c>
    </row>
    <row r="461" customFormat="false" ht="15" hidden="false" customHeight="false" outlineLevel="0" collapsed="false">
      <c r="B461" s="60" t="s">
        <v>2286</v>
      </c>
      <c r="C461" s="60" t="n">
        <v>6</v>
      </c>
      <c r="D461" s="60" t="s">
        <v>142</v>
      </c>
      <c r="E461" s="60" t="s">
        <v>2286</v>
      </c>
    </row>
    <row r="462" customFormat="false" ht="15" hidden="false" customHeight="false" outlineLevel="0" collapsed="false">
      <c r="B462" s="60" t="s">
        <v>2572</v>
      </c>
      <c r="C462" s="60" t="n">
        <v>7</v>
      </c>
      <c r="D462" s="60" t="s">
        <v>142</v>
      </c>
      <c r="E462" s="60" t="s">
        <v>2572</v>
      </c>
    </row>
    <row r="463" customFormat="false" ht="15" hidden="false" customHeight="false" outlineLevel="0" collapsed="false">
      <c r="B463" s="60" t="s">
        <v>2645</v>
      </c>
      <c r="C463" s="60" t="n">
        <v>7</v>
      </c>
      <c r="D463" s="60" t="s">
        <v>142</v>
      </c>
      <c r="E463" s="60" t="s">
        <v>2645</v>
      </c>
    </row>
    <row r="464" customFormat="false" ht="15" hidden="false" customHeight="false" outlineLevel="0" collapsed="false">
      <c r="B464" s="60" t="s">
        <v>2730</v>
      </c>
      <c r="C464" s="60" t="n">
        <v>7</v>
      </c>
      <c r="D464" s="60" t="s">
        <v>142</v>
      </c>
      <c r="E464" s="60" t="s">
        <v>2730</v>
      </c>
    </row>
    <row r="465" customFormat="false" ht="15" hidden="false" customHeight="false" outlineLevel="0" collapsed="false">
      <c r="B465" s="60" t="s">
        <v>2766</v>
      </c>
      <c r="C465" s="60" t="n">
        <v>7</v>
      </c>
      <c r="D465" s="60" t="s">
        <v>142</v>
      </c>
      <c r="E465" s="60" t="s">
        <v>2766</v>
      </c>
    </row>
    <row r="466" customFormat="false" ht="15" hidden="false" customHeight="false" outlineLevel="0" collapsed="false">
      <c r="B466" s="60" t="s">
        <v>2785</v>
      </c>
      <c r="C466" s="60" t="n">
        <v>7</v>
      </c>
      <c r="D466" s="60" t="s">
        <v>142</v>
      </c>
      <c r="E466" s="60" t="s">
        <v>2785</v>
      </c>
    </row>
    <row r="467" customFormat="false" ht="15" hidden="false" customHeight="false" outlineLevel="0" collapsed="false">
      <c r="B467" s="60" t="s">
        <v>2801</v>
      </c>
      <c r="C467" s="60" t="n">
        <v>7</v>
      </c>
      <c r="D467" s="60" t="s">
        <v>142</v>
      </c>
      <c r="E467" s="60" t="s">
        <v>2801</v>
      </c>
    </row>
    <row r="468" customFormat="false" ht="15" hidden="false" customHeight="false" outlineLevel="0" collapsed="false">
      <c r="B468" s="60" t="s">
        <v>2805</v>
      </c>
      <c r="C468" s="60" t="n">
        <v>7</v>
      </c>
      <c r="D468" s="60" t="s">
        <v>142</v>
      </c>
      <c r="E468" s="60" t="s">
        <v>2805</v>
      </c>
    </row>
    <row r="469" customFormat="false" ht="15" hidden="false" customHeight="false" outlineLevel="0" collapsed="false">
      <c r="B469" s="60" t="s">
        <v>2900</v>
      </c>
      <c r="C469" s="60" t="n">
        <v>7</v>
      </c>
      <c r="D469" s="60" t="s">
        <v>142</v>
      </c>
      <c r="E469" s="60" t="s">
        <v>2900</v>
      </c>
    </row>
    <row r="470" customFormat="false" ht="15" hidden="false" customHeight="false" outlineLevel="0" collapsed="false">
      <c r="B470" s="60" t="s">
        <v>2904</v>
      </c>
      <c r="C470" s="60" t="n">
        <v>7</v>
      </c>
      <c r="D470" s="60" t="s">
        <v>142</v>
      </c>
      <c r="E470" s="60" t="s">
        <v>2904</v>
      </c>
    </row>
    <row r="471" customFormat="false" ht="15" hidden="false" customHeight="false" outlineLevel="0" collapsed="false">
      <c r="B471" s="60" t="s">
        <v>2907</v>
      </c>
      <c r="C471" s="60" t="n">
        <v>7</v>
      </c>
      <c r="D471" s="60" t="s">
        <v>142</v>
      </c>
      <c r="E471" s="60" t="s">
        <v>2907</v>
      </c>
    </row>
    <row r="472" customFormat="false" ht="15" hidden="false" customHeight="false" outlineLevel="0" collapsed="false">
      <c r="B472" s="60" t="s">
        <v>2917</v>
      </c>
      <c r="C472" s="60" t="n">
        <v>7</v>
      </c>
      <c r="D472" s="60" t="s">
        <v>142</v>
      </c>
      <c r="E472" s="60" t="s">
        <v>2917</v>
      </c>
    </row>
    <row r="473" customFormat="false" ht="15" hidden="false" customHeight="false" outlineLevel="0" collapsed="false">
      <c r="B473" s="60" t="s">
        <v>2921</v>
      </c>
      <c r="C473" s="60" t="n">
        <v>7</v>
      </c>
      <c r="D473" s="60" t="s">
        <v>142</v>
      </c>
      <c r="E473" s="60" t="s">
        <v>2921</v>
      </c>
    </row>
    <row r="474" customFormat="false" ht="15" hidden="false" customHeight="false" outlineLevel="0" collapsed="false">
      <c r="B474" s="60" t="s">
        <v>2925</v>
      </c>
      <c r="C474" s="60" t="n">
        <v>7</v>
      </c>
      <c r="D474" s="60" t="s">
        <v>142</v>
      </c>
      <c r="E474" s="60" t="s">
        <v>2925</v>
      </c>
    </row>
    <row r="475" customFormat="false" ht="15" hidden="false" customHeight="false" outlineLevel="0" collapsed="false">
      <c r="B475" s="60" t="s">
        <v>2969</v>
      </c>
      <c r="C475" s="60" t="n">
        <v>7</v>
      </c>
      <c r="D475" s="60" t="s">
        <v>142</v>
      </c>
      <c r="E475" s="60" t="s">
        <v>2969</v>
      </c>
    </row>
    <row r="476" customFormat="false" ht="15" hidden="false" customHeight="false" outlineLevel="0" collapsed="false">
      <c r="B476" s="60" t="s">
        <v>3219</v>
      </c>
      <c r="C476" s="60" t="n">
        <v>8</v>
      </c>
      <c r="D476" s="60" t="s">
        <v>142</v>
      </c>
      <c r="E476" s="60" t="s">
        <v>3219</v>
      </c>
    </row>
    <row r="477" customFormat="false" ht="15" hidden="false" customHeight="false" outlineLevel="0" collapsed="false">
      <c r="B477" s="60" t="s">
        <v>3327</v>
      </c>
      <c r="C477" s="60" t="n">
        <v>8</v>
      </c>
      <c r="D477" s="60" t="s">
        <v>142</v>
      </c>
      <c r="E477" s="60" t="s">
        <v>3327</v>
      </c>
    </row>
    <row r="478" customFormat="false" ht="15" hidden="false" customHeight="false" outlineLevel="0" collapsed="false">
      <c r="B478" s="60" t="s">
        <v>3331</v>
      </c>
      <c r="C478" s="60" t="n">
        <v>8</v>
      </c>
      <c r="D478" s="60" t="s">
        <v>142</v>
      </c>
      <c r="E478" s="60" t="s">
        <v>3331</v>
      </c>
    </row>
    <row r="479" customFormat="false" ht="15" hidden="false" customHeight="false" outlineLevel="0" collapsed="false">
      <c r="B479" s="60" t="s">
        <v>3371</v>
      </c>
      <c r="C479" s="60" t="n">
        <v>8</v>
      </c>
      <c r="D479" s="60" t="s">
        <v>142</v>
      </c>
      <c r="E479" s="60" t="s">
        <v>3371</v>
      </c>
    </row>
    <row r="480" customFormat="false" ht="15" hidden="false" customHeight="false" outlineLevel="0" collapsed="false">
      <c r="B480" s="60" t="s">
        <v>3375</v>
      </c>
      <c r="C480" s="60" t="n">
        <v>8</v>
      </c>
      <c r="D480" s="60" t="s">
        <v>142</v>
      </c>
      <c r="E480" s="60" t="s">
        <v>3375</v>
      </c>
    </row>
    <row r="481" customFormat="false" ht="15" hidden="false" customHeight="false" outlineLevel="0" collapsed="false">
      <c r="B481" s="60" t="s">
        <v>3379</v>
      </c>
      <c r="C481" s="60" t="n">
        <v>8</v>
      </c>
      <c r="D481" s="60" t="s">
        <v>142</v>
      </c>
      <c r="E481" s="60" t="s">
        <v>3379</v>
      </c>
    </row>
    <row r="482" customFormat="false" ht="15" hidden="false" customHeight="false" outlineLevel="0" collapsed="false">
      <c r="B482" s="60" t="s">
        <v>3396</v>
      </c>
      <c r="C482" s="60" t="n">
        <v>8</v>
      </c>
      <c r="D482" s="60" t="s">
        <v>142</v>
      </c>
      <c r="E482" s="60" t="s">
        <v>3396</v>
      </c>
    </row>
    <row r="483" customFormat="false" ht="15" hidden="false" customHeight="false" outlineLevel="0" collapsed="false">
      <c r="B483" s="60" t="s">
        <v>3399</v>
      </c>
      <c r="C483" s="60" t="n">
        <v>8</v>
      </c>
      <c r="D483" s="60" t="s">
        <v>142</v>
      </c>
      <c r="E483" s="60" t="s">
        <v>3399</v>
      </c>
    </row>
    <row r="484" customFormat="false" ht="15" hidden="false" customHeight="false" outlineLevel="0" collapsed="false">
      <c r="B484" s="60" t="s">
        <v>3586</v>
      </c>
      <c r="C484" s="60" t="n">
        <v>9</v>
      </c>
      <c r="D484" s="60" t="s">
        <v>142</v>
      </c>
      <c r="E484" s="60" t="s">
        <v>3586</v>
      </c>
    </row>
    <row r="485" customFormat="false" ht="15" hidden="false" customHeight="false" outlineLevel="0" collapsed="false">
      <c r="B485" s="60" t="s">
        <v>3666</v>
      </c>
      <c r="C485" s="60" t="n">
        <v>9</v>
      </c>
      <c r="D485" s="60" t="s">
        <v>142</v>
      </c>
      <c r="E485" s="60" t="s">
        <v>3666</v>
      </c>
    </row>
    <row r="486" customFormat="false" ht="15" hidden="false" customHeight="false" outlineLevel="0" collapsed="false">
      <c r="B486" s="60" t="s">
        <v>3710</v>
      </c>
      <c r="C486" s="60" t="n">
        <v>9</v>
      </c>
      <c r="D486" s="60" t="s">
        <v>142</v>
      </c>
      <c r="E486" s="60" t="s">
        <v>3710</v>
      </c>
    </row>
    <row r="487" customFormat="false" ht="15" hidden="false" customHeight="false" outlineLevel="0" collapsed="false">
      <c r="B487" s="60" t="s">
        <v>3714</v>
      </c>
      <c r="C487" s="60" t="n">
        <v>9</v>
      </c>
      <c r="D487" s="60" t="s">
        <v>142</v>
      </c>
      <c r="E487" s="60" t="s">
        <v>3714</v>
      </c>
    </row>
    <row r="488" customFormat="false" ht="15" hidden="false" customHeight="false" outlineLevel="0" collapsed="false">
      <c r="B488" s="60" t="s">
        <v>3718</v>
      </c>
      <c r="C488" s="60" t="n">
        <v>9</v>
      </c>
      <c r="D488" s="60" t="s">
        <v>142</v>
      </c>
      <c r="E488" s="60" t="s">
        <v>3718</v>
      </c>
    </row>
    <row r="489" customFormat="false" ht="15" hidden="false" customHeight="false" outlineLevel="0" collapsed="false">
      <c r="B489" s="60" t="s">
        <v>3721</v>
      </c>
      <c r="C489" s="60" t="n">
        <v>9</v>
      </c>
      <c r="D489" s="60" t="s">
        <v>142</v>
      </c>
      <c r="E489" s="60" t="s">
        <v>3721</v>
      </c>
    </row>
    <row r="490" customFormat="false" ht="15" hidden="false" customHeight="false" outlineLevel="0" collapsed="false">
      <c r="B490" s="60" t="s">
        <v>3748</v>
      </c>
      <c r="C490" s="60" t="n">
        <v>9</v>
      </c>
      <c r="D490" s="60" t="s">
        <v>142</v>
      </c>
      <c r="E490" s="60" t="s">
        <v>3748</v>
      </c>
    </row>
    <row r="491" customFormat="false" ht="15" hidden="false" customHeight="false" outlineLevel="0" collapsed="false">
      <c r="B491" s="60" t="s">
        <v>68</v>
      </c>
      <c r="C491" s="60" t="n">
        <v>1</v>
      </c>
      <c r="D491" s="60" t="s">
        <v>69</v>
      </c>
      <c r="E491" s="60" t="s">
        <v>68</v>
      </c>
    </row>
    <row r="492" customFormat="false" ht="15" hidden="false" customHeight="false" outlineLevel="0" collapsed="false">
      <c r="B492" s="60" t="s">
        <v>68</v>
      </c>
      <c r="C492" s="60" t="n">
        <v>1</v>
      </c>
      <c r="D492" s="60" t="s">
        <v>69</v>
      </c>
      <c r="E492" s="60" t="s">
        <v>68</v>
      </c>
    </row>
    <row r="493" customFormat="false" ht="15" hidden="false" customHeight="false" outlineLevel="0" collapsed="false">
      <c r="B493" s="60" t="s">
        <v>97</v>
      </c>
      <c r="C493" s="60" t="n">
        <v>1</v>
      </c>
      <c r="D493" s="60" t="s">
        <v>69</v>
      </c>
      <c r="E493" s="60" t="s">
        <v>97</v>
      </c>
    </row>
    <row r="494" customFormat="false" ht="15" hidden="false" customHeight="false" outlineLevel="0" collapsed="false">
      <c r="B494" s="60" t="s">
        <v>102</v>
      </c>
      <c r="C494" s="60" t="n">
        <v>1</v>
      </c>
      <c r="D494" s="60" t="s">
        <v>69</v>
      </c>
      <c r="E494" s="60" t="s">
        <v>102</v>
      </c>
    </row>
    <row r="495" customFormat="false" ht="15" hidden="false" customHeight="false" outlineLevel="0" collapsed="false">
      <c r="B495" s="60" t="s">
        <v>193</v>
      </c>
      <c r="C495" s="60" t="n">
        <v>2</v>
      </c>
      <c r="D495" s="60" t="s">
        <v>69</v>
      </c>
      <c r="E495" s="60" t="s">
        <v>193</v>
      </c>
    </row>
    <row r="496" customFormat="false" ht="15" hidden="false" customHeight="false" outlineLevel="0" collapsed="false">
      <c r="B496" s="60" t="s">
        <v>279</v>
      </c>
      <c r="C496" s="60" t="n">
        <v>3</v>
      </c>
      <c r="D496" s="60" t="s">
        <v>69</v>
      </c>
      <c r="E496" s="60" t="s">
        <v>279</v>
      </c>
    </row>
    <row r="497" customFormat="false" ht="15" hidden="false" customHeight="false" outlineLevel="0" collapsed="false">
      <c r="B497" s="60" t="s">
        <v>283</v>
      </c>
      <c r="C497" s="60" t="n">
        <v>3</v>
      </c>
      <c r="D497" s="60" t="s">
        <v>69</v>
      </c>
      <c r="E497" s="60" t="s">
        <v>283</v>
      </c>
    </row>
    <row r="498" customFormat="false" ht="15" hidden="false" customHeight="false" outlineLevel="0" collapsed="false">
      <c r="B498" s="60" t="s">
        <v>288</v>
      </c>
      <c r="C498" s="60" t="n">
        <v>3</v>
      </c>
      <c r="D498" s="60" t="s">
        <v>69</v>
      </c>
      <c r="E498" s="60" t="s">
        <v>288</v>
      </c>
    </row>
    <row r="499" customFormat="false" ht="15" hidden="false" customHeight="false" outlineLevel="0" collapsed="false">
      <c r="B499" s="60" t="s">
        <v>327</v>
      </c>
      <c r="C499" s="60" t="n">
        <v>3</v>
      </c>
      <c r="D499" s="60" t="s">
        <v>69</v>
      </c>
      <c r="E499" s="60" t="s">
        <v>327</v>
      </c>
    </row>
    <row r="500" customFormat="false" ht="15" hidden="false" customHeight="false" outlineLevel="0" collapsed="false">
      <c r="B500" s="60" t="s">
        <v>331</v>
      </c>
      <c r="C500" s="60" t="n">
        <v>3</v>
      </c>
      <c r="D500" s="60" t="s">
        <v>69</v>
      </c>
      <c r="E500" s="60" t="s">
        <v>331</v>
      </c>
    </row>
    <row r="501" customFormat="false" ht="15" hidden="false" customHeight="false" outlineLevel="0" collapsed="false">
      <c r="B501" s="60" t="s">
        <v>431</v>
      </c>
      <c r="C501" s="60" t="n">
        <v>3</v>
      </c>
      <c r="D501" s="60" t="s">
        <v>69</v>
      </c>
      <c r="E501" s="60" t="s">
        <v>431</v>
      </c>
    </row>
    <row r="502" customFormat="false" ht="15" hidden="false" customHeight="false" outlineLevel="0" collapsed="false">
      <c r="B502" s="60" t="s">
        <v>525</v>
      </c>
      <c r="C502" s="60" t="n">
        <v>4</v>
      </c>
      <c r="D502" s="60" t="s">
        <v>69</v>
      </c>
      <c r="E502" s="60" t="s">
        <v>525</v>
      </c>
    </row>
    <row r="503" customFormat="false" ht="15" hidden="false" customHeight="false" outlineLevel="0" collapsed="false">
      <c r="B503" s="60" t="s">
        <v>678</v>
      </c>
      <c r="C503" s="60" t="n">
        <v>4</v>
      </c>
      <c r="D503" s="60" t="s">
        <v>69</v>
      </c>
      <c r="E503" s="60" t="s">
        <v>678</v>
      </c>
    </row>
    <row r="504" customFormat="false" ht="15" hidden="false" customHeight="false" outlineLevel="0" collapsed="false">
      <c r="B504" s="60" t="s">
        <v>880</v>
      </c>
      <c r="C504" s="60" t="n">
        <v>4</v>
      </c>
      <c r="D504" s="60" t="s">
        <v>69</v>
      </c>
      <c r="E504" s="60" t="s">
        <v>880</v>
      </c>
    </row>
    <row r="505" customFormat="false" ht="15" hidden="false" customHeight="false" outlineLevel="0" collapsed="false">
      <c r="B505" s="60" t="s">
        <v>884</v>
      </c>
      <c r="C505" s="60" t="n">
        <v>4</v>
      </c>
      <c r="D505" s="60" t="s">
        <v>69</v>
      </c>
      <c r="E505" s="60" t="s">
        <v>884</v>
      </c>
    </row>
    <row r="506" customFormat="false" ht="15" hidden="false" customHeight="false" outlineLevel="0" collapsed="false">
      <c r="B506" s="60" t="s">
        <v>888</v>
      </c>
      <c r="C506" s="60" t="n">
        <v>4</v>
      </c>
      <c r="D506" s="60" t="s">
        <v>69</v>
      </c>
      <c r="E506" s="60" t="s">
        <v>888</v>
      </c>
    </row>
    <row r="507" customFormat="false" ht="15" hidden="false" customHeight="false" outlineLevel="0" collapsed="false">
      <c r="B507" s="60" t="s">
        <v>891</v>
      </c>
      <c r="C507" s="60" t="n">
        <v>4</v>
      </c>
      <c r="D507" s="60" t="s">
        <v>69</v>
      </c>
      <c r="E507" s="60" t="s">
        <v>891</v>
      </c>
    </row>
    <row r="508" customFormat="false" ht="15" hidden="false" customHeight="false" outlineLevel="0" collapsed="false">
      <c r="B508" s="60" t="s">
        <v>1074</v>
      </c>
      <c r="C508" s="60" t="n">
        <v>5</v>
      </c>
      <c r="D508" s="60" t="s">
        <v>69</v>
      </c>
      <c r="E508" s="60" t="s">
        <v>1074</v>
      </c>
    </row>
    <row r="509" customFormat="false" ht="15" hidden="false" customHeight="false" outlineLevel="0" collapsed="false">
      <c r="B509" s="60" t="s">
        <v>1078</v>
      </c>
      <c r="C509" s="60" t="n">
        <v>5</v>
      </c>
      <c r="D509" s="60" t="s">
        <v>69</v>
      </c>
      <c r="E509" s="60" t="s">
        <v>1078</v>
      </c>
    </row>
    <row r="510" customFormat="false" ht="15" hidden="false" customHeight="false" outlineLevel="0" collapsed="false">
      <c r="B510" s="60" t="s">
        <v>1174</v>
      </c>
      <c r="C510" s="60" t="n">
        <v>5</v>
      </c>
      <c r="D510" s="60" t="s">
        <v>69</v>
      </c>
      <c r="E510" s="60" t="s">
        <v>1174</v>
      </c>
    </row>
    <row r="511" customFormat="false" ht="15" hidden="false" customHeight="false" outlineLevel="0" collapsed="false">
      <c r="B511" s="60" t="s">
        <v>1186</v>
      </c>
      <c r="C511" s="60" t="n">
        <v>5</v>
      </c>
      <c r="D511" s="60" t="s">
        <v>69</v>
      </c>
      <c r="E511" s="60" t="s">
        <v>1186</v>
      </c>
    </row>
    <row r="512" customFormat="false" ht="15" hidden="false" customHeight="false" outlineLevel="0" collapsed="false">
      <c r="B512" s="60" t="s">
        <v>1190</v>
      </c>
      <c r="C512" s="60" t="n">
        <v>5</v>
      </c>
      <c r="D512" s="60" t="s">
        <v>69</v>
      </c>
      <c r="E512" s="60" t="s">
        <v>1190</v>
      </c>
    </row>
    <row r="513" customFormat="false" ht="15" hidden="false" customHeight="false" outlineLevel="0" collapsed="false">
      <c r="B513" s="60" t="s">
        <v>1259</v>
      </c>
      <c r="C513" s="60" t="n">
        <v>5</v>
      </c>
      <c r="D513" s="60" t="s">
        <v>69</v>
      </c>
      <c r="E513" s="60" t="s">
        <v>1259</v>
      </c>
    </row>
    <row r="514" customFormat="false" ht="15" hidden="false" customHeight="false" outlineLevel="0" collapsed="false">
      <c r="B514" s="60" t="s">
        <v>1263</v>
      </c>
      <c r="C514" s="60" t="n">
        <v>5</v>
      </c>
      <c r="D514" s="60" t="s">
        <v>69</v>
      </c>
      <c r="E514" s="60" t="s">
        <v>1263</v>
      </c>
    </row>
    <row r="515" customFormat="false" ht="15" hidden="false" customHeight="false" outlineLevel="0" collapsed="false">
      <c r="B515" s="60" t="s">
        <v>1271</v>
      </c>
      <c r="C515" s="60" t="n">
        <v>5</v>
      </c>
      <c r="D515" s="60" t="s">
        <v>69</v>
      </c>
      <c r="E515" s="60" t="s">
        <v>1271</v>
      </c>
    </row>
    <row r="516" customFormat="false" ht="15" hidden="false" customHeight="false" outlineLevel="0" collapsed="false">
      <c r="B516" s="60" t="s">
        <v>1275</v>
      </c>
      <c r="C516" s="60" t="n">
        <v>5</v>
      </c>
      <c r="D516" s="60" t="s">
        <v>69</v>
      </c>
      <c r="E516" s="60" t="s">
        <v>1275</v>
      </c>
    </row>
    <row r="517" customFormat="false" ht="15" hidden="false" customHeight="false" outlineLevel="0" collapsed="false">
      <c r="B517" s="60" t="s">
        <v>1279</v>
      </c>
      <c r="C517" s="60" t="n">
        <v>5</v>
      </c>
      <c r="D517" s="60" t="s">
        <v>69</v>
      </c>
      <c r="E517" s="60" t="s">
        <v>1279</v>
      </c>
    </row>
    <row r="518" customFormat="false" ht="15" hidden="false" customHeight="false" outlineLevel="0" collapsed="false">
      <c r="B518" s="60" t="s">
        <v>1325</v>
      </c>
      <c r="C518" s="60" t="n">
        <v>5</v>
      </c>
      <c r="D518" s="60" t="s">
        <v>69</v>
      </c>
      <c r="E518" s="60" t="s">
        <v>1325</v>
      </c>
    </row>
    <row r="519" customFormat="false" ht="15" hidden="false" customHeight="false" outlineLevel="0" collapsed="false">
      <c r="B519" s="60" t="s">
        <v>1328</v>
      </c>
      <c r="C519" s="60" t="n">
        <v>5</v>
      </c>
      <c r="D519" s="60" t="s">
        <v>69</v>
      </c>
      <c r="E519" s="60" t="s">
        <v>1328</v>
      </c>
    </row>
    <row r="520" customFormat="false" ht="15" hidden="false" customHeight="false" outlineLevel="0" collapsed="false">
      <c r="B520" s="60" t="s">
        <v>1336</v>
      </c>
      <c r="C520" s="60" t="n">
        <v>5</v>
      </c>
      <c r="D520" s="60" t="s">
        <v>69</v>
      </c>
      <c r="E520" s="60" t="s">
        <v>1336</v>
      </c>
    </row>
    <row r="521" customFormat="false" ht="15" hidden="false" customHeight="false" outlineLevel="0" collapsed="false">
      <c r="B521" s="60" t="s">
        <v>1573</v>
      </c>
      <c r="C521" s="60" t="n">
        <v>5</v>
      </c>
      <c r="D521" s="60" t="s">
        <v>69</v>
      </c>
      <c r="E521" s="60" t="s">
        <v>1573</v>
      </c>
    </row>
    <row r="522" customFormat="false" ht="15" hidden="false" customHeight="false" outlineLevel="0" collapsed="false">
      <c r="B522" s="60" t="s">
        <v>1575</v>
      </c>
      <c r="C522" s="60" t="n">
        <v>5</v>
      </c>
      <c r="D522" s="60" t="s">
        <v>69</v>
      </c>
      <c r="E522" s="60" t="s">
        <v>1575</v>
      </c>
    </row>
    <row r="523" customFormat="false" ht="15" hidden="false" customHeight="false" outlineLevel="0" collapsed="false">
      <c r="B523" s="60" t="s">
        <v>1578</v>
      </c>
      <c r="C523" s="60" t="n">
        <v>5</v>
      </c>
      <c r="D523" s="60" t="s">
        <v>69</v>
      </c>
      <c r="E523" s="60" t="s">
        <v>1578</v>
      </c>
    </row>
    <row r="524" customFormat="false" ht="15" hidden="false" customHeight="false" outlineLevel="0" collapsed="false">
      <c r="B524" s="60" t="s">
        <v>1582</v>
      </c>
      <c r="C524" s="60" t="n">
        <v>5</v>
      </c>
      <c r="D524" s="60" t="s">
        <v>69</v>
      </c>
      <c r="E524" s="60" t="s">
        <v>1582</v>
      </c>
    </row>
    <row r="525" customFormat="false" ht="15" hidden="false" customHeight="false" outlineLevel="0" collapsed="false">
      <c r="B525" s="60" t="s">
        <v>1789</v>
      </c>
      <c r="C525" s="60" t="n">
        <v>6</v>
      </c>
      <c r="D525" s="60" t="s">
        <v>69</v>
      </c>
      <c r="E525" s="60" t="s">
        <v>1789</v>
      </c>
    </row>
    <row r="526" customFormat="false" ht="15" hidden="false" customHeight="false" outlineLevel="0" collapsed="false">
      <c r="B526" s="60" t="s">
        <v>1909</v>
      </c>
      <c r="C526" s="60" t="n">
        <v>6</v>
      </c>
      <c r="D526" s="60" t="s">
        <v>69</v>
      </c>
      <c r="E526" s="60" t="s">
        <v>1909</v>
      </c>
    </row>
    <row r="527" customFormat="false" ht="15" hidden="false" customHeight="false" outlineLevel="0" collapsed="false">
      <c r="B527" s="60" t="s">
        <v>1912</v>
      </c>
      <c r="C527" s="60" t="n">
        <v>6</v>
      </c>
      <c r="D527" s="60" t="s">
        <v>69</v>
      </c>
      <c r="E527" s="60" t="s">
        <v>1912</v>
      </c>
    </row>
    <row r="528" customFormat="false" ht="15" hidden="false" customHeight="false" outlineLevel="0" collapsed="false">
      <c r="B528" s="60" t="s">
        <v>1916</v>
      </c>
      <c r="C528" s="60" t="n">
        <v>6</v>
      </c>
      <c r="D528" s="60" t="s">
        <v>69</v>
      </c>
      <c r="E528" s="60" t="s">
        <v>1916</v>
      </c>
    </row>
    <row r="529" customFormat="false" ht="15" hidden="false" customHeight="false" outlineLevel="0" collapsed="false">
      <c r="B529" s="60" t="s">
        <v>2004</v>
      </c>
      <c r="C529" s="60" t="n">
        <v>6</v>
      </c>
      <c r="D529" s="60" t="s">
        <v>69</v>
      </c>
      <c r="E529" s="60" t="s">
        <v>2004</v>
      </c>
    </row>
    <row r="530" customFormat="false" ht="15" hidden="false" customHeight="false" outlineLevel="0" collapsed="false">
      <c r="B530" s="60" t="s">
        <v>2008</v>
      </c>
      <c r="C530" s="60" t="n">
        <v>6</v>
      </c>
      <c r="D530" s="60" t="s">
        <v>69</v>
      </c>
      <c r="E530" s="60" t="s">
        <v>2008</v>
      </c>
    </row>
    <row r="531" customFormat="false" ht="15" hidden="false" customHeight="false" outlineLevel="0" collapsed="false">
      <c r="B531" s="60" t="s">
        <v>2011</v>
      </c>
      <c r="C531" s="60" t="n">
        <v>6</v>
      </c>
      <c r="D531" s="60" t="s">
        <v>69</v>
      </c>
      <c r="E531" s="60" t="s">
        <v>2011</v>
      </c>
    </row>
    <row r="532" customFormat="false" ht="15" hidden="false" customHeight="false" outlineLevel="0" collapsed="false">
      <c r="B532" s="60" t="s">
        <v>2018</v>
      </c>
      <c r="C532" s="60" t="n">
        <v>6</v>
      </c>
      <c r="D532" s="60" t="s">
        <v>69</v>
      </c>
      <c r="E532" s="60" t="s">
        <v>2018</v>
      </c>
    </row>
    <row r="533" customFormat="false" ht="15" hidden="false" customHeight="false" outlineLevel="0" collapsed="false">
      <c r="B533" s="60" t="s">
        <v>2025</v>
      </c>
      <c r="C533" s="60" t="n">
        <v>6</v>
      </c>
      <c r="D533" s="60" t="s">
        <v>69</v>
      </c>
      <c r="E533" s="60" t="s">
        <v>2025</v>
      </c>
    </row>
    <row r="534" customFormat="false" ht="15" hidden="false" customHeight="false" outlineLevel="0" collapsed="false">
      <c r="B534" s="60" t="s">
        <v>2028</v>
      </c>
      <c r="C534" s="60" t="n">
        <v>6</v>
      </c>
      <c r="D534" s="60" t="s">
        <v>69</v>
      </c>
      <c r="E534" s="60" t="s">
        <v>2028</v>
      </c>
    </row>
    <row r="535" customFormat="false" ht="15" hidden="false" customHeight="false" outlineLevel="0" collapsed="false">
      <c r="B535" s="60" t="s">
        <v>2032</v>
      </c>
      <c r="C535" s="60" t="n">
        <v>6</v>
      </c>
      <c r="D535" s="60" t="s">
        <v>69</v>
      </c>
      <c r="E535" s="60" t="s">
        <v>2032</v>
      </c>
    </row>
    <row r="536" customFormat="false" ht="15" hidden="false" customHeight="false" outlineLevel="0" collapsed="false">
      <c r="B536" s="60" t="s">
        <v>2317</v>
      </c>
      <c r="C536" s="60" t="n">
        <v>6</v>
      </c>
      <c r="D536" s="60" t="s">
        <v>69</v>
      </c>
      <c r="E536" s="60" t="s">
        <v>2317</v>
      </c>
    </row>
    <row r="537" customFormat="false" ht="15" hidden="false" customHeight="false" outlineLevel="0" collapsed="false">
      <c r="B537" s="60" t="s">
        <v>2321</v>
      </c>
      <c r="C537" s="60" t="n">
        <v>6</v>
      </c>
      <c r="D537" s="60" t="s">
        <v>69</v>
      </c>
      <c r="E537" s="60" t="s">
        <v>2321</v>
      </c>
    </row>
    <row r="538" customFormat="false" ht="15" hidden="false" customHeight="false" outlineLevel="0" collapsed="false">
      <c r="B538" s="60" t="s">
        <v>2624</v>
      </c>
      <c r="C538" s="60" t="n">
        <v>7</v>
      </c>
      <c r="D538" s="60" t="s">
        <v>69</v>
      </c>
      <c r="E538" s="60" t="s">
        <v>2624</v>
      </c>
    </row>
    <row r="539" customFormat="false" ht="15" hidden="false" customHeight="false" outlineLevel="0" collapsed="false">
      <c r="B539" s="60" t="s">
        <v>2628</v>
      </c>
      <c r="C539" s="60" t="n">
        <v>7</v>
      </c>
      <c r="D539" s="60" t="s">
        <v>69</v>
      </c>
      <c r="E539" s="60" t="s">
        <v>2628</v>
      </c>
    </row>
    <row r="540" customFormat="false" ht="15" hidden="false" customHeight="false" outlineLevel="0" collapsed="false">
      <c r="B540" s="60" t="s">
        <v>2642</v>
      </c>
      <c r="C540" s="60" t="n">
        <v>7</v>
      </c>
      <c r="D540" s="60" t="s">
        <v>69</v>
      </c>
      <c r="E540" s="60" t="s">
        <v>2642</v>
      </c>
    </row>
    <row r="541" customFormat="false" ht="15" hidden="false" customHeight="false" outlineLevel="0" collapsed="false">
      <c r="B541" s="60" t="s">
        <v>2709</v>
      </c>
      <c r="C541" s="60" t="n">
        <v>7</v>
      </c>
      <c r="D541" s="60" t="s">
        <v>69</v>
      </c>
      <c r="E541" s="60" t="s">
        <v>2709</v>
      </c>
    </row>
    <row r="542" customFormat="false" ht="15" hidden="false" customHeight="false" outlineLevel="0" collapsed="false">
      <c r="B542" s="60" t="s">
        <v>2716</v>
      </c>
      <c r="C542" s="60" t="n">
        <v>7</v>
      </c>
      <c r="D542" s="60" t="s">
        <v>69</v>
      </c>
      <c r="E542" s="60" t="s">
        <v>2716</v>
      </c>
    </row>
    <row r="543" customFormat="false" ht="15" hidden="false" customHeight="false" outlineLevel="0" collapsed="false">
      <c r="B543" s="60" t="s">
        <v>3015</v>
      </c>
      <c r="C543" s="60" t="n">
        <v>7</v>
      </c>
      <c r="D543" s="60" t="s">
        <v>69</v>
      </c>
      <c r="E543" s="60" t="s">
        <v>3015</v>
      </c>
    </row>
    <row r="544" customFormat="false" ht="15" hidden="false" customHeight="false" outlineLevel="0" collapsed="false">
      <c r="B544" s="60" t="s">
        <v>3022</v>
      </c>
      <c r="C544" s="60" t="n">
        <v>7</v>
      </c>
      <c r="D544" s="60" t="s">
        <v>69</v>
      </c>
      <c r="E544" s="60" t="s">
        <v>3022</v>
      </c>
    </row>
    <row r="545" customFormat="false" ht="15" hidden="false" customHeight="false" outlineLevel="0" collapsed="false">
      <c r="B545" s="60" t="s">
        <v>3026</v>
      </c>
      <c r="C545" s="60" t="n">
        <v>7</v>
      </c>
      <c r="D545" s="60" t="s">
        <v>69</v>
      </c>
      <c r="E545" s="60" t="s">
        <v>3026</v>
      </c>
    </row>
    <row r="546" customFormat="false" ht="15" hidden="false" customHeight="false" outlineLevel="0" collapsed="false">
      <c r="B546" s="60" t="s">
        <v>3029</v>
      </c>
      <c r="C546" s="60" t="n">
        <v>7</v>
      </c>
      <c r="D546" s="60" t="s">
        <v>69</v>
      </c>
      <c r="E546" s="60" t="s">
        <v>3029</v>
      </c>
    </row>
    <row r="547" customFormat="false" ht="15" hidden="false" customHeight="false" outlineLevel="0" collapsed="false">
      <c r="B547" s="60" t="s">
        <v>3157</v>
      </c>
      <c r="C547" s="60" t="n">
        <v>8</v>
      </c>
      <c r="D547" s="60" t="s">
        <v>69</v>
      </c>
      <c r="E547" s="60" t="s">
        <v>3157</v>
      </c>
    </row>
    <row r="548" customFormat="false" ht="15" hidden="false" customHeight="false" outlineLevel="0" collapsed="false">
      <c r="B548" s="60" t="s">
        <v>3215</v>
      </c>
      <c r="C548" s="60" t="n">
        <v>8</v>
      </c>
      <c r="D548" s="60" t="s">
        <v>69</v>
      </c>
      <c r="E548" s="60" t="s">
        <v>3215</v>
      </c>
    </row>
    <row r="549" customFormat="false" ht="15" hidden="false" customHeight="false" outlineLevel="0" collapsed="false">
      <c r="B549" s="60" t="s">
        <v>3242</v>
      </c>
      <c r="C549" s="60" t="n">
        <v>8</v>
      </c>
      <c r="D549" s="60" t="s">
        <v>69</v>
      </c>
      <c r="E549" s="60" t="s">
        <v>3242</v>
      </c>
    </row>
    <row r="550" customFormat="false" ht="15" hidden="false" customHeight="false" outlineLevel="0" collapsed="false">
      <c r="B550" s="60" t="s">
        <v>3246</v>
      </c>
      <c r="C550" s="60" t="n">
        <v>8</v>
      </c>
      <c r="D550" s="60" t="s">
        <v>69</v>
      </c>
      <c r="E550" s="60" t="s">
        <v>3246</v>
      </c>
    </row>
    <row r="551" customFormat="false" ht="15" hidden="false" customHeight="false" outlineLevel="0" collapsed="false">
      <c r="B551" s="60" t="s">
        <v>3253</v>
      </c>
      <c r="C551" s="60" t="n">
        <v>8</v>
      </c>
      <c r="D551" s="60" t="s">
        <v>69</v>
      </c>
      <c r="E551" s="60" t="s">
        <v>3253</v>
      </c>
    </row>
    <row r="552" customFormat="false" ht="15" hidden="false" customHeight="false" outlineLevel="0" collapsed="false">
      <c r="B552" s="60" t="s">
        <v>3255</v>
      </c>
      <c r="C552" s="60" t="n">
        <v>8</v>
      </c>
      <c r="D552" s="60" t="s">
        <v>69</v>
      </c>
      <c r="E552" s="60" t="s">
        <v>3255</v>
      </c>
    </row>
    <row r="553" customFormat="false" ht="15" hidden="false" customHeight="false" outlineLevel="0" collapsed="false">
      <c r="B553" s="60" t="s">
        <v>3406</v>
      </c>
      <c r="C553" s="60" t="n">
        <v>8</v>
      </c>
      <c r="D553" s="60" t="s">
        <v>69</v>
      </c>
      <c r="E553" s="60" t="s">
        <v>3406</v>
      </c>
    </row>
    <row r="554" customFormat="false" ht="15" hidden="false" customHeight="false" outlineLevel="0" collapsed="false">
      <c r="B554" s="60" t="s">
        <v>3508</v>
      </c>
      <c r="C554" s="60" t="n">
        <v>9</v>
      </c>
      <c r="D554" s="60" t="s">
        <v>69</v>
      </c>
      <c r="E554" s="60" t="s">
        <v>3508</v>
      </c>
    </row>
    <row r="555" customFormat="false" ht="15" hidden="false" customHeight="false" outlineLevel="0" collapsed="false">
      <c r="B555" s="60" t="s">
        <v>3545</v>
      </c>
      <c r="C555" s="60" t="n">
        <v>9</v>
      </c>
      <c r="D555" s="60" t="s">
        <v>69</v>
      </c>
      <c r="E555" s="60" t="s">
        <v>3545</v>
      </c>
    </row>
    <row r="556" customFormat="false" ht="15" hidden="false" customHeight="false" outlineLevel="0" collapsed="false">
      <c r="B556" s="60" t="s">
        <v>914</v>
      </c>
      <c r="C556" s="60" t="n">
        <v>4</v>
      </c>
      <c r="D556" s="60" t="s">
        <v>4021</v>
      </c>
      <c r="E556" s="60" t="s">
        <v>914</v>
      </c>
    </row>
    <row r="557" customFormat="false" ht="15" hidden="false" customHeight="false" outlineLevel="0" collapsed="false">
      <c r="B557" s="60" t="s">
        <v>963</v>
      </c>
      <c r="C557" s="60" t="n">
        <v>4</v>
      </c>
      <c r="D557" s="60" t="s">
        <v>4021</v>
      </c>
      <c r="E557" s="60" t="s">
        <v>963</v>
      </c>
    </row>
    <row r="558" customFormat="false" ht="15" hidden="false" customHeight="false" outlineLevel="0" collapsed="false">
      <c r="B558" s="60" t="s">
        <v>1642</v>
      </c>
      <c r="C558" s="60" t="n">
        <v>5</v>
      </c>
      <c r="D558" s="60" t="s">
        <v>4021</v>
      </c>
      <c r="E558" s="60" t="s">
        <v>1642</v>
      </c>
    </row>
    <row r="559" customFormat="false" ht="15" hidden="false" customHeight="false" outlineLevel="0" collapsed="false">
      <c r="B559" s="60" t="s">
        <v>2367</v>
      </c>
      <c r="C559" s="60" t="n">
        <v>6</v>
      </c>
      <c r="D559" s="60" t="s">
        <v>4021</v>
      </c>
      <c r="E559" s="60" t="s">
        <v>2367</v>
      </c>
    </row>
    <row r="560" customFormat="false" ht="15" hidden="false" customHeight="false" outlineLevel="0" collapsed="false">
      <c r="B560" s="60" t="s">
        <v>3057</v>
      </c>
      <c r="C560" s="60" t="n">
        <v>7</v>
      </c>
      <c r="D560" s="60" t="s">
        <v>4021</v>
      </c>
      <c r="E560" s="60" t="s">
        <v>3057</v>
      </c>
    </row>
    <row r="561" customFormat="false" ht="15" hidden="false" customHeight="false" outlineLevel="0" collapsed="false">
      <c r="B561" s="60" t="s">
        <v>3068</v>
      </c>
      <c r="C561" s="60" t="n">
        <v>7</v>
      </c>
      <c r="D561" s="60" t="s">
        <v>4021</v>
      </c>
      <c r="E561" s="60" t="s">
        <v>3068</v>
      </c>
    </row>
    <row r="562" customFormat="false" ht="15" hidden="false" customHeight="false" outlineLevel="0" collapsed="false">
      <c r="B562" s="60" t="s">
        <v>3072</v>
      </c>
      <c r="C562" s="60" t="n">
        <v>7</v>
      </c>
      <c r="D562" s="60" t="s">
        <v>4021</v>
      </c>
      <c r="E562" s="60" t="s">
        <v>3072</v>
      </c>
    </row>
    <row r="563" customFormat="false" ht="15" hidden="false" customHeight="false" outlineLevel="0" collapsed="false">
      <c r="B563" s="60" t="s">
        <v>3076</v>
      </c>
      <c r="C563" s="60" t="n">
        <v>7</v>
      </c>
      <c r="D563" s="60" t="s">
        <v>4021</v>
      </c>
      <c r="E563" s="60" t="s">
        <v>3076</v>
      </c>
    </row>
    <row r="564" customFormat="false" ht="15" hidden="false" customHeight="false" outlineLevel="0" collapsed="false">
      <c r="B564" s="60" t="s">
        <v>3080</v>
      </c>
      <c r="C564" s="60" t="n">
        <v>7</v>
      </c>
      <c r="D564" s="60" t="s">
        <v>4021</v>
      </c>
      <c r="E564" s="60" t="s">
        <v>3080</v>
      </c>
    </row>
    <row r="565" customFormat="false" ht="15" hidden="false" customHeight="false" outlineLevel="0" collapsed="false">
      <c r="B565" s="60" t="s">
        <v>3438</v>
      </c>
      <c r="C565" s="60" t="n">
        <v>8</v>
      </c>
      <c r="D565" s="60" t="s">
        <v>4021</v>
      </c>
      <c r="E565" s="60" t="s">
        <v>3438</v>
      </c>
    </row>
    <row r="566" customFormat="false" ht="15" hidden="false" customHeight="false" outlineLevel="0" collapsed="false">
      <c r="B566" s="60" t="s">
        <v>3443</v>
      </c>
      <c r="C566" s="60" t="n">
        <v>8</v>
      </c>
      <c r="D566" s="60" t="s">
        <v>4021</v>
      </c>
      <c r="E566" s="60" t="s">
        <v>3443</v>
      </c>
    </row>
    <row r="567" customFormat="false" ht="15" hidden="false" customHeight="false" outlineLevel="0" collapsed="false">
      <c r="B567" s="60" t="s">
        <v>3775</v>
      </c>
      <c r="C567" s="60" t="n">
        <v>9</v>
      </c>
      <c r="D567" s="60" t="s">
        <v>4021</v>
      </c>
      <c r="E567" s="60" t="s">
        <v>3775</v>
      </c>
    </row>
    <row r="568" customFormat="false" ht="15" hidden="false" customHeight="false" outlineLevel="0" collapsed="false">
      <c r="B568" s="60" t="s">
        <v>3779</v>
      </c>
      <c r="C568" s="60" t="n">
        <v>9</v>
      </c>
      <c r="D568" s="60" t="s">
        <v>4021</v>
      </c>
      <c r="E568" s="60" t="s">
        <v>3779</v>
      </c>
    </row>
    <row r="569" customFormat="false" ht="15" hidden="false" customHeight="false" outlineLevel="0" collapsed="false">
      <c r="B569" s="60" t="s">
        <v>3787</v>
      </c>
      <c r="C569" s="60" t="n">
        <v>9</v>
      </c>
      <c r="D569" s="60" t="s">
        <v>4021</v>
      </c>
      <c r="E569" s="60" t="s">
        <v>3787</v>
      </c>
    </row>
    <row r="570" customFormat="false" ht="15" hidden="false" customHeight="false" outlineLevel="0" collapsed="false">
      <c r="B570" s="60" t="s">
        <v>184</v>
      </c>
      <c r="C570" s="60" t="n">
        <v>2</v>
      </c>
      <c r="D570" s="60" t="s">
        <v>185</v>
      </c>
      <c r="E570" s="60" t="s">
        <v>184</v>
      </c>
    </row>
    <row r="571" customFormat="false" ht="15" hidden="false" customHeight="false" outlineLevel="0" collapsed="false">
      <c r="B571" s="60" t="s">
        <v>312</v>
      </c>
      <c r="C571" s="60" t="n">
        <v>3</v>
      </c>
      <c r="D571" s="60" t="s">
        <v>185</v>
      </c>
      <c r="E571" s="60" t="s">
        <v>312</v>
      </c>
    </row>
    <row r="572" customFormat="false" ht="15" hidden="false" customHeight="false" outlineLevel="0" collapsed="false">
      <c r="B572" s="60" t="s">
        <v>401</v>
      </c>
      <c r="C572" s="60" t="n">
        <v>3</v>
      </c>
      <c r="D572" s="60" t="s">
        <v>185</v>
      </c>
      <c r="E572" s="60" t="s">
        <v>401</v>
      </c>
    </row>
    <row r="573" customFormat="false" ht="15" hidden="false" customHeight="false" outlineLevel="0" collapsed="false">
      <c r="B573" s="60" t="s">
        <v>586</v>
      </c>
      <c r="C573" s="60" t="n">
        <v>4</v>
      </c>
      <c r="D573" s="60" t="s">
        <v>185</v>
      </c>
      <c r="E573" s="60" t="s">
        <v>586</v>
      </c>
    </row>
    <row r="574" customFormat="false" ht="15" hidden="false" customHeight="false" outlineLevel="0" collapsed="false">
      <c r="B574" s="60" t="s">
        <v>652</v>
      </c>
      <c r="C574" s="60" t="n">
        <v>4</v>
      </c>
      <c r="D574" s="60" t="s">
        <v>185</v>
      </c>
      <c r="E574" s="60" t="s">
        <v>652</v>
      </c>
    </row>
    <row r="575" customFormat="false" ht="15" hidden="false" customHeight="false" outlineLevel="0" collapsed="false">
      <c r="B575" s="60" t="s">
        <v>672</v>
      </c>
      <c r="C575" s="60" t="n">
        <v>4</v>
      </c>
      <c r="D575" s="60" t="s">
        <v>185</v>
      </c>
      <c r="E575" s="60" t="s">
        <v>672</v>
      </c>
    </row>
    <row r="576" customFormat="false" ht="15" hidden="false" customHeight="false" outlineLevel="0" collapsed="false">
      <c r="B576" s="60" t="s">
        <v>675</v>
      </c>
      <c r="C576" s="60" t="n">
        <v>4</v>
      </c>
      <c r="D576" s="60" t="s">
        <v>185</v>
      </c>
      <c r="E576" s="60" t="s">
        <v>675</v>
      </c>
    </row>
    <row r="577" customFormat="false" ht="15" hidden="false" customHeight="false" outlineLevel="0" collapsed="false">
      <c r="B577" s="60" t="s">
        <v>1158</v>
      </c>
      <c r="C577" s="60" t="n">
        <v>5</v>
      </c>
      <c r="D577" s="60" t="s">
        <v>185</v>
      </c>
      <c r="E577" s="60" t="s">
        <v>1158</v>
      </c>
    </row>
    <row r="578" customFormat="false" ht="15" hidden="false" customHeight="false" outlineLevel="0" collapsed="false">
      <c r="B578" s="60" t="s">
        <v>1231</v>
      </c>
      <c r="C578" s="60" t="n">
        <v>5</v>
      </c>
      <c r="D578" s="60" t="s">
        <v>185</v>
      </c>
      <c r="E578" s="60" t="s">
        <v>1231</v>
      </c>
    </row>
    <row r="579" customFormat="false" ht="15" hidden="false" customHeight="false" outlineLevel="0" collapsed="false">
      <c r="B579" s="60" t="s">
        <v>1238</v>
      </c>
      <c r="C579" s="60" t="n">
        <v>5</v>
      </c>
      <c r="D579" s="60" t="s">
        <v>185</v>
      </c>
      <c r="E579" s="60" t="s">
        <v>1238</v>
      </c>
    </row>
    <row r="580" customFormat="false" ht="15" hidden="false" customHeight="false" outlineLevel="0" collapsed="false">
      <c r="B580" s="60" t="s">
        <v>1249</v>
      </c>
      <c r="C580" s="60" t="n">
        <v>5</v>
      </c>
      <c r="D580" s="60" t="s">
        <v>185</v>
      </c>
      <c r="E580" s="60" t="s">
        <v>1249</v>
      </c>
    </row>
    <row r="581" customFormat="false" ht="15" hidden="false" customHeight="false" outlineLevel="0" collapsed="false">
      <c r="B581" s="60" t="s">
        <v>1286</v>
      </c>
      <c r="C581" s="60" t="n">
        <v>5</v>
      </c>
      <c r="D581" s="60" t="s">
        <v>185</v>
      </c>
      <c r="E581" s="60" t="s">
        <v>1286</v>
      </c>
    </row>
    <row r="582" customFormat="false" ht="15" hidden="false" customHeight="false" outlineLevel="0" collapsed="false">
      <c r="B582" s="60" t="s">
        <v>1290</v>
      </c>
      <c r="C582" s="60" t="n">
        <v>5</v>
      </c>
      <c r="D582" s="60" t="s">
        <v>185</v>
      </c>
      <c r="E582" s="60" t="s">
        <v>1290</v>
      </c>
    </row>
    <row r="583" customFormat="false" ht="15" hidden="false" customHeight="false" outlineLevel="0" collapsed="false">
      <c r="B583" s="60" t="s">
        <v>1294</v>
      </c>
      <c r="C583" s="60" t="n">
        <v>5</v>
      </c>
      <c r="D583" s="60" t="s">
        <v>185</v>
      </c>
      <c r="E583" s="60" t="s">
        <v>1294</v>
      </c>
    </row>
    <row r="584" customFormat="false" ht="15" hidden="false" customHeight="false" outlineLevel="0" collapsed="false">
      <c r="B584" s="60" t="s">
        <v>2139</v>
      </c>
      <c r="C584" s="60" t="n">
        <v>6</v>
      </c>
      <c r="D584" s="60" t="s">
        <v>185</v>
      </c>
      <c r="E584" s="60" t="s">
        <v>2139</v>
      </c>
    </row>
    <row r="585" customFormat="false" ht="15" hidden="false" customHeight="false" outlineLevel="0" collapsed="false">
      <c r="B585" s="60" t="s">
        <v>2598</v>
      </c>
      <c r="C585" s="60" t="n">
        <v>7</v>
      </c>
      <c r="D585" s="60" t="s">
        <v>185</v>
      </c>
      <c r="E585" s="60" t="s">
        <v>2598</v>
      </c>
    </row>
    <row r="586" customFormat="false" ht="15" hidden="false" customHeight="false" outlineLevel="0" collapsed="false">
      <c r="B586" s="60" t="s">
        <v>2602</v>
      </c>
      <c r="C586" s="60" t="n">
        <v>7</v>
      </c>
      <c r="D586" s="60" t="s">
        <v>185</v>
      </c>
      <c r="E586" s="60" t="s">
        <v>2602</v>
      </c>
    </row>
    <row r="587" customFormat="false" ht="15" hidden="false" customHeight="false" outlineLevel="0" collapsed="false">
      <c r="B587" s="60" t="s">
        <v>2606</v>
      </c>
      <c r="C587" s="60" t="n">
        <v>7</v>
      </c>
      <c r="D587" s="60" t="s">
        <v>185</v>
      </c>
      <c r="E587" s="60" t="s">
        <v>2606</v>
      </c>
    </row>
    <row r="588" customFormat="false" ht="15" hidden="false" customHeight="false" outlineLevel="0" collapsed="false">
      <c r="B588" s="60" t="s">
        <v>2693</v>
      </c>
      <c r="C588" s="60" t="n">
        <v>7</v>
      </c>
      <c r="D588" s="60" t="s">
        <v>185</v>
      </c>
      <c r="E588" s="60" t="s">
        <v>2693</v>
      </c>
    </row>
    <row r="589" customFormat="false" ht="15" hidden="false" customHeight="false" outlineLevel="0" collapsed="false">
      <c r="B589" s="60" t="s">
        <v>2705</v>
      </c>
      <c r="C589" s="60" t="n">
        <v>7</v>
      </c>
      <c r="D589" s="60" t="s">
        <v>185</v>
      </c>
      <c r="E589" s="60" t="s">
        <v>2705</v>
      </c>
    </row>
    <row r="590" customFormat="false" ht="15" hidden="false" customHeight="false" outlineLevel="0" collapsed="false">
      <c r="B590" s="60" t="s">
        <v>2722</v>
      </c>
      <c r="C590" s="60" t="n">
        <v>7</v>
      </c>
      <c r="D590" s="60" t="s">
        <v>185</v>
      </c>
      <c r="E590" s="60" t="s">
        <v>2722</v>
      </c>
    </row>
    <row r="591" customFormat="false" ht="15" hidden="false" customHeight="false" outlineLevel="0" collapsed="false">
      <c r="B591" s="60" t="s">
        <v>3211</v>
      </c>
      <c r="C591" s="60" t="n">
        <v>8</v>
      </c>
      <c r="D591" s="60" t="s">
        <v>185</v>
      </c>
      <c r="E591" s="60" t="s">
        <v>3211</v>
      </c>
    </row>
    <row r="592" customFormat="false" ht="15" hidden="false" customHeight="false" outlineLevel="0" collapsed="false">
      <c r="B592" s="60" t="s">
        <v>3239</v>
      </c>
      <c r="C592" s="60" t="n">
        <v>8</v>
      </c>
      <c r="D592" s="60" t="s">
        <v>185</v>
      </c>
      <c r="E592" s="60" t="s">
        <v>3239</v>
      </c>
    </row>
    <row r="593" customFormat="false" ht="15" hidden="false" customHeight="false" outlineLevel="0" collapsed="false">
      <c r="B593" s="60" t="s">
        <v>3542</v>
      </c>
      <c r="C593" s="60" t="n">
        <v>9</v>
      </c>
      <c r="D593" s="60" t="s">
        <v>185</v>
      </c>
      <c r="E593" s="60" t="s">
        <v>3542</v>
      </c>
    </row>
    <row r="594" customFormat="false" ht="15" hidden="false" customHeight="false" outlineLevel="0" collapsed="false">
      <c r="B594" s="60" t="s">
        <v>3574</v>
      </c>
      <c r="C594" s="60" t="n">
        <v>9</v>
      </c>
      <c r="D594" s="60" t="s">
        <v>185</v>
      </c>
      <c r="E594" s="60" t="s">
        <v>3574</v>
      </c>
    </row>
    <row r="595" customFormat="false" ht="15" hidden="false" customHeight="false" outlineLevel="0" collapsed="false">
      <c r="B595" s="60" t="s">
        <v>3578</v>
      </c>
      <c r="C595" s="60" t="n">
        <v>9</v>
      </c>
      <c r="D595" s="60" t="s">
        <v>185</v>
      </c>
      <c r="E595" s="60" t="s">
        <v>3578</v>
      </c>
    </row>
    <row r="596" customFormat="false" ht="15" hidden="false" customHeight="false" outlineLevel="0" collapsed="false">
      <c r="B596" s="60" t="s">
        <v>229</v>
      </c>
      <c r="C596" s="60" t="n">
        <v>2</v>
      </c>
      <c r="D596" s="60" t="s">
        <v>441</v>
      </c>
      <c r="E596" s="60" t="s">
        <v>229</v>
      </c>
    </row>
    <row r="597" customFormat="false" ht="15" hidden="false" customHeight="false" outlineLevel="0" collapsed="false">
      <c r="B597" s="60" t="s">
        <v>454</v>
      </c>
      <c r="C597" s="60" t="n">
        <v>3</v>
      </c>
      <c r="D597" s="60" t="s">
        <v>441</v>
      </c>
      <c r="E597" s="60" t="s">
        <v>454</v>
      </c>
    </row>
    <row r="598" customFormat="false" ht="15" hidden="false" customHeight="false" outlineLevel="0" collapsed="false">
      <c r="B598" s="60" t="s">
        <v>458</v>
      </c>
      <c r="C598" s="60" t="n">
        <v>3</v>
      </c>
      <c r="D598" s="60" t="s">
        <v>441</v>
      </c>
      <c r="E598" s="60" t="s">
        <v>458</v>
      </c>
    </row>
    <row r="599" customFormat="false" ht="15" hidden="false" customHeight="false" outlineLevel="0" collapsed="false">
      <c r="B599" s="60" t="s">
        <v>440</v>
      </c>
      <c r="C599" s="60" t="n">
        <v>3</v>
      </c>
      <c r="D599" s="60" t="s">
        <v>441</v>
      </c>
      <c r="E599" s="60" t="s">
        <v>440</v>
      </c>
    </row>
    <row r="600" customFormat="false" ht="15" hidden="false" customHeight="false" outlineLevel="0" collapsed="false">
      <c r="B600" s="60" t="s">
        <v>1618</v>
      </c>
      <c r="C600" s="60" t="n">
        <v>5</v>
      </c>
      <c r="D600" s="60" t="s">
        <v>441</v>
      </c>
      <c r="E600" s="60" t="s">
        <v>1618</v>
      </c>
    </row>
    <row r="601" customFormat="false" ht="15" hidden="false" customHeight="false" outlineLevel="0" collapsed="false">
      <c r="B601" s="60" t="s">
        <v>1522</v>
      </c>
      <c r="C601" s="60" t="n">
        <v>5</v>
      </c>
      <c r="D601" s="60" t="s">
        <v>441</v>
      </c>
      <c r="E601" s="60" t="s">
        <v>1522</v>
      </c>
    </row>
    <row r="602" customFormat="false" ht="15" hidden="false" customHeight="false" outlineLevel="0" collapsed="false">
      <c r="B602" s="60" t="s">
        <v>1528</v>
      </c>
      <c r="C602" s="60" t="n">
        <v>5</v>
      </c>
      <c r="D602" s="60" t="s">
        <v>441</v>
      </c>
      <c r="E602" s="60" t="s">
        <v>1528</v>
      </c>
    </row>
    <row r="603" customFormat="false" ht="15" hidden="false" customHeight="false" outlineLevel="0" collapsed="false">
      <c r="B603" s="60" t="s">
        <v>2230</v>
      </c>
      <c r="C603" s="60" t="n">
        <v>6</v>
      </c>
      <c r="D603" s="60" t="s">
        <v>441</v>
      </c>
      <c r="E603" s="60" t="s">
        <v>2230</v>
      </c>
    </row>
    <row r="604" customFormat="false" ht="15" hidden="false" customHeight="false" outlineLevel="0" collapsed="false">
      <c r="B604" s="60" t="s">
        <v>1522</v>
      </c>
      <c r="C604" s="60" t="n">
        <v>6</v>
      </c>
      <c r="D604" s="60" t="s">
        <v>441</v>
      </c>
      <c r="E604" s="60" t="s">
        <v>1522</v>
      </c>
    </row>
    <row r="605" customFormat="false" ht="15" hidden="false" customHeight="false" outlineLevel="0" collapsed="false">
      <c r="B605" s="60" t="s">
        <v>2370</v>
      </c>
      <c r="C605" s="60" t="n">
        <v>6</v>
      </c>
      <c r="D605" s="60" t="s">
        <v>441</v>
      </c>
      <c r="E605" s="60" t="s">
        <v>2370</v>
      </c>
    </row>
    <row r="606" customFormat="false" ht="15" hidden="false" customHeight="false" outlineLevel="0" collapsed="false">
      <c r="B606" s="60" t="s">
        <v>2380</v>
      </c>
      <c r="C606" s="60" t="n">
        <v>6</v>
      </c>
      <c r="D606" s="60" t="s">
        <v>441</v>
      </c>
      <c r="E606" s="60" t="s">
        <v>2380</v>
      </c>
    </row>
    <row r="607" customFormat="false" ht="15" hidden="false" customHeight="false" outlineLevel="0" collapsed="false">
      <c r="B607" s="60" t="s">
        <v>2388</v>
      </c>
      <c r="C607" s="60" t="n">
        <v>6</v>
      </c>
      <c r="D607" s="60" t="s">
        <v>441</v>
      </c>
      <c r="E607" s="60" t="s">
        <v>2388</v>
      </c>
    </row>
    <row r="608" customFormat="false" ht="15" hidden="false" customHeight="false" outlineLevel="0" collapsed="false">
      <c r="B608" s="60" t="s">
        <v>2392</v>
      </c>
      <c r="C608" s="60" t="n">
        <v>6</v>
      </c>
      <c r="D608" s="60" t="s">
        <v>441</v>
      </c>
      <c r="E608" s="60" t="s">
        <v>2392</v>
      </c>
    </row>
    <row r="609" customFormat="false" ht="15" hidden="false" customHeight="false" outlineLevel="0" collapsed="false">
      <c r="B609" s="60" t="s">
        <v>2395</v>
      </c>
      <c r="C609" s="60" t="n">
        <v>6</v>
      </c>
      <c r="D609" s="60" t="s">
        <v>441</v>
      </c>
      <c r="E609" s="60" t="s">
        <v>2395</v>
      </c>
    </row>
    <row r="610" customFormat="false" ht="15" hidden="false" customHeight="false" outlineLevel="0" collapsed="false">
      <c r="B610" s="60" t="s">
        <v>2208</v>
      </c>
      <c r="C610" s="60" t="n">
        <v>6</v>
      </c>
      <c r="D610" s="60" t="s">
        <v>441</v>
      </c>
      <c r="E610" s="60" t="s">
        <v>2208</v>
      </c>
    </row>
    <row r="611" customFormat="false" ht="15" hidden="false" customHeight="false" outlineLevel="0" collapsed="false">
      <c r="B611" s="60" t="s">
        <v>2212</v>
      </c>
      <c r="C611" s="60" t="n">
        <v>6</v>
      </c>
      <c r="D611" s="60" t="s">
        <v>441</v>
      </c>
      <c r="E611" s="60" t="s">
        <v>2212</v>
      </c>
    </row>
    <row r="612" customFormat="false" ht="15" hidden="false" customHeight="false" outlineLevel="0" collapsed="false">
      <c r="B612" s="60" t="s">
        <v>2215</v>
      </c>
      <c r="C612" s="60" t="n">
        <v>6</v>
      </c>
      <c r="D612" s="60" t="s">
        <v>441</v>
      </c>
      <c r="E612" s="60" t="s">
        <v>2215</v>
      </c>
    </row>
    <row r="613" customFormat="false" ht="15" hidden="false" customHeight="false" outlineLevel="0" collapsed="false">
      <c r="B613" s="60" t="s">
        <v>2218</v>
      </c>
      <c r="C613" s="60" t="n">
        <v>6</v>
      </c>
      <c r="D613" s="60" t="s">
        <v>441</v>
      </c>
      <c r="E613" s="60" t="s">
        <v>2218</v>
      </c>
    </row>
    <row r="614" customFormat="false" ht="15" hidden="false" customHeight="false" outlineLevel="0" collapsed="false">
      <c r="B614" s="60" t="s">
        <v>2222</v>
      </c>
      <c r="C614" s="60" t="n">
        <v>6</v>
      </c>
      <c r="D614" s="60" t="s">
        <v>441</v>
      </c>
      <c r="E614" s="60" t="s">
        <v>2222</v>
      </c>
    </row>
    <row r="615" customFormat="false" ht="15" hidden="false" customHeight="false" outlineLevel="0" collapsed="false">
      <c r="B615" s="60" t="s">
        <v>2226</v>
      </c>
      <c r="C615" s="60" t="n">
        <v>6</v>
      </c>
      <c r="D615" s="60" t="s">
        <v>441</v>
      </c>
      <c r="E615" s="60" t="s">
        <v>2226</v>
      </c>
    </row>
    <row r="616" customFormat="false" ht="15" hidden="false" customHeight="false" outlineLevel="0" collapsed="false">
      <c r="B616" s="60" t="s">
        <v>2233</v>
      </c>
      <c r="C616" s="60" t="n">
        <v>6</v>
      </c>
      <c r="D616" s="60" t="s">
        <v>441</v>
      </c>
      <c r="E616" s="60" t="s">
        <v>2233</v>
      </c>
    </row>
    <row r="617" customFormat="false" ht="15" hidden="false" customHeight="false" outlineLevel="0" collapsed="false">
      <c r="B617" s="60" t="s">
        <v>2237</v>
      </c>
      <c r="C617" s="60" t="n">
        <v>6</v>
      </c>
      <c r="D617" s="60" t="s">
        <v>441</v>
      </c>
      <c r="E617" s="60" t="s">
        <v>2237</v>
      </c>
    </row>
    <row r="618" customFormat="false" ht="15" hidden="false" customHeight="false" outlineLevel="0" collapsed="false">
      <c r="B618" s="60" t="s">
        <v>2242</v>
      </c>
      <c r="C618" s="60" t="n">
        <v>6</v>
      </c>
      <c r="D618" s="60" t="s">
        <v>441</v>
      </c>
      <c r="E618" s="60" t="s">
        <v>2242</v>
      </c>
    </row>
    <row r="619" customFormat="false" ht="15" hidden="false" customHeight="false" outlineLevel="0" collapsed="false">
      <c r="B619" s="60" t="s">
        <v>2245</v>
      </c>
      <c r="C619" s="60" t="n">
        <v>6</v>
      </c>
      <c r="D619" s="60" t="s">
        <v>441</v>
      </c>
      <c r="E619" s="60" t="s">
        <v>2245</v>
      </c>
    </row>
    <row r="620" customFormat="false" ht="15" hidden="false" customHeight="false" outlineLevel="0" collapsed="false">
      <c r="B620" s="60" t="s">
        <v>2248</v>
      </c>
      <c r="C620" s="60" t="n">
        <v>6</v>
      </c>
      <c r="D620" s="60" t="s">
        <v>441</v>
      </c>
      <c r="E620" s="60" t="s">
        <v>2248</v>
      </c>
    </row>
    <row r="621" customFormat="false" ht="15" hidden="false" customHeight="false" outlineLevel="0" collapsed="false">
      <c r="B621" s="60" t="s">
        <v>2253</v>
      </c>
      <c r="C621" s="60" t="n">
        <v>6</v>
      </c>
      <c r="D621" s="60" t="s">
        <v>441</v>
      </c>
      <c r="E621" s="60" t="s">
        <v>2253</v>
      </c>
    </row>
    <row r="622" customFormat="false" ht="15" hidden="false" customHeight="false" outlineLevel="0" collapsed="false">
      <c r="B622" s="60" t="s">
        <v>2257</v>
      </c>
      <c r="C622" s="60" t="n">
        <v>6</v>
      </c>
      <c r="D622" s="60" t="s">
        <v>441</v>
      </c>
      <c r="E622" s="60" t="s">
        <v>2257</v>
      </c>
    </row>
    <row r="623" customFormat="false" ht="15" hidden="false" customHeight="false" outlineLevel="0" collapsed="false">
      <c r="B623" s="60" t="s">
        <v>2260</v>
      </c>
      <c r="C623" s="60" t="n">
        <v>6</v>
      </c>
      <c r="D623" s="60" t="s">
        <v>441</v>
      </c>
      <c r="E623" s="60" t="s">
        <v>2260</v>
      </c>
    </row>
    <row r="624" customFormat="false" ht="15" hidden="false" customHeight="false" outlineLevel="0" collapsed="false">
      <c r="B624" s="60" t="s">
        <v>2263</v>
      </c>
      <c r="C624" s="60" t="n">
        <v>6</v>
      </c>
      <c r="D624" s="60" t="s">
        <v>441</v>
      </c>
      <c r="E624" s="60" t="s">
        <v>2263</v>
      </c>
    </row>
    <row r="625" customFormat="false" ht="15" hidden="false" customHeight="false" outlineLevel="0" collapsed="false">
      <c r="B625" s="60" t="s">
        <v>2266</v>
      </c>
      <c r="C625" s="60" t="n">
        <v>6</v>
      </c>
      <c r="D625" s="60" t="s">
        <v>441</v>
      </c>
      <c r="E625" s="60" t="s">
        <v>2266</v>
      </c>
    </row>
    <row r="626" customFormat="false" ht="15" hidden="false" customHeight="false" outlineLevel="0" collapsed="false">
      <c r="B626" s="60" t="s">
        <v>2383</v>
      </c>
      <c r="C626" s="60" t="n">
        <v>6</v>
      </c>
      <c r="D626" s="60" t="s">
        <v>441</v>
      </c>
      <c r="E626" s="60" t="s">
        <v>2383</v>
      </c>
    </row>
    <row r="627" customFormat="false" ht="15" hidden="false" customHeight="false" outlineLevel="0" collapsed="false">
      <c r="B627" s="60" t="s">
        <v>2944</v>
      </c>
      <c r="C627" s="60" t="n">
        <v>7</v>
      </c>
      <c r="D627" s="60" t="s">
        <v>441</v>
      </c>
      <c r="E627" s="60" t="s">
        <v>2944</v>
      </c>
    </row>
    <row r="628" customFormat="false" ht="15" hidden="false" customHeight="false" outlineLevel="0" collapsed="false">
      <c r="B628" s="60" t="s">
        <v>2948</v>
      </c>
      <c r="C628" s="60" t="n">
        <v>7</v>
      </c>
      <c r="D628" s="60" t="s">
        <v>441</v>
      </c>
      <c r="E628" s="60" t="s">
        <v>2948</v>
      </c>
    </row>
    <row r="629" customFormat="false" ht="15" hidden="false" customHeight="false" outlineLevel="0" collapsed="false">
      <c r="B629" s="60" t="s">
        <v>2951</v>
      </c>
      <c r="C629" s="60" t="n">
        <v>7</v>
      </c>
      <c r="D629" s="60" t="s">
        <v>441</v>
      </c>
      <c r="E629" s="60" t="s">
        <v>2951</v>
      </c>
    </row>
    <row r="630" customFormat="false" ht="15" hidden="false" customHeight="false" outlineLevel="0" collapsed="false">
      <c r="B630" s="60" t="s">
        <v>2955</v>
      </c>
      <c r="C630" s="60" t="n">
        <v>7</v>
      </c>
      <c r="D630" s="60" t="s">
        <v>441</v>
      </c>
      <c r="E630" s="60" t="s">
        <v>2955</v>
      </c>
    </row>
    <row r="631" customFormat="false" ht="15" hidden="false" customHeight="false" outlineLevel="0" collapsed="false">
      <c r="B631" s="60" t="s">
        <v>2958</v>
      </c>
      <c r="C631" s="60" t="n">
        <v>7</v>
      </c>
      <c r="D631" s="60" t="s">
        <v>441</v>
      </c>
      <c r="E631" s="60" t="s">
        <v>2958</v>
      </c>
    </row>
    <row r="632" customFormat="false" ht="15" hidden="false" customHeight="false" outlineLevel="0" collapsed="false">
      <c r="B632" s="60" t="s">
        <v>3091</v>
      </c>
      <c r="C632" s="60" t="n">
        <v>7</v>
      </c>
      <c r="D632" s="60" t="s">
        <v>441</v>
      </c>
      <c r="E632" s="60" t="s">
        <v>3091</v>
      </c>
    </row>
    <row r="633" customFormat="false" ht="15" hidden="false" customHeight="false" outlineLevel="0" collapsed="false">
      <c r="B633" s="60" t="s">
        <v>3423</v>
      </c>
      <c r="C633" s="60" t="n">
        <v>8</v>
      </c>
      <c r="D633" s="60" t="s">
        <v>441</v>
      </c>
      <c r="E633" s="60" t="s">
        <v>3423</v>
      </c>
    </row>
    <row r="634" customFormat="false" ht="15" hidden="false" customHeight="false" outlineLevel="0" collapsed="false">
      <c r="B634" s="60" t="s">
        <v>3736</v>
      </c>
      <c r="C634" s="60" t="n">
        <v>9</v>
      </c>
      <c r="D634" s="60" t="s">
        <v>441</v>
      </c>
      <c r="E634" s="60" t="s">
        <v>3736</v>
      </c>
    </row>
    <row r="635" customFormat="false" ht="15" hidden="false" customHeight="false" outlineLevel="0" collapsed="false">
      <c r="B635" s="60" t="s">
        <v>3741</v>
      </c>
      <c r="C635" s="60" t="n">
        <v>9</v>
      </c>
      <c r="D635" s="60" t="s">
        <v>441</v>
      </c>
      <c r="E635" s="60" t="s">
        <v>3741</v>
      </c>
    </row>
    <row r="636" customFormat="false" ht="15" hidden="false" customHeight="false" outlineLevel="0" collapsed="false">
      <c r="B636" s="60" t="s">
        <v>3892</v>
      </c>
      <c r="C636" s="60" t="n">
        <v>10</v>
      </c>
      <c r="D636" s="60" t="s">
        <v>441</v>
      </c>
      <c r="E636" s="60" t="s">
        <v>3892</v>
      </c>
    </row>
    <row r="637" customFormat="false" ht="15" hidden="false" customHeight="false" outlineLevel="0" collapsed="false">
      <c r="B637" s="60" t="s">
        <v>3895</v>
      </c>
      <c r="C637" s="60" t="n">
        <v>10</v>
      </c>
      <c r="D637" s="60" t="s">
        <v>441</v>
      </c>
      <c r="E637" s="60" t="s">
        <v>3895</v>
      </c>
    </row>
    <row r="638" customFormat="false" ht="15" hidden="false" customHeight="false" outlineLevel="0" collapsed="false">
      <c r="B638" s="60" t="s">
        <v>3898</v>
      </c>
      <c r="C638" s="60" t="n">
        <v>10</v>
      </c>
      <c r="D638" s="60" t="s">
        <v>441</v>
      </c>
      <c r="E638" s="60" t="s">
        <v>3898</v>
      </c>
    </row>
    <row r="639" customFormat="false" ht="15" hidden="false" customHeight="false" outlineLevel="0" collapsed="false">
      <c r="B639" s="60" t="s">
        <v>3901</v>
      </c>
      <c r="C639" s="60" t="n">
        <v>10</v>
      </c>
      <c r="D639" s="60" t="s">
        <v>441</v>
      </c>
      <c r="E639" s="60" t="s">
        <v>3901</v>
      </c>
    </row>
    <row r="640" customFormat="false" ht="15" hidden="false" customHeight="false" outlineLevel="0" collapsed="false">
      <c r="B640" s="60" t="s">
        <v>3833</v>
      </c>
      <c r="C640" s="60" t="n">
        <v>10</v>
      </c>
      <c r="D640" s="60" t="s">
        <v>441</v>
      </c>
      <c r="E640" s="60" t="s">
        <v>3833</v>
      </c>
    </row>
    <row r="641" customFormat="false" ht="15" hidden="false" customHeight="false" outlineLevel="0" collapsed="false">
      <c r="B641" s="60" t="s">
        <v>3937</v>
      </c>
      <c r="C641" s="60" t="n">
        <v>11</v>
      </c>
      <c r="D641" s="60" t="s">
        <v>441</v>
      </c>
      <c r="E641" s="60" t="s">
        <v>3937</v>
      </c>
    </row>
    <row r="642" customFormat="false" ht="15" hidden="false" customHeight="false" outlineLevel="0" collapsed="false">
      <c r="B642" s="60" t="s">
        <v>78</v>
      </c>
      <c r="C642" s="60" t="n">
        <v>1</v>
      </c>
      <c r="D642" s="60" t="s">
        <v>79</v>
      </c>
      <c r="E642" s="60" t="s">
        <v>78</v>
      </c>
    </row>
    <row r="643" customFormat="false" ht="15" hidden="false" customHeight="false" outlineLevel="0" collapsed="false">
      <c r="B643" s="60" t="s">
        <v>299</v>
      </c>
      <c r="C643" s="60" t="n">
        <v>3</v>
      </c>
      <c r="D643" s="60" t="s">
        <v>79</v>
      </c>
      <c r="E643" s="60" t="s">
        <v>299</v>
      </c>
    </row>
    <row r="644" customFormat="false" ht="15" hidden="false" customHeight="false" outlineLevel="0" collapsed="false">
      <c r="B644" s="60" t="s">
        <v>1216</v>
      </c>
      <c r="C644" s="60" t="n">
        <v>5</v>
      </c>
      <c r="D644" s="60" t="s">
        <v>79</v>
      </c>
      <c r="E644" s="60" t="s">
        <v>1216</v>
      </c>
    </row>
    <row r="645" customFormat="false" ht="15" hidden="false" customHeight="false" outlineLevel="0" collapsed="false">
      <c r="B645" s="60" t="s">
        <v>2669</v>
      </c>
      <c r="C645" s="60" t="n">
        <v>7</v>
      </c>
      <c r="D645" s="60" t="s">
        <v>79</v>
      </c>
      <c r="E645" s="60" t="s">
        <v>2669</v>
      </c>
    </row>
    <row r="646" customFormat="false" ht="15" hidden="false" customHeight="false" outlineLevel="0" collapsed="false">
      <c r="B646" s="60" t="s">
        <v>3226</v>
      </c>
      <c r="C646" s="60" t="n">
        <v>8</v>
      </c>
      <c r="D646" s="60" t="s">
        <v>79</v>
      </c>
      <c r="E646" s="60" t="s">
        <v>3226</v>
      </c>
    </row>
    <row r="647" customFormat="false" ht="15" hidden="false" customHeight="false" outlineLevel="0" collapsed="false">
      <c r="B647" s="60" t="s">
        <v>3800</v>
      </c>
      <c r="C647" s="60" t="n">
        <v>10</v>
      </c>
      <c r="D647" s="60" t="s">
        <v>3801</v>
      </c>
      <c r="E647" s="60" t="s">
        <v>3800</v>
      </c>
    </row>
    <row r="648" customFormat="false" ht="15" hidden="false" customHeight="false" outlineLevel="0" collapsed="false">
      <c r="B648" s="60" t="s">
        <v>3812</v>
      </c>
      <c r="C648" s="60" t="n">
        <v>10</v>
      </c>
      <c r="D648" s="60" t="s">
        <v>3801</v>
      </c>
      <c r="E648" s="60" t="s">
        <v>3812</v>
      </c>
    </row>
    <row r="649" customFormat="false" ht="15" hidden="false" customHeight="false" outlineLevel="0" collapsed="false">
      <c r="B649" s="60" t="s">
        <v>3817</v>
      </c>
      <c r="C649" s="60" t="n">
        <v>10</v>
      </c>
      <c r="D649" s="60" t="s">
        <v>3801</v>
      </c>
      <c r="E649" s="60" t="s">
        <v>3817</v>
      </c>
    </row>
    <row r="650" customFormat="false" ht="25" hidden="false" customHeight="false" outlineLevel="0" collapsed="false">
      <c r="B650" s="66" t="s">
        <v>3820</v>
      </c>
      <c r="C650" s="60" t="n">
        <v>10</v>
      </c>
      <c r="D650" s="60" t="s">
        <v>3801</v>
      </c>
      <c r="E650" s="66" t="s">
        <v>3820</v>
      </c>
    </row>
    <row r="651" customFormat="false" ht="15" hidden="false" customHeight="false" outlineLevel="0" collapsed="false">
      <c r="B651" s="60" t="s">
        <v>3823</v>
      </c>
      <c r="C651" s="60" t="n">
        <v>10</v>
      </c>
      <c r="D651" s="60" t="s">
        <v>3801</v>
      </c>
      <c r="E651" s="60" t="s">
        <v>3823</v>
      </c>
    </row>
    <row r="652" customFormat="false" ht="15" hidden="false" customHeight="false" outlineLevel="0" collapsed="false">
      <c r="B652" s="60" t="s">
        <v>3827</v>
      </c>
      <c r="C652" s="60" t="n">
        <v>10</v>
      </c>
      <c r="D652" s="60" t="s">
        <v>3801</v>
      </c>
      <c r="E652" s="60" t="s">
        <v>3827</v>
      </c>
    </row>
    <row r="653" customFormat="false" ht="15" hidden="false" customHeight="false" outlineLevel="0" collapsed="false">
      <c r="B653" s="60" t="s">
        <v>3830</v>
      </c>
      <c r="C653" s="60" t="n">
        <v>10</v>
      </c>
      <c r="D653" s="60" t="s">
        <v>3801</v>
      </c>
      <c r="E653" s="60" t="s">
        <v>3830</v>
      </c>
    </row>
    <row r="654" customFormat="false" ht="15" hidden="false" customHeight="false" outlineLevel="0" collapsed="false">
      <c r="B654" s="60" t="s">
        <v>3833</v>
      </c>
      <c r="C654" s="60" t="n">
        <v>10</v>
      </c>
      <c r="D654" s="60" t="s">
        <v>3801</v>
      </c>
      <c r="E654" s="60" t="s">
        <v>3833</v>
      </c>
    </row>
    <row r="655" customFormat="false" ht="15" hidden="false" customHeight="false" outlineLevel="0" collapsed="false">
      <c r="B655" s="60" t="s">
        <v>3852</v>
      </c>
      <c r="C655" s="60" t="n">
        <v>10</v>
      </c>
      <c r="D655" s="60" t="s">
        <v>3801</v>
      </c>
      <c r="E655" s="60" t="s">
        <v>3852</v>
      </c>
    </row>
    <row r="656" customFormat="false" ht="15" hidden="false" customHeight="false" outlineLevel="0" collapsed="false">
      <c r="B656" s="60" t="s">
        <v>3857</v>
      </c>
      <c r="C656" s="60" t="n">
        <v>10</v>
      </c>
      <c r="D656" s="60" t="s">
        <v>3801</v>
      </c>
      <c r="E656" s="60" t="s">
        <v>3857</v>
      </c>
    </row>
    <row r="657" customFormat="false" ht="15" hidden="false" customHeight="false" outlineLevel="0" collapsed="false">
      <c r="B657" s="60" t="s">
        <v>3860</v>
      </c>
      <c r="C657" s="60" t="n">
        <v>10</v>
      </c>
      <c r="D657" s="60" t="s">
        <v>3801</v>
      </c>
      <c r="E657" s="60" t="s">
        <v>3860</v>
      </c>
    </row>
    <row r="658" customFormat="false" ht="15" hidden="false" customHeight="false" outlineLevel="0" collapsed="false">
      <c r="B658" s="60" t="s">
        <v>3864</v>
      </c>
      <c r="C658" s="60" t="n">
        <v>10</v>
      </c>
      <c r="D658" s="60" t="s">
        <v>3801</v>
      </c>
      <c r="E658" s="60" t="s">
        <v>3864</v>
      </c>
    </row>
    <row r="659" customFormat="false" ht="15" hidden="false" customHeight="false" outlineLevel="0" collapsed="false">
      <c r="B659" s="60" t="s">
        <v>3867</v>
      </c>
      <c r="C659" s="60" t="n">
        <v>10</v>
      </c>
      <c r="D659" s="60" t="s">
        <v>3801</v>
      </c>
      <c r="E659" s="60" t="s">
        <v>3867</v>
      </c>
    </row>
    <row r="660" customFormat="false" ht="15" hidden="false" customHeight="false" outlineLevel="0" collapsed="false">
      <c r="B660" s="60" t="s">
        <v>3870</v>
      </c>
      <c r="C660" s="60" t="n">
        <v>10</v>
      </c>
      <c r="D660" s="60" t="s">
        <v>3801</v>
      </c>
      <c r="E660" s="60" t="s">
        <v>3870</v>
      </c>
    </row>
    <row r="661" customFormat="false" ht="15" hidden="false" customHeight="false" outlineLevel="0" collapsed="false">
      <c r="B661" s="60" t="s">
        <v>3873</v>
      </c>
      <c r="C661" s="60" t="n">
        <v>10</v>
      </c>
      <c r="D661" s="60" t="s">
        <v>3801</v>
      </c>
      <c r="E661" s="60" t="s">
        <v>3873</v>
      </c>
    </row>
    <row r="662" customFormat="false" ht="15" hidden="false" customHeight="false" outlineLevel="0" collapsed="false">
      <c r="B662" s="60" t="s">
        <v>3877</v>
      </c>
      <c r="C662" s="60" t="n">
        <v>10</v>
      </c>
      <c r="D662" s="60" t="s">
        <v>3801</v>
      </c>
      <c r="E662" s="60" t="s">
        <v>3877</v>
      </c>
    </row>
    <row r="663" customFormat="false" ht="15" hidden="false" customHeight="false" outlineLevel="0" collapsed="false">
      <c r="B663" s="60" t="s">
        <v>3880</v>
      </c>
      <c r="C663" s="60" t="n">
        <v>10</v>
      </c>
      <c r="D663" s="60" t="s">
        <v>3801</v>
      </c>
      <c r="E663" s="60" t="s">
        <v>3880</v>
      </c>
    </row>
    <row r="664" customFormat="false" ht="15" hidden="false" customHeight="false" outlineLevel="0" collapsed="false">
      <c r="B664" s="60" t="s">
        <v>3883</v>
      </c>
      <c r="C664" s="60" t="n">
        <v>10</v>
      </c>
      <c r="D664" s="60" t="s">
        <v>3801</v>
      </c>
      <c r="E664" s="60" t="s">
        <v>3883</v>
      </c>
    </row>
    <row r="665" customFormat="false" ht="15" hidden="false" customHeight="false" outlineLevel="0" collapsed="false">
      <c r="B665" s="60" t="s">
        <v>3886</v>
      </c>
      <c r="C665" s="60" t="n">
        <v>10</v>
      </c>
      <c r="D665" s="60" t="s">
        <v>3801</v>
      </c>
      <c r="E665" s="60" t="s">
        <v>3886</v>
      </c>
    </row>
    <row r="666" customFormat="false" ht="15" hidden="false" customHeight="false" outlineLevel="0" collapsed="false">
      <c r="B666" s="60" t="s">
        <v>3906</v>
      </c>
      <c r="C666" s="60" t="n">
        <v>10</v>
      </c>
      <c r="D666" s="60" t="s">
        <v>3801</v>
      </c>
      <c r="E666" s="60" t="s">
        <v>3906</v>
      </c>
    </row>
    <row r="667" customFormat="false" ht="15" hidden="false" customHeight="false" outlineLevel="0" collapsed="false">
      <c r="B667" s="60" t="s">
        <v>3910</v>
      </c>
      <c r="C667" s="60" t="n">
        <v>10</v>
      </c>
      <c r="D667" s="60" t="s">
        <v>3801</v>
      </c>
      <c r="E667" s="60" t="s">
        <v>3910</v>
      </c>
    </row>
    <row r="668" customFormat="false" ht="15" hidden="false" customHeight="false" outlineLevel="0" collapsed="false">
      <c r="B668" s="60" t="s">
        <v>3919</v>
      </c>
      <c r="C668" s="60" t="n">
        <v>11</v>
      </c>
      <c r="D668" s="60" t="s">
        <v>3801</v>
      </c>
      <c r="E668" s="60" t="s">
        <v>3919</v>
      </c>
    </row>
    <row r="669" customFormat="false" ht="15" hidden="false" customHeight="false" outlineLevel="0" collapsed="false">
      <c r="B669" s="60" t="s">
        <v>3922</v>
      </c>
      <c r="C669" s="60" t="n">
        <v>11</v>
      </c>
      <c r="D669" s="60" t="s">
        <v>3801</v>
      </c>
      <c r="E669" s="60" t="s">
        <v>3922</v>
      </c>
    </row>
    <row r="670" customFormat="false" ht="15" hidden="false" customHeight="false" outlineLevel="0" collapsed="false">
      <c r="B670" s="60" t="s">
        <v>3924</v>
      </c>
      <c r="C670" s="60" t="n">
        <v>11</v>
      </c>
      <c r="D670" s="60" t="s">
        <v>3801</v>
      </c>
      <c r="E670" s="60" t="s">
        <v>3924</v>
      </c>
    </row>
    <row r="671" customFormat="false" ht="15" hidden="false" customHeight="false" outlineLevel="0" collapsed="false">
      <c r="B671" s="60" t="s">
        <v>3930</v>
      </c>
      <c r="C671" s="60" t="n">
        <v>11</v>
      </c>
      <c r="D671" s="60" t="s">
        <v>3801</v>
      </c>
      <c r="E671" s="60" t="s">
        <v>3930</v>
      </c>
    </row>
    <row r="672" customFormat="false" ht="25" hidden="false" customHeight="false" outlineLevel="0" collapsed="false">
      <c r="B672" s="66" t="s">
        <v>3934</v>
      </c>
      <c r="C672" s="60" t="n">
        <v>11</v>
      </c>
      <c r="D672" s="60" t="s">
        <v>3801</v>
      </c>
      <c r="E672" s="60" t="s">
        <v>3934</v>
      </c>
    </row>
    <row r="673" customFormat="false" ht="15" hidden="false" customHeight="false" outlineLevel="0" collapsed="false">
      <c r="B673" s="60" t="s">
        <v>3937</v>
      </c>
      <c r="C673" s="60" t="n">
        <v>11</v>
      </c>
      <c r="D673" s="60" t="s">
        <v>3801</v>
      </c>
      <c r="E673" s="60" t="s">
        <v>3937</v>
      </c>
    </row>
    <row r="674" customFormat="false" ht="15" hidden="false" customHeight="false" outlineLevel="0" collapsed="false">
      <c r="B674" s="60" t="s">
        <v>3901</v>
      </c>
      <c r="C674" s="60" t="n">
        <v>11</v>
      </c>
      <c r="D674" s="60" t="s">
        <v>3801</v>
      </c>
      <c r="E674" s="60" t="s">
        <v>3901</v>
      </c>
    </row>
    <row r="675" customFormat="false" ht="15" hidden="false" customHeight="false" outlineLevel="0" collapsed="false">
      <c r="B675" s="60" t="s">
        <v>3955</v>
      </c>
      <c r="C675" s="60" t="n">
        <v>11</v>
      </c>
      <c r="D675" s="60" t="s">
        <v>3801</v>
      </c>
      <c r="E675" s="60" t="s">
        <v>3955</v>
      </c>
    </row>
    <row r="676" customFormat="false" ht="15" hidden="false" customHeight="false" outlineLevel="0" collapsed="false">
      <c r="B676" s="60" t="s">
        <v>3958</v>
      </c>
      <c r="C676" s="60" t="n">
        <v>11</v>
      </c>
      <c r="D676" s="60" t="s">
        <v>3801</v>
      </c>
      <c r="E676" s="60" t="s">
        <v>3958</v>
      </c>
    </row>
    <row r="677" customFormat="false" ht="15" hidden="false" customHeight="false" outlineLevel="0" collapsed="false">
      <c r="B677" s="60" t="s">
        <v>3961</v>
      </c>
      <c r="C677" s="60" t="n">
        <v>11</v>
      </c>
      <c r="D677" s="60" t="s">
        <v>3801</v>
      </c>
      <c r="E677" s="60" t="s">
        <v>3961</v>
      </c>
    </row>
    <row r="678" customFormat="false" ht="15" hidden="false" customHeight="false" outlineLevel="0" collapsed="false">
      <c r="B678" s="60" t="s">
        <v>3965</v>
      </c>
      <c r="C678" s="60" t="n">
        <v>11</v>
      </c>
      <c r="D678" s="60" t="s">
        <v>3801</v>
      </c>
      <c r="E678" s="60" t="s">
        <v>3965</v>
      </c>
    </row>
    <row r="679" customFormat="false" ht="15" hidden="false" customHeight="false" outlineLevel="0" collapsed="false">
      <c r="B679" s="60" t="s">
        <v>3968</v>
      </c>
      <c r="C679" s="60" t="n">
        <v>11</v>
      </c>
      <c r="D679" s="60" t="s">
        <v>3801</v>
      </c>
      <c r="E679" s="60" t="s">
        <v>3968</v>
      </c>
    </row>
    <row r="680" customFormat="false" ht="15" hidden="false" customHeight="false" outlineLevel="0" collapsed="false">
      <c r="B680" s="60" t="s">
        <v>3971</v>
      </c>
      <c r="C680" s="60" t="n">
        <v>11</v>
      </c>
      <c r="D680" s="60" t="s">
        <v>3801</v>
      </c>
      <c r="E680" s="60" t="s">
        <v>3971</v>
      </c>
    </row>
    <row r="681" customFormat="false" ht="15" hidden="false" customHeight="false" outlineLevel="0" collapsed="false">
      <c r="B681" s="60" t="s">
        <v>3974</v>
      </c>
      <c r="C681" s="60" t="n">
        <v>11</v>
      </c>
      <c r="D681" s="60" t="s">
        <v>3801</v>
      </c>
      <c r="E681" s="60" t="s">
        <v>3974</v>
      </c>
    </row>
    <row r="682" customFormat="false" ht="15" hidden="false" customHeight="false" outlineLevel="0" collapsed="false">
      <c r="B682" s="60" t="s">
        <v>3984</v>
      </c>
      <c r="C682" s="60" t="n">
        <v>11</v>
      </c>
      <c r="D682" s="60" t="s">
        <v>3801</v>
      </c>
      <c r="E682" s="60" t="s">
        <v>3984</v>
      </c>
    </row>
    <row r="683" customFormat="false" ht="15" hidden="false" customHeight="false" outlineLevel="0" collapsed="false">
      <c r="B683" s="60" t="s">
        <v>3685</v>
      </c>
      <c r="C683" s="60" t="n">
        <v>11</v>
      </c>
      <c r="D683" s="60" t="s">
        <v>3801</v>
      </c>
      <c r="E683" s="60" t="s">
        <v>3685</v>
      </c>
    </row>
    <row r="684" customFormat="false" ht="15" hidden="false" customHeight="false" outlineLevel="0" collapsed="false">
      <c r="B684" s="60" t="s">
        <v>4002</v>
      </c>
      <c r="C684" s="60" t="n">
        <v>11</v>
      </c>
      <c r="D684" s="60" t="s">
        <v>3801</v>
      </c>
      <c r="E684" s="60" t="s">
        <v>4002</v>
      </c>
    </row>
    <row r="685" customFormat="false" ht="15" hidden="false" customHeight="false" outlineLevel="0" collapsed="false">
      <c r="B685" s="60" t="s">
        <v>4006</v>
      </c>
      <c r="C685" s="60" t="n">
        <v>11</v>
      </c>
      <c r="D685" s="60" t="s">
        <v>3801</v>
      </c>
      <c r="E685" s="60" t="s">
        <v>4006</v>
      </c>
    </row>
    <row r="686" customFormat="false" ht="15" hidden="false" customHeight="false" outlineLevel="0" collapsed="false">
      <c r="B686" s="60" t="s">
        <v>116</v>
      </c>
      <c r="C686" s="60" t="n">
        <v>1</v>
      </c>
      <c r="D686" s="60" t="s">
        <v>117</v>
      </c>
      <c r="E686" s="60" t="s">
        <v>116</v>
      </c>
    </row>
    <row r="687" customFormat="false" ht="15" hidden="false" customHeight="false" outlineLevel="0" collapsed="false">
      <c r="B687" s="60" t="s">
        <v>122</v>
      </c>
      <c r="C687" s="60" t="n">
        <v>1</v>
      </c>
      <c r="D687" s="60" t="s">
        <v>117</v>
      </c>
      <c r="E687" s="60" t="s">
        <v>122</v>
      </c>
    </row>
    <row r="688" customFormat="false" ht="15" hidden="false" customHeight="false" outlineLevel="0" collapsed="false">
      <c r="B688" s="60" t="s">
        <v>209</v>
      </c>
      <c r="C688" s="60" t="n">
        <v>2</v>
      </c>
      <c r="D688" s="60" t="s">
        <v>117</v>
      </c>
      <c r="E688" s="60" t="s">
        <v>209</v>
      </c>
    </row>
    <row r="689" customFormat="false" ht="15" hidden="false" customHeight="false" outlineLevel="0" collapsed="false">
      <c r="B689" s="60" t="s">
        <v>213</v>
      </c>
      <c r="C689" s="60" t="n">
        <v>2</v>
      </c>
      <c r="D689" s="60" t="s">
        <v>117</v>
      </c>
      <c r="E689" s="60" t="s">
        <v>213</v>
      </c>
    </row>
    <row r="690" customFormat="false" ht="15" hidden="false" customHeight="false" outlineLevel="0" collapsed="false">
      <c r="B690" s="60" t="s">
        <v>361</v>
      </c>
      <c r="C690" s="60" t="n">
        <v>3</v>
      </c>
      <c r="D690" s="60" t="s">
        <v>117</v>
      </c>
      <c r="E690" s="60" t="s">
        <v>361</v>
      </c>
    </row>
    <row r="691" customFormat="false" ht="15" hidden="false" customHeight="false" outlineLevel="0" collapsed="false">
      <c r="B691" s="60" t="s">
        <v>365</v>
      </c>
      <c r="C691" s="60" t="n">
        <v>3</v>
      </c>
      <c r="D691" s="60" t="s">
        <v>117</v>
      </c>
      <c r="E691" s="60" t="s">
        <v>365</v>
      </c>
    </row>
    <row r="692" customFormat="false" ht="15" hidden="false" customHeight="false" outlineLevel="0" collapsed="false">
      <c r="B692" s="60" t="s">
        <v>663</v>
      </c>
      <c r="C692" s="60" t="n">
        <v>4</v>
      </c>
      <c r="D692" s="60" t="s">
        <v>117</v>
      </c>
      <c r="E692" s="60" t="s">
        <v>663</v>
      </c>
    </row>
    <row r="693" customFormat="false" ht="15" hidden="false" customHeight="false" outlineLevel="0" collapsed="false">
      <c r="B693" s="60" t="s">
        <v>734</v>
      </c>
      <c r="C693" s="60" t="n">
        <v>4</v>
      </c>
      <c r="D693" s="60" t="s">
        <v>117</v>
      </c>
      <c r="E693" s="60" t="s">
        <v>734</v>
      </c>
    </row>
    <row r="694" customFormat="false" ht="15" hidden="false" customHeight="false" outlineLevel="0" collapsed="false">
      <c r="B694" s="60" t="s">
        <v>738</v>
      </c>
      <c r="C694" s="60" t="n">
        <v>4</v>
      </c>
      <c r="D694" s="60" t="s">
        <v>117</v>
      </c>
      <c r="E694" s="60" t="s">
        <v>738</v>
      </c>
    </row>
    <row r="695" customFormat="false" ht="15" hidden="false" customHeight="false" outlineLevel="0" collapsed="false">
      <c r="B695" s="60" t="s">
        <v>742</v>
      </c>
      <c r="C695" s="60" t="n">
        <v>4</v>
      </c>
      <c r="D695" s="60" t="s">
        <v>117</v>
      </c>
      <c r="E695" s="60" t="s">
        <v>742</v>
      </c>
    </row>
    <row r="696" customFormat="false" ht="15" hidden="false" customHeight="false" outlineLevel="0" collapsed="false">
      <c r="B696" s="60" t="s">
        <v>746</v>
      </c>
      <c r="C696" s="60" t="n">
        <v>4</v>
      </c>
      <c r="D696" s="60" t="s">
        <v>117</v>
      </c>
      <c r="E696" s="60" t="s">
        <v>746</v>
      </c>
    </row>
    <row r="697" customFormat="false" ht="15" hidden="false" customHeight="false" outlineLevel="0" collapsed="false">
      <c r="B697" s="60" t="s">
        <v>751</v>
      </c>
      <c r="C697" s="60" t="n">
        <v>4</v>
      </c>
      <c r="D697" s="60" t="s">
        <v>117</v>
      </c>
      <c r="E697" s="60" t="s">
        <v>751</v>
      </c>
    </row>
    <row r="698" customFormat="false" ht="15" hidden="false" customHeight="false" outlineLevel="0" collapsed="false">
      <c r="B698" s="60" t="s">
        <v>755</v>
      </c>
      <c r="C698" s="60" t="n">
        <v>4</v>
      </c>
      <c r="D698" s="60" t="s">
        <v>117</v>
      </c>
      <c r="E698" s="60" t="s">
        <v>755</v>
      </c>
    </row>
    <row r="699" customFormat="false" ht="15" hidden="false" customHeight="false" outlineLevel="0" collapsed="false">
      <c r="B699" s="60" t="s">
        <v>758</v>
      </c>
      <c r="C699" s="60" t="n">
        <v>4</v>
      </c>
      <c r="D699" s="60" t="s">
        <v>117</v>
      </c>
      <c r="E699" s="60" t="s">
        <v>758</v>
      </c>
    </row>
    <row r="700" customFormat="false" ht="15" hidden="false" customHeight="false" outlineLevel="0" collapsed="false">
      <c r="B700" s="60" t="s">
        <v>760</v>
      </c>
      <c r="C700" s="60" t="n">
        <v>4</v>
      </c>
      <c r="D700" s="60" t="s">
        <v>117</v>
      </c>
      <c r="E700" s="60" t="s">
        <v>760</v>
      </c>
    </row>
    <row r="701" customFormat="false" ht="15" hidden="false" customHeight="false" outlineLevel="0" collapsed="false">
      <c r="B701" s="60" t="s">
        <v>843</v>
      </c>
      <c r="C701" s="60" t="n">
        <v>4</v>
      </c>
      <c r="D701" s="60" t="s">
        <v>117</v>
      </c>
      <c r="E701" s="60" t="s">
        <v>843</v>
      </c>
    </row>
    <row r="702" customFormat="false" ht="15" hidden="false" customHeight="false" outlineLevel="0" collapsed="false">
      <c r="B702" s="60" t="s">
        <v>847</v>
      </c>
      <c r="C702" s="60" t="n">
        <v>4</v>
      </c>
      <c r="D702" s="60" t="s">
        <v>117</v>
      </c>
      <c r="E702" s="60" t="s">
        <v>847</v>
      </c>
    </row>
    <row r="703" customFormat="false" ht="15" hidden="false" customHeight="false" outlineLevel="0" collapsed="false">
      <c r="B703" s="60" t="s">
        <v>851</v>
      </c>
      <c r="C703" s="60" t="n">
        <v>4</v>
      </c>
      <c r="D703" s="60" t="s">
        <v>117</v>
      </c>
      <c r="E703" s="60" t="s">
        <v>851</v>
      </c>
    </row>
    <row r="704" customFormat="false" ht="15" hidden="false" customHeight="false" outlineLevel="0" collapsed="false">
      <c r="B704" s="60" t="s">
        <v>902</v>
      </c>
      <c r="C704" s="60" t="n">
        <v>4</v>
      </c>
      <c r="D704" s="60" t="s">
        <v>117</v>
      </c>
      <c r="E704" s="60" t="s">
        <v>902</v>
      </c>
    </row>
    <row r="705" customFormat="false" ht="15" hidden="false" customHeight="false" outlineLevel="0" collapsed="false">
      <c r="B705" s="60" t="s">
        <v>1252</v>
      </c>
      <c r="C705" s="60" t="n">
        <v>5</v>
      </c>
      <c r="D705" s="60" t="s">
        <v>117</v>
      </c>
      <c r="E705" s="60" t="s">
        <v>1252</v>
      </c>
    </row>
    <row r="706" customFormat="false" ht="15" hidden="false" customHeight="false" outlineLevel="0" collapsed="false">
      <c r="B706" s="60" t="s">
        <v>1256</v>
      </c>
      <c r="C706" s="60" t="n">
        <v>5</v>
      </c>
      <c r="D706" s="60" t="s">
        <v>117</v>
      </c>
      <c r="E706" s="60" t="s">
        <v>1256</v>
      </c>
    </row>
    <row r="707" customFormat="false" ht="15" hidden="false" customHeight="false" outlineLevel="0" collapsed="false">
      <c r="B707" s="60" t="s">
        <v>1384</v>
      </c>
      <c r="C707" s="60" t="n">
        <v>5</v>
      </c>
      <c r="D707" s="60" t="s">
        <v>117</v>
      </c>
      <c r="E707" s="60" t="s">
        <v>1384</v>
      </c>
    </row>
    <row r="708" customFormat="false" ht="15" hidden="false" customHeight="false" outlineLevel="0" collapsed="false">
      <c r="B708" s="60" t="s">
        <v>1388</v>
      </c>
      <c r="C708" s="60" t="n">
        <v>5</v>
      </c>
      <c r="D708" s="60" t="s">
        <v>117</v>
      </c>
      <c r="E708" s="60" t="s">
        <v>1388</v>
      </c>
    </row>
    <row r="709" customFormat="false" ht="15" hidden="false" customHeight="false" outlineLevel="0" collapsed="false">
      <c r="B709" s="60" t="s">
        <v>1394</v>
      </c>
      <c r="C709" s="60" t="n">
        <v>5</v>
      </c>
      <c r="D709" s="60" t="s">
        <v>117</v>
      </c>
      <c r="E709" s="60" t="s">
        <v>1394</v>
      </c>
    </row>
    <row r="710" customFormat="false" ht="15" hidden="false" customHeight="false" outlineLevel="0" collapsed="false">
      <c r="B710" s="60" t="s">
        <v>1397</v>
      </c>
      <c r="C710" s="60" t="n">
        <v>5</v>
      </c>
      <c r="D710" s="60" t="s">
        <v>117</v>
      </c>
      <c r="E710" s="60" t="s">
        <v>1397</v>
      </c>
    </row>
    <row r="711" customFormat="false" ht="15" hidden="false" customHeight="false" outlineLevel="0" collapsed="false">
      <c r="B711" s="60" t="s">
        <v>1178</v>
      </c>
      <c r="C711" s="60" t="n">
        <v>5</v>
      </c>
      <c r="D711" s="60" t="s">
        <v>117</v>
      </c>
      <c r="E711" s="60" t="s">
        <v>1178</v>
      </c>
    </row>
    <row r="712" customFormat="false" ht="15" hidden="false" customHeight="false" outlineLevel="0" collapsed="false">
      <c r="B712" s="60" t="s">
        <v>2097</v>
      </c>
      <c r="C712" s="60" t="n">
        <v>6</v>
      </c>
      <c r="D712" s="60" t="s">
        <v>117</v>
      </c>
      <c r="E712" s="60" t="s">
        <v>2097</v>
      </c>
    </row>
    <row r="713" customFormat="false" ht="15" hidden="false" customHeight="false" outlineLevel="0" collapsed="false">
      <c r="B713" s="60" t="s">
        <v>2101</v>
      </c>
      <c r="C713" s="60" t="n">
        <v>6</v>
      </c>
      <c r="D713" s="60" t="s">
        <v>117</v>
      </c>
      <c r="E713" s="60" t="s">
        <v>2101</v>
      </c>
    </row>
    <row r="714" customFormat="false" ht="15" hidden="false" customHeight="false" outlineLevel="0" collapsed="false">
      <c r="B714" s="60" t="s">
        <v>2105</v>
      </c>
      <c r="C714" s="60" t="n">
        <v>6</v>
      </c>
      <c r="D714" s="60" t="s">
        <v>117</v>
      </c>
      <c r="E714" s="60" t="s">
        <v>2105</v>
      </c>
    </row>
    <row r="715" customFormat="false" ht="15" hidden="false" customHeight="false" outlineLevel="0" collapsed="false">
      <c r="B715" s="60" t="s">
        <v>2108</v>
      </c>
      <c r="C715" s="60" t="n">
        <v>6</v>
      </c>
      <c r="D715" s="60" t="s">
        <v>117</v>
      </c>
      <c r="E715" s="60" t="s">
        <v>2108</v>
      </c>
    </row>
    <row r="716" customFormat="false" ht="15" hidden="false" customHeight="false" outlineLevel="0" collapsed="false">
      <c r="B716" s="60" t="s">
        <v>2111</v>
      </c>
      <c r="C716" s="60" t="n">
        <v>6</v>
      </c>
      <c r="D716" s="60" t="s">
        <v>117</v>
      </c>
      <c r="E716" s="60" t="s">
        <v>2111</v>
      </c>
    </row>
    <row r="717" customFormat="false" ht="15" hidden="false" customHeight="false" outlineLevel="0" collapsed="false">
      <c r="B717" s="60" t="s">
        <v>2116</v>
      </c>
      <c r="C717" s="60" t="n">
        <v>6</v>
      </c>
      <c r="D717" s="60" t="s">
        <v>117</v>
      </c>
      <c r="E717" s="60" t="s">
        <v>2116</v>
      </c>
    </row>
    <row r="718" customFormat="false" ht="15" hidden="false" customHeight="false" outlineLevel="0" collapsed="false">
      <c r="B718" s="60" t="s">
        <v>2119</v>
      </c>
      <c r="C718" s="60" t="n">
        <v>6</v>
      </c>
      <c r="D718" s="60" t="s">
        <v>117</v>
      </c>
      <c r="E718" s="60" t="s">
        <v>2119</v>
      </c>
    </row>
    <row r="719" customFormat="false" ht="15" hidden="false" customHeight="false" outlineLevel="0" collapsed="false">
      <c r="B719" s="60" t="s">
        <v>2123</v>
      </c>
      <c r="C719" s="60" t="n">
        <v>6</v>
      </c>
      <c r="D719" s="60" t="s">
        <v>117</v>
      </c>
      <c r="E719" s="60" t="s">
        <v>2123</v>
      </c>
    </row>
    <row r="720" customFormat="false" ht="15" hidden="false" customHeight="false" outlineLevel="0" collapsed="false">
      <c r="B720" s="60" t="s">
        <v>2127</v>
      </c>
      <c r="C720" s="60" t="n">
        <v>6</v>
      </c>
      <c r="D720" s="60" t="s">
        <v>117</v>
      </c>
      <c r="E720" s="60" t="s">
        <v>2127</v>
      </c>
    </row>
    <row r="721" customFormat="false" ht="15" hidden="false" customHeight="false" outlineLevel="0" collapsed="false">
      <c r="B721" s="60" t="s">
        <v>2130</v>
      </c>
      <c r="C721" s="60" t="n">
        <v>6</v>
      </c>
      <c r="D721" s="60" t="s">
        <v>117</v>
      </c>
      <c r="E721" s="60" t="s">
        <v>2130</v>
      </c>
    </row>
    <row r="722" customFormat="false" ht="15" hidden="false" customHeight="false" outlineLevel="0" collapsed="false">
      <c r="B722" s="60" t="s">
        <v>2133</v>
      </c>
      <c r="C722" s="60" t="n">
        <v>6</v>
      </c>
      <c r="D722" s="60" t="s">
        <v>117</v>
      </c>
      <c r="E722" s="60" t="s">
        <v>2133</v>
      </c>
    </row>
    <row r="723" customFormat="false" ht="15" hidden="false" customHeight="false" outlineLevel="0" collapsed="false">
      <c r="B723" s="60" t="s">
        <v>2136</v>
      </c>
      <c r="C723" s="60" t="n">
        <v>6</v>
      </c>
      <c r="D723" s="60" t="s">
        <v>117</v>
      </c>
      <c r="E723" s="60" t="s">
        <v>2136</v>
      </c>
    </row>
    <row r="724" customFormat="false" ht="15" hidden="false" customHeight="false" outlineLevel="0" collapsed="false">
      <c r="B724" s="60" t="s">
        <v>2342</v>
      </c>
      <c r="C724" s="60" t="n">
        <v>6</v>
      </c>
      <c r="D724" s="60" t="s">
        <v>117</v>
      </c>
      <c r="E724" s="60" t="s">
        <v>2342</v>
      </c>
    </row>
    <row r="725" customFormat="false" ht="15" hidden="false" customHeight="false" outlineLevel="0" collapsed="false">
      <c r="B725" s="60" t="s">
        <v>2427</v>
      </c>
      <c r="C725" s="60" t="n">
        <v>7</v>
      </c>
      <c r="D725" s="60" t="s">
        <v>117</v>
      </c>
      <c r="E725" s="60" t="s">
        <v>2427</v>
      </c>
    </row>
    <row r="726" customFormat="false" ht="15" hidden="false" customHeight="false" outlineLevel="0" collapsed="false">
      <c r="B726" s="60" t="s">
        <v>2789</v>
      </c>
      <c r="C726" s="60" t="n">
        <v>7</v>
      </c>
      <c r="D726" s="60" t="s">
        <v>117</v>
      </c>
      <c r="E726" s="60" t="s">
        <v>2789</v>
      </c>
    </row>
    <row r="727" customFormat="false" ht="15" hidden="false" customHeight="false" outlineLevel="0" collapsed="false">
      <c r="B727" s="60" t="s">
        <v>2793</v>
      </c>
      <c r="C727" s="60" t="n">
        <v>7</v>
      </c>
      <c r="D727" s="60" t="s">
        <v>117</v>
      </c>
      <c r="E727" s="60" t="s">
        <v>2793</v>
      </c>
    </row>
    <row r="728" customFormat="false" ht="15" hidden="false" customHeight="false" outlineLevel="0" collapsed="false">
      <c r="B728" s="60" t="s">
        <v>2879</v>
      </c>
      <c r="C728" s="60" t="n">
        <v>7</v>
      </c>
      <c r="D728" s="60" t="s">
        <v>117</v>
      </c>
      <c r="E728" s="60" t="s">
        <v>2879</v>
      </c>
    </row>
    <row r="729" customFormat="false" ht="15" hidden="false" customHeight="false" outlineLevel="0" collapsed="false">
      <c r="B729" s="60" t="s">
        <v>2884</v>
      </c>
      <c r="C729" s="60" t="n">
        <v>7</v>
      </c>
      <c r="D729" s="60" t="s">
        <v>117</v>
      </c>
      <c r="E729" s="60" t="s">
        <v>2884</v>
      </c>
    </row>
    <row r="730" customFormat="false" ht="15" hidden="false" customHeight="false" outlineLevel="0" collapsed="false">
      <c r="B730" s="60" t="s">
        <v>3060</v>
      </c>
      <c r="C730" s="60" t="n">
        <v>7</v>
      </c>
      <c r="D730" s="60" t="s">
        <v>117</v>
      </c>
      <c r="E730" s="60" t="s">
        <v>3060</v>
      </c>
    </row>
    <row r="731" customFormat="false" ht="15" hidden="false" customHeight="false" outlineLevel="0" collapsed="false">
      <c r="B731" s="60" t="s">
        <v>3685</v>
      </c>
      <c r="C731" s="60" t="n">
        <v>9</v>
      </c>
      <c r="D731" s="60" t="s">
        <v>117</v>
      </c>
      <c r="E731" s="60" t="s">
        <v>3685</v>
      </c>
    </row>
    <row r="732" customFormat="false" ht="15" hidden="false" customHeight="false" outlineLevel="0" collapsed="false">
      <c r="B732" s="60" t="s">
        <v>3991</v>
      </c>
      <c r="C732" s="60" t="n">
        <v>11</v>
      </c>
      <c r="D732" s="60" t="s">
        <v>117</v>
      </c>
      <c r="E732" s="60" t="s">
        <v>3991</v>
      </c>
    </row>
    <row r="733" customFormat="false" ht="15" hidden="false" customHeight="false" outlineLevel="0" collapsed="false">
      <c r="B733" s="60" t="s">
        <v>540</v>
      </c>
      <c r="C733" s="60" t="n">
        <v>4</v>
      </c>
      <c r="D733" s="60" t="s">
        <v>541</v>
      </c>
      <c r="E733" s="60" t="s">
        <v>540</v>
      </c>
    </row>
    <row r="734" customFormat="false" ht="15" hidden="false" customHeight="false" outlineLevel="0" collapsed="false">
      <c r="B734" s="60" t="s">
        <v>546</v>
      </c>
      <c r="C734" s="60" t="n">
        <v>4</v>
      </c>
      <c r="D734" s="60" t="s">
        <v>541</v>
      </c>
      <c r="E734" s="60" t="s">
        <v>546</v>
      </c>
    </row>
    <row r="735" customFormat="false" ht="15" hidden="false" customHeight="false" outlineLevel="0" collapsed="false">
      <c r="B735" s="60" t="s">
        <v>549</v>
      </c>
      <c r="C735" s="60" t="n">
        <v>4</v>
      </c>
      <c r="D735" s="60" t="s">
        <v>541</v>
      </c>
      <c r="E735" s="60" t="s">
        <v>549</v>
      </c>
    </row>
    <row r="736" customFormat="false" ht="15" hidden="false" customHeight="false" outlineLevel="0" collapsed="false">
      <c r="B736" s="60" t="s">
        <v>1088</v>
      </c>
      <c r="C736" s="60" t="n">
        <v>5</v>
      </c>
      <c r="D736" s="60" t="s">
        <v>541</v>
      </c>
      <c r="E736" s="60" t="s">
        <v>1088</v>
      </c>
    </row>
    <row r="737" customFormat="false" ht="15" hidden="false" customHeight="false" outlineLevel="0" collapsed="false">
      <c r="B737" s="60" t="s">
        <v>1092</v>
      </c>
      <c r="C737" s="60" t="n">
        <v>5</v>
      </c>
      <c r="D737" s="60" t="s">
        <v>541</v>
      </c>
      <c r="E737" s="60" t="s">
        <v>1092</v>
      </c>
    </row>
    <row r="738" customFormat="false" ht="15" hidden="false" customHeight="false" outlineLevel="0" collapsed="false">
      <c r="B738" s="60" t="s">
        <v>1095</v>
      </c>
      <c r="C738" s="60" t="n">
        <v>5</v>
      </c>
      <c r="D738" s="60" t="s">
        <v>541</v>
      </c>
      <c r="E738" s="60" t="s">
        <v>1095</v>
      </c>
    </row>
    <row r="739" customFormat="false" ht="15" hidden="false" customHeight="false" outlineLevel="0" collapsed="false">
      <c r="B739" s="60" t="s">
        <v>1098</v>
      </c>
      <c r="C739" s="60" t="n">
        <v>5</v>
      </c>
      <c r="D739" s="60" t="s">
        <v>541</v>
      </c>
      <c r="E739" s="60" t="s">
        <v>1098</v>
      </c>
    </row>
    <row r="740" customFormat="false" ht="15" hidden="false" customHeight="false" outlineLevel="0" collapsed="false">
      <c r="B740" s="60" t="s">
        <v>1104</v>
      </c>
      <c r="C740" s="60" t="n">
        <v>5</v>
      </c>
      <c r="D740" s="60" t="s">
        <v>541</v>
      </c>
      <c r="E740" s="60" t="s">
        <v>1104</v>
      </c>
    </row>
    <row r="741" customFormat="false" ht="15" hidden="false" customHeight="false" outlineLevel="0" collapsed="false">
      <c r="B741" s="60" t="s">
        <v>1107</v>
      </c>
      <c r="C741" s="60" t="n">
        <v>5</v>
      </c>
      <c r="D741" s="60" t="s">
        <v>541</v>
      </c>
      <c r="E741" s="60" t="s">
        <v>1107</v>
      </c>
    </row>
    <row r="742" customFormat="false" ht="15" hidden="false" customHeight="false" outlineLevel="0" collapsed="false">
      <c r="B742" s="60" t="s">
        <v>1111</v>
      </c>
      <c r="C742" s="60" t="n">
        <v>5</v>
      </c>
      <c r="D742" s="60" t="s">
        <v>541</v>
      </c>
      <c r="E742" s="60" t="s">
        <v>1111</v>
      </c>
    </row>
    <row r="743" customFormat="false" ht="15" hidden="false" customHeight="false" outlineLevel="0" collapsed="false">
      <c r="B743" s="60" t="s">
        <v>1114</v>
      </c>
      <c r="C743" s="60" t="n">
        <v>5</v>
      </c>
      <c r="D743" s="60" t="s">
        <v>541</v>
      </c>
      <c r="E743" s="60" t="s">
        <v>1114</v>
      </c>
    </row>
    <row r="744" customFormat="false" ht="15" hidden="false" customHeight="false" outlineLevel="0" collapsed="false">
      <c r="B744" s="60" t="s">
        <v>1118</v>
      </c>
      <c r="C744" s="60" t="n">
        <v>5</v>
      </c>
      <c r="D744" s="60" t="s">
        <v>541</v>
      </c>
      <c r="E744" s="60" t="s">
        <v>1118</v>
      </c>
    </row>
    <row r="745" customFormat="false" ht="15" hidden="false" customHeight="false" outlineLevel="0" collapsed="false">
      <c r="B745" s="60" t="s">
        <v>1122</v>
      </c>
      <c r="C745" s="60" t="n">
        <v>5</v>
      </c>
      <c r="D745" s="60" t="s">
        <v>541</v>
      </c>
      <c r="E745" s="60" t="s">
        <v>1122</v>
      </c>
    </row>
    <row r="746" customFormat="false" ht="15" hidden="false" customHeight="false" outlineLevel="0" collapsed="false">
      <c r="B746" s="60" t="s">
        <v>1816</v>
      </c>
      <c r="C746" s="60" t="n">
        <v>6</v>
      </c>
      <c r="D746" s="60" t="s">
        <v>541</v>
      </c>
      <c r="E746" s="60" t="s">
        <v>1816</v>
      </c>
    </row>
    <row r="747" customFormat="false" ht="15" hidden="false" customHeight="false" outlineLevel="0" collapsed="false">
      <c r="B747" s="60" t="s">
        <v>1819</v>
      </c>
      <c r="C747" s="60" t="n">
        <v>6</v>
      </c>
      <c r="D747" s="60" t="s">
        <v>541</v>
      </c>
      <c r="E747" s="60" t="s">
        <v>1819</v>
      </c>
    </row>
    <row r="748" customFormat="false" ht="15" hidden="false" customHeight="false" outlineLevel="0" collapsed="false">
      <c r="B748" s="60" t="s">
        <v>1822</v>
      </c>
      <c r="C748" s="60" t="n">
        <v>6</v>
      </c>
      <c r="D748" s="60" t="s">
        <v>541</v>
      </c>
      <c r="E748" s="60" t="s">
        <v>1822</v>
      </c>
    </row>
    <row r="749" customFormat="false" ht="15" hidden="false" customHeight="false" outlineLevel="0" collapsed="false">
      <c r="B749" s="60" t="s">
        <v>1826</v>
      </c>
      <c r="C749" s="60" t="n">
        <v>6</v>
      </c>
      <c r="D749" s="60" t="s">
        <v>541</v>
      </c>
      <c r="E749" s="60" t="s">
        <v>1826</v>
      </c>
    </row>
    <row r="750" customFormat="false" ht="15" hidden="false" customHeight="false" outlineLevel="0" collapsed="false">
      <c r="B750" s="60" t="s">
        <v>1830</v>
      </c>
      <c r="C750" s="60" t="n">
        <v>6</v>
      </c>
      <c r="D750" s="60" t="s">
        <v>541</v>
      </c>
      <c r="E750" s="60" t="s">
        <v>1830</v>
      </c>
    </row>
    <row r="751" customFormat="false" ht="15" hidden="false" customHeight="false" outlineLevel="0" collapsed="false">
      <c r="B751" s="60" t="s">
        <v>1833</v>
      </c>
      <c r="C751" s="60" t="n">
        <v>6</v>
      </c>
      <c r="D751" s="60" t="s">
        <v>541</v>
      </c>
      <c r="E751" s="60" t="s">
        <v>1833</v>
      </c>
    </row>
    <row r="752" customFormat="false" ht="15" hidden="false" customHeight="false" outlineLevel="0" collapsed="false">
      <c r="B752" s="60" t="s">
        <v>1837</v>
      </c>
      <c r="C752" s="60" t="n">
        <v>6</v>
      </c>
      <c r="D752" s="60" t="s">
        <v>541</v>
      </c>
      <c r="E752" s="60" t="s">
        <v>1837</v>
      </c>
    </row>
    <row r="753" customFormat="false" ht="15" hidden="false" customHeight="false" outlineLevel="0" collapsed="false">
      <c r="B753" s="60" t="s">
        <v>1840</v>
      </c>
      <c r="C753" s="60" t="n">
        <v>6</v>
      </c>
      <c r="D753" s="60" t="s">
        <v>541</v>
      </c>
      <c r="E753" s="60" t="s">
        <v>1840</v>
      </c>
    </row>
    <row r="754" customFormat="false" ht="15" hidden="false" customHeight="false" outlineLevel="0" collapsed="false">
      <c r="B754" s="60" t="s">
        <v>1843</v>
      </c>
      <c r="C754" s="60" t="n">
        <v>6</v>
      </c>
      <c r="D754" s="60" t="s">
        <v>541</v>
      </c>
      <c r="E754" s="60" t="s">
        <v>1843</v>
      </c>
    </row>
    <row r="755" customFormat="false" ht="15" hidden="false" customHeight="false" outlineLevel="0" collapsed="false">
      <c r="B755" s="60" t="s">
        <v>1846</v>
      </c>
      <c r="C755" s="60" t="n">
        <v>6</v>
      </c>
      <c r="D755" s="60" t="s">
        <v>541</v>
      </c>
      <c r="E755" s="60" t="s">
        <v>1846</v>
      </c>
    </row>
    <row r="756" customFormat="false" ht="15" hidden="false" customHeight="false" outlineLevel="0" collapsed="false">
      <c r="B756" s="60" t="s">
        <v>1851</v>
      </c>
      <c r="C756" s="60" t="n">
        <v>6</v>
      </c>
      <c r="D756" s="60" t="s">
        <v>541</v>
      </c>
      <c r="E756" s="60" t="s">
        <v>1851</v>
      </c>
    </row>
    <row r="757" customFormat="false" ht="15" hidden="false" customHeight="false" outlineLevel="0" collapsed="false">
      <c r="B757" s="60" t="s">
        <v>1855</v>
      </c>
      <c r="C757" s="60" t="n">
        <v>6</v>
      </c>
      <c r="D757" s="60" t="s">
        <v>541</v>
      </c>
      <c r="E757" s="60" t="s">
        <v>1855</v>
      </c>
    </row>
    <row r="758" customFormat="false" ht="15" hidden="false" customHeight="false" outlineLevel="0" collapsed="false">
      <c r="B758" s="60" t="s">
        <v>1859</v>
      </c>
      <c r="C758" s="60" t="n">
        <v>6</v>
      </c>
      <c r="D758" s="60" t="s">
        <v>541</v>
      </c>
      <c r="E758" s="60" t="s">
        <v>1859</v>
      </c>
    </row>
    <row r="759" customFormat="false" ht="15" hidden="false" customHeight="false" outlineLevel="0" collapsed="false">
      <c r="B759" s="60" t="s">
        <v>1863</v>
      </c>
      <c r="C759" s="60" t="n">
        <v>6</v>
      </c>
      <c r="D759" s="60" t="s">
        <v>541</v>
      </c>
      <c r="E759" s="60" t="s">
        <v>1863</v>
      </c>
    </row>
    <row r="760" customFormat="false" ht="15" hidden="false" customHeight="false" outlineLevel="0" collapsed="false">
      <c r="B760" s="60" t="s">
        <v>1867</v>
      </c>
      <c r="C760" s="60" t="n">
        <v>6</v>
      </c>
      <c r="D760" s="60" t="s">
        <v>541</v>
      </c>
      <c r="E760" s="60" t="s">
        <v>1867</v>
      </c>
    </row>
    <row r="761" customFormat="false" ht="15" hidden="false" customHeight="false" outlineLevel="0" collapsed="false">
      <c r="B761" s="60" t="s">
        <v>2547</v>
      </c>
      <c r="C761" s="60" t="n">
        <v>7</v>
      </c>
      <c r="D761" s="60" t="s">
        <v>541</v>
      </c>
      <c r="E761" s="60" t="s">
        <v>2547</v>
      </c>
    </row>
    <row r="762" customFormat="false" ht="15" hidden="false" customHeight="false" outlineLevel="0" collapsed="false">
      <c r="B762" s="60" t="s">
        <v>2551</v>
      </c>
      <c r="C762" s="60" t="n">
        <v>7</v>
      </c>
      <c r="D762" s="60" t="s">
        <v>541</v>
      </c>
      <c r="E762" s="60" t="s">
        <v>2551</v>
      </c>
    </row>
    <row r="763" customFormat="false" ht="15" hidden="false" customHeight="false" outlineLevel="0" collapsed="false">
      <c r="B763" s="60" t="s">
        <v>2554</v>
      </c>
      <c r="C763" s="60" t="n">
        <v>7</v>
      </c>
      <c r="D763" s="60" t="s">
        <v>541</v>
      </c>
      <c r="E763" s="60" t="s">
        <v>2554</v>
      </c>
    </row>
    <row r="764" customFormat="false" ht="15" hidden="false" customHeight="false" outlineLevel="0" collapsed="false">
      <c r="B764" s="60" t="s">
        <v>2559</v>
      </c>
      <c r="C764" s="60" t="n">
        <v>7</v>
      </c>
      <c r="D764" s="60" t="s">
        <v>541</v>
      </c>
      <c r="E764" s="60" t="s">
        <v>2559</v>
      </c>
    </row>
    <row r="765" customFormat="false" ht="15" hidden="false" customHeight="false" outlineLevel="0" collapsed="false">
      <c r="B765" s="60" t="s">
        <v>2976</v>
      </c>
      <c r="C765" s="60" t="n">
        <v>7</v>
      </c>
      <c r="D765" s="60" t="s">
        <v>541</v>
      </c>
      <c r="E765" s="60" t="s">
        <v>2976</v>
      </c>
    </row>
    <row r="766" customFormat="false" ht="15" hidden="false" customHeight="false" outlineLevel="0" collapsed="false">
      <c r="B766" s="60" t="s">
        <v>2985</v>
      </c>
      <c r="C766" s="60" t="n">
        <v>7</v>
      </c>
      <c r="D766" s="60" t="s">
        <v>541</v>
      </c>
      <c r="E766" s="60" t="s">
        <v>2985</v>
      </c>
    </row>
    <row r="767" customFormat="false" ht="15" hidden="false" customHeight="false" outlineLevel="0" collapsed="false">
      <c r="B767" s="60" t="s">
        <v>3186</v>
      </c>
      <c r="C767" s="60" t="n">
        <v>8</v>
      </c>
      <c r="D767" s="60" t="s">
        <v>541</v>
      </c>
      <c r="E767" s="60" t="s">
        <v>3186</v>
      </c>
    </row>
    <row r="768" customFormat="false" ht="15" hidden="false" customHeight="false" outlineLevel="0" collapsed="false">
      <c r="B768" s="60" t="s">
        <v>3190</v>
      </c>
      <c r="C768" s="60" t="n">
        <v>8</v>
      </c>
      <c r="D768" s="60" t="s">
        <v>541</v>
      </c>
      <c r="E768" s="60" t="s">
        <v>3190</v>
      </c>
    </row>
    <row r="769" customFormat="false" ht="15" hidden="false" customHeight="false" outlineLevel="0" collapsed="false">
      <c r="B769" s="60" t="s">
        <v>3194</v>
      </c>
      <c r="C769" s="60" t="n">
        <v>8</v>
      </c>
      <c r="D769" s="60" t="s">
        <v>541</v>
      </c>
      <c r="E769" s="60" t="s">
        <v>3194</v>
      </c>
    </row>
    <row r="770" customFormat="false" ht="15" hidden="false" customHeight="false" outlineLevel="0" collapsed="false">
      <c r="B770" s="60" t="s">
        <v>3197</v>
      </c>
      <c r="C770" s="60" t="n">
        <v>8</v>
      </c>
      <c r="D770" s="60" t="s">
        <v>541</v>
      </c>
      <c r="E770" s="60" t="s">
        <v>3197</v>
      </c>
    </row>
    <row r="771" customFormat="false" ht="15" hidden="false" customHeight="false" outlineLevel="0" collapsed="false">
      <c r="B771" s="60" t="s">
        <v>3358</v>
      </c>
      <c r="C771" s="60" t="n">
        <v>8</v>
      </c>
      <c r="D771" s="60" t="s">
        <v>541</v>
      </c>
      <c r="E771" s="60" t="s">
        <v>3358</v>
      </c>
    </row>
    <row r="772" customFormat="false" ht="15" hidden="false" customHeight="false" outlineLevel="0" collapsed="false">
      <c r="B772" s="60" t="s">
        <v>3523</v>
      </c>
      <c r="C772" s="60" t="n">
        <v>9</v>
      </c>
      <c r="D772" s="60" t="s">
        <v>541</v>
      </c>
      <c r="E772" s="60" t="s">
        <v>3523</v>
      </c>
    </row>
    <row r="773" customFormat="false" ht="15" hidden="false" customHeight="false" outlineLevel="0" collapsed="false">
      <c r="B773" s="60" t="s">
        <v>3526</v>
      </c>
      <c r="C773" s="60" t="n">
        <v>9</v>
      </c>
      <c r="D773" s="60" t="s">
        <v>541</v>
      </c>
      <c r="E773" s="60" t="s">
        <v>3526</v>
      </c>
    </row>
    <row r="774" customFormat="false" ht="15" hidden="false" customHeight="false" outlineLevel="0" collapsed="false">
      <c r="B774" s="60" t="s">
        <v>3530</v>
      </c>
      <c r="C774" s="60" t="n">
        <v>9</v>
      </c>
      <c r="D774" s="60" t="s">
        <v>541</v>
      </c>
      <c r="E774" s="60" t="s">
        <v>3530</v>
      </c>
    </row>
    <row r="775" customFormat="false" ht="15" hidden="false" customHeight="false" outlineLevel="0" collapsed="false">
      <c r="B775" s="60" t="s">
        <v>3533</v>
      </c>
      <c r="C775" s="60" t="n">
        <v>9</v>
      </c>
      <c r="D775" s="60" t="s">
        <v>541</v>
      </c>
      <c r="E775" s="60" t="s">
        <v>3533</v>
      </c>
    </row>
    <row r="776" customFormat="false" ht="15" hidden="false" customHeight="false" outlineLevel="0" collapsed="false">
      <c r="B776" s="60" t="s">
        <v>52</v>
      </c>
      <c r="C776" s="60" t="n">
        <v>1</v>
      </c>
      <c r="D776" s="60" t="s">
        <v>55</v>
      </c>
      <c r="E776" s="60" t="s">
        <v>52</v>
      </c>
    </row>
    <row r="777" customFormat="false" ht="15" hidden="false" customHeight="false" outlineLevel="0" collapsed="false">
      <c r="B777" s="60" t="s">
        <v>171</v>
      </c>
      <c r="C777" s="60" t="n">
        <v>2</v>
      </c>
      <c r="D777" s="60" t="s">
        <v>55</v>
      </c>
      <c r="E777" s="60" t="s">
        <v>171</v>
      </c>
    </row>
    <row r="778" customFormat="false" ht="15" hidden="false" customHeight="false" outlineLevel="0" collapsed="false">
      <c r="B778" s="60" t="s">
        <v>504</v>
      </c>
      <c r="C778" s="60" t="n">
        <v>4</v>
      </c>
      <c r="D778" s="60" t="s">
        <v>55</v>
      </c>
      <c r="E778" s="60" t="s">
        <v>504</v>
      </c>
    </row>
    <row r="779" customFormat="false" ht="15" hidden="false" customHeight="false" outlineLevel="0" collapsed="false">
      <c r="B779" s="60" t="s">
        <v>509</v>
      </c>
      <c r="C779" s="60" t="n">
        <v>4</v>
      </c>
      <c r="D779" s="60" t="s">
        <v>55</v>
      </c>
      <c r="E779" s="60" t="s">
        <v>509</v>
      </c>
    </row>
    <row r="780" customFormat="false" ht="15" hidden="false" customHeight="false" outlineLevel="0" collapsed="false">
      <c r="B780" s="60" t="s">
        <v>499</v>
      </c>
      <c r="C780" s="60" t="n">
        <v>4</v>
      </c>
      <c r="D780" s="60" t="s">
        <v>55</v>
      </c>
      <c r="E780" s="60" t="s">
        <v>499</v>
      </c>
    </row>
    <row r="781" customFormat="false" ht="15" hidden="false" customHeight="false" outlineLevel="0" collapsed="false">
      <c r="B781" s="60" t="s">
        <v>1024</v>
      </c>
      <c r="C781" s="60" t="n">
        <v>5</v>
      </c>
      <c r="D781" s="60" t="s">
        <v>55</v>
      </c>
      <c r="E781" s="60" t="s">
        <v>1024</v>
      </c>
    </row>
    <row r="782" customFormat="false" ht="15" hidden="false" customHeight="false" outlineLevel="0" collapsed="false">
      <c r="B782" s="60" t="s">
        <v>1029</v>
      </c>
      <c r="C782" s="60" t="n">
        <v>5</v>
      </c>
      <c r="D782" s="60" t="s">
        <v>55</v>
      </c>
      <c r="E782" s="60" t="s">
        <v>1029</v>
      </c>
    </row>
    <row r="783" customFormat="false" ht="15" hidden="false" customHeight="false" outlineLevel="0" collapsed="false">
      <c r="B783" s="60" t="s">
        <v>1033</v>
      </c>
      <c r="C783" s="60" t="n">
        <v>5</v>
      </c>
      <c r="D783" s="60" t="s">
        <v>55</v>
      </c>
      <c r="E783" s="60" t="s">
        <v>1033</v>
      </c>
    </row>
    <row r="784" customFormat="false" ht="15" hidden="false" customHeight="false" outlineLevel="0" collapsed="false">
      <c r="B784" s="60" t="s">
        <v>1037</v>
      </c>
      <c r="C784" s="60" t="n">
        <v>5</v>
      </c>
      <c r="D784" s="60" t="s">
        <v>55</v>
      </c>
      <c r="E784" s="60" t="s">
        <v>1037</v>
      </c>
    </row>
    <row r="785" customFormat="false" ht="15" hidden="false" customHeight="false" outlineLevel="0" collapsed="false">
      <c r="B785" s="60" t="s">
        <v>1436</v>
      </c>
      <c r="C785" s="60" t="n">
        <v>5</v>
      </c>
      <c r="D785" s="60" t="s">
        <v>55</v>
      </c>
      <c r="E785" s="60" t="s">
        <v>1436</v>
      </c>
    </row>
    <row r="786" customFormat="false" ht="15" hidden="false" customHeight="false" outlineLevel="0" collapsed="false">
      <c r="B786" s="60" t="s">
        <v>1451</v>
      </c>
      <c r="C786" s="60" t="n">
        <v>5</v>
      </c>
      <c r="D786" s="60" t="s">
        <v>55</v>
      </c>
      <c r="E786" s="60" t="s">
        <v>1451</v>
      </c>
    </row>
    <row r="787" customFormat="false" ht="15" hidden="false" customHeight="false" outlineLevel="0" collapsed="false">
      <c r="B787" s="60" t="s">
        <v>1466</v>
      </c>
      <c r="C787" s="60" t="n">
        <v>5</v>
      </c>
      <c r="D787" s="60" t="s">
        <v>55</v>
      </c>
      <c r="E787" s="60" t="s">
        <v>1466</v>
      </c>
    </row>
    <row r="788" customFormat="false" ht="15" hidden="false" customHeight="false" outlineLevel="0" collapsed="false">
      <c r="B788" s="60" t="s">
        <v>1539</v>
      </c>
      <c r="C788" s="60" t="n">
        <v>5</v>
      </c>
      <c r="D788" s="60" t="s">
        <v>55</v>
      </c>
      <c r="E788" s="60" t="s">
        <v>1539</v>
      </c>
    </row>
    <row r="789" customFormat="false" ht="15" hidden="false" customHeight="false" outlineLevel="0" collapsed="false">
      <c r="B789" s="60" t="s">
        <v>1596</v>
      </c>
      <c r="C789" s="60" t="n">
        <v>5</v>
      </c>
      <c r="D789" s="60" t="s">
        <v>55</v>
      </c>
      <c r="E789" s="60" t="s">
        <v>1596</v>
      </c>
    </row>
    <row r="790" customFormat="false" ht="15" hidden="false" customHeight="false" outlineLevel="0" collapsed="false">
      <c r="B790" s="60" t="s">
        <v>1041</v>
      </c>
      <c r="C790" s="60" t="n">
        <v>5</v>
      </c>
      <c r="D790" s="60" t="s">
        <v>55</v>
      </c>
      <c r="E790" s="60" t="s">
        <v>1041</v>
      </c>
    </row>
    <row r="791" customFormat="false" ht="15" hidden="false" customHeight="false" outlineLevel="0" collapsed="false">
      <c r="B791" s="60" t="s">
        <v>1045</v>
      </c>
      <c r="C791" s="60" t="n">
        <v>5</v>
      </c>
      <c r="D791" s="60" t="s">
        <v>55</v>
      </c>
      <c r="E791" s="60" t="s">
        <v>1045</v>
      </c>
    </row>
    <row r="792" customFormat="false" ht="15" hidden="false" customHeight="false" outlineLevel="0" collapsed="false">
      <c r="B792" s="60" t="s">
        <v>1049</v>
      </c>
      <c r="C792" s="60" t="n">
        <v>5</v>
      </c>
      <c r="D792" s="60" t="s">
        <v>55</v>
      </c>
      <c r="E792" s="60" t="s">
        <v>1049</v>
      </c>
    </row>
    <row r="793" customFormat="false" ht="15" hidden="false" customHeight="false" outlineLevel="0" collapsed="false">
      <c r="B793" s="60" t="s">
        <v>1535</v>
      </c>
      <c r="C793" s="60" t="n">
        <v>5</v>
      </c>
      <c r="D793" s="60" t="s">
        <v>55</v>
      </c>
      <c r="E793" s="60" t="s">
        <v>1535</v>
      </c>
    </row>
    <row r="794" customFormat="false" ht="15" hidden="false" customHeight="false" outlineLevel="0" collapsed="false">
      <c r="B794" s="60" t="s">
        <v>1689</v>
      </c>
      <c r="C794" s="60" t="n">
        <v>6</v>
      </c>
      <c r="D794" s="60" t="s">
        <v>55</v>
      </c>
      <c r="E794" s="60" t="s">
        <v>1689</v>
      </c>
    </row>
    <row r="795" customFormat="false" ht="15" hidden="false" customHeight="false" outlineLevel="0" collapsed="false">
      <c r="B795" s="60" t="s">
        <v>1718</v>
      </c>
      <c r="C795" s="60" t="n">
        <v>6</v>
      </c>
      <c r="D795" s="60" t="s">
        <v>55</v>
      </c>
      <c r="E795" s="60" t="s">
        <v>1718</v>
      </c>
    </row>
    <row r="796" customFormat="false" ht="15" hidden="false" customHeight="false" outlineLevel="0" collapsed="false">
      <c r="B796" s="60" t="s">
        <v>1722</v>
      </c>
      <c r="C796" s="60" t="n">
        <v>6</v>
      </c>
      <c r="D796" s="60" t="s">
        <v>55</v>
      </c>
      <c r="E796" s="60" t="s">
        <v>1722</v>
      </c>
    </row>
    <row r="797" customFormat="false" ht="15" hidden="false" customHeight="false" outlineLevel="0" collapsed="false">
      <c r="B797" s="60" t="s">
        <v>1726</v>
      </c>
      <c r="C797" s="60" t="n">
        <v>6</v>
      </c>
      <c r="D797" s="60" t="s">
        <v>55</v>
      </c>
      <c r="E797" s="60" t="s">
        <v>1726</v>
      </c>
    </row>
    <row r="798" customFormat="false" ht="15" hidden="false" customHeight="false" outlineLevel="0" collapsed="false">
      <c r="B798" s="60" t="s">
        <v>1729</v>
      </c>
      <c r="C798" s="60" t="n">
        <v>6</v>
      </c>
      <c r="D798" s="60" t="s">
        <v>55</v>
      </c>
      <c r="E798" s="60" t="s">
        <v>1729</v>
      </c>
    </row>
    <row r="799" customFormat="false" ht="15" hidden="false" customHeight="false" outlineLevel="0" collapsed="false">
      <c r="B799" s="60" t="s">
        <v>1732</v>
      </c>
      <c r="C799" s="60" t="n">
        <v>6</v>
      </c>
      <c r="D799" s="60" t="s">
        <v>55</v>
      </c>
      <c r="E799" s="60" t="s">
        <v>1732</v>
      </c>
    </row>
    <row r="800" customFormat="false" ht="15" hidden="false" customHeight="false" outlineLevel="0" collapsed="false">
      <c r="B800" s="60" t="s">
        <v>1736</v>
      </c>
      <c r="C800" s="60" t="n">
        <v>6</v>
      </c>
      <c r="D800" s="60" t="s">
        <v>55</v>
      </c>
      <c r="E800" s="60" t="s">
        <v>1736</v>
      </c>
    </row>
    <row r="801" customFormat="false" ht="15" hidden="false" customHeight="false" outlineLevel="0" collapsed="false">
      <c r="B801" s="60" t="s">
        <v>1739</v>
      </c>
      <c r="C801" s="60" t="n">
        <v>6</v>
      </c>
      <c r="D801" s="60" t="s">
        <v>55</v>
      </c>
      <c r="E801" s="60" t="s">
        <v>1739</v>
      </c>
    </row>
    <row r="802" customFormat="false" ht="15" hidden="false" customHeight="false" outlineLevel="0" collapsed="false">
      <c r="B802" s="60" t="s">
        <v>1743</v>
      </c>
      <c r="C802" s="60" t="n">
        <v>6</v>
      </c>
      <c r="D802" s="60" t="s">
        <v>55</v>
      </c>
      <c r="E802" s="60" t="s">
        <v>1743</v>
      </c>
    </row>
    <row r="803" customFormat="false" ht="15" hidden="false" customHeight="false" outlineLevel="0" collapsed="false">
      <c r="B803" s="60" t="s">
        <v>1747</v>
      </c>
      <c r="C803" s="60" t="n">
        <v>6</v>
      </c>
      <c r="D803" s="60" t="s">
        <v>55</v>
      </c>
      <c r="E803" s="60" t="s">
        <v>1747</v>
      </c>
    </row>
    <row r="804" customFormat="false" ht="15" hidden="false" customHeight="false" outlineLevel="0" collapsed="false">
      <c r="B804" s="60" t="s">
        <v>1751</v>
      </c>
      <c r="C804" s="60" t="n">
        <v>6</v>
      </c>
      <c r="D804" s="60" t="s">
        <v>55</v>
      </c>
      <c r="E804" s="60" t="s">
        <v>1751</v>
      </c>
    </row>
    <row r="805" customFormat="false" ht="15" hidden="false" customHeight="false" outlineLevel="0" collapsed="false">
      <c r="B805" s="60" t="s">
        <v>1754</v>
      </c>
      <c r="C805" s="60" t="n">
        <v>6</v>
      </c>
      <c r="D805" s="60" t="s">
        <v>55</v>
      </c>
      <c r="E805" s="60" t="s">
        <v>1754</v>
      </c>
    </row>
    <row r="806" customFormat="false" ht="15" hidden="false" customHeight="false" outlineLevel="0" collapsed="false">
      <c r="B806" s="60" t="s">
        <v>1760</v>
      </c>
      <c r="C806" s="60" t="n">
        <v>6</v>
      </c>
      <c r="D806" s="60" t="s">
        <v>55</v>
      </c>
      <c r="E806" s="60" t="s">
        <v>1760</v>
      </c>
    </row>
    <row r="807" customFormat="false" ht="15" hidden="false" customHeight="false" outlineLevel="0" collapsed="false">
      <c r="B807" s="60" t="s">
        <v>1762</v>
      </c>
      <c r="C807" s="60" t="n">
        <v>6</v>
      </c>
      <c r="D807" s="60" t="s">
        <v>55</v>
      </c>
      <c r="E807" s="60" t="s">
        <v>1762</v>
      </c>
    </row>
    <row r="808" customFormat="false" ht="15" hidden="false" customHeight="false" outlineLevel="0" collapsed="false">
      <c r="B808" s="60" t="s">
        <v>1765</v>
      </c>
      <c r="C808" s="60" t="n">
        <v>6</v>
      </c>
      <c r="D808" s="60" t="s">
        <v>55</v>
      </c>
      <c r="E808" s="60" t="s">
        <v>1765</v>
      </c>
    </row>
    <row r="809" customFormat="false" ht="15" hidden="false" customHeight="false" outlineLevel="0" collapsed="false">
      <c r="B809" s="60" t="s">
        <v>1767</v>
      </c>
      <c r="C809" s="60" t="n">
        <v>6</v>
      </c>
      <c r="D809" s="60" t="s">
        <v>55</v>
      </c>
      <c r="E809" s="60" t="s">
        <v>1767</v>
      </c>
    </row>
    <row r="810" customFormat="false" ht="15" hidden="false" customHeight="false" outlineLevel="0" collapsed="false">
      <c r="B810" s="60" t="s">
        <v>1769</v>
      </c>
      <c r="C810" s="60" t="n">
        <v>6</v>
      </c>
      <c r="D810" s="60" t="s">
        <v>55</v>
      </c>
      <c r="E810" s="60" t="s">
        <v>1769</v>
      </c>
    </row>
    <row r="811" customFormat="false" ht="15" hidden="false" customHeight="false" outlineLevel="0" collapsed="false">
      <c r="B811" s="60" t="s">
        <v>1774</v>
      </c>
      <c r="C811" s="60" t="n">
        <v>6</v>
      </c>
      <c r="D811" s="60" t="s">
        <v>55</v>
      </c>
      <c r="E811" s="60" t="s">
        <v>1774</v>
      </c>
    </row>
    <row r="812" customFormat="false" ht="15" hidden="false" customHeight="false" outlineLevel="0" collapsed="false">
      <c r="B812" s="60" t="s">
        <v>1923</v>
      </c>
      <c r="C812" s="60" t="n">
        <v>6</v>
      </c>
      <c r="D812" s="60" t="s">
        <v>55</v>
      </c>
      <c r="E812" s="60" t="s">
        <v>1923</v>
      </c>
    </row>
    <row r="813" customFormat="false" ht="15" hidden="false" customHeight="false" outlineLevel="0" collapsed="false">
      <c r="B813" s="60" t="s">
        <v>2190</v>
      </c>
      <c r="C813" s="60" t="n">
        <v>6</v>
      </c>
      <c r="D813" s="60" t="s">
        <v>55</v>
      </c>
      <c r="E813" s="60" t="s">
        <v>2190</v>
      </c>
    </row>
    <row r="814" customFormat="false" ht="15" hidden="false" customHeight="false" outlineLevel="0" collapsed="false">
      <c r="B814" s="60" t="s">
        <v>2289</v>
      </c>
      <c r="C814" s="60" t="n">
        <v>6</v>
      </c>
      <c r="D814" s="60" t="s">
        <v>55</v>
      </c>
      <c r="E814" s="60" t="s">
        <v>2289</v>
      </c>
    </row>
    <row r="815" customFormat="false" ht="15" hidden="false" customHeight="false" outlineLevel="0" collapsed="false">
      <c r="B815" s="60" t="s">
        <v>2349</v>
      </c>
      <c r="C815" s="60" t="n">
        <v>6</v>
      </c>
      <c r="D815" s="60" t="s">
        <v>55</v>
      </c>
      <c r="E815" s="60" t="s">
        <v>2349</v>
      </c>
    </row>
    <row r="816" customFormat="false" ht="15" hidden="false" customHeight="false" outlineLevel="0" collapsed="false">
      <c r="B816" s="60" t="s">
        <v>1771</v>
      </c>
      <c r="C816" s="60" t="n">
        <v>6</v>
      </c>
      <c r="D816" s="60" t="s">
        <v>55</v>
      </c>
      <c r="E816" s="60" t="s">
        <v>1771</v>
      </c>
    </row>
    <row r="817" customFormat="false" ht="15" hidden="false" customHeight="false" outlineLevel="0" collapsed="false">
      <c r="B817" s="60" t="s">
        <v>2346</v>
      </c>
      <c r="C817" s="60" t="n">
        <v>6</v>
      </c>
      <c r="D817" s="60" t="s">
        <v>55</v>
      </c>
      <c r="E817" s="60" t="s">
        <v>2346</v>
      </c>
    </row>
    <row r="818" customFormat="false" ht="15" hidden="false" customHeight="false" outlineLevel="0" collapsed="false">
      <c r="B818" s="60" t="s">
        <v>2352</v>
      </c>
      <c r="C818" s="60" t="n">
        <v>6</v>
      </c>
      <c r="D818" s="60" t="s">
        <v>55</v>
      </c>
      <c r="E818" s="60" t="s">
        <v>2352</v>
      </c>
    </row>
    <row r="819" customFormat="false" ht="15" hidden="false" customHeight="false" outlineLevel="0" collapsed="false">
      <c r="B819" s="60" t="s">
        <v>2490</v>
      </c>
      <c r="C819" s="60" t="n">
        <v>7</v>
      </c>
      <c r="D819" s="60" t="s">
        <v>55</v>
      </c>
      <c r="E819" s="60" t="s">
        <v>2490</v>
      </c>
    </row>
    <row r="820" customFormat="false" ht="15" hidden="false" customHeight="false" outlineLevel="0" collapsed="false">
      <c r="B820" s="60" t="s">
        <v>2634</v>
      </c>
      <c r="C820" s="60" t="n">
        <v>7</v>
      </c>
      <c r="D820" s="60" t="s">
        <v>55</v>
      </c>
      <c r="E820" s="60" t="s">
        <v>2634</v>
      </c>
    </row>
    <row r="821" customFormat="false" ht="15" hidden="false" customHeight="false" outlineLevel="0" collapsed="false">
      <c r="B821" s="60" t="s">
        <v>2845</v>
      </c>
      <c r="C821" s="60" t="n">
        <v>7</v>
      </c>
      <c r="D821" s="60" t="s">
        <v>55</v>
      </c>
      <c r="E821" s="60" t="s">
        <v>2845</v>
      </c>
    </row>
    <row r="822" customFormat="false" ht="15" hidden="false" customHeight="false" outlineLevel="0" collapsed="false">
      <c r="B822" s="60" t="s">
        <v>2494</v>
      </c>
      <c r="C822" s="60" t="n">
        <v>7</v>
      </c>
      <c r="D822" s="60" t="s">
        <v>55</v>
      </c>
      <c r="E822" s="60" t="s">
        <v>2494</v>
      </c>
    </row>
    <row r="823" customFormat="false" ht="15" hidden="false" customHeight="false" outlineLevel="0" collapsed="false">
      <c r="B823" s="60" t="s">
        <v>2497</v>
      </c>
      <c r="C823" s="60" t="n">
        <v>7</v>
      </c>
      <c r="D823" s="60" t="s">
        <v>55</v>
      </c>
      <c r="E823" s="60" t="s">
        <v>2497</v>
      </c>
    </row>
    <row r="824" customFormat="false" ht="15" hidden="false" customHeight="false" outlineLevel="0" collapsed="false">
      <c r="B824" s="60" t="s">
        <v>2500</v>
      </c>
      <c r="C824" s="60" t="n">
        <v>7</v>
      </c>
      <c r="D824" s="60" t="s">
        <v>55</v>
      </c>
      <c r="E824" s="60" t="s">
        <v>2500</v>
      </c>
    </row>
    <row r="825" customFormat="false" ht="15" hidden="false" customHeight="false" outlineLevel="0" collapsed="false">
      <c r="B825" s="60" t="s">
        <v>2502</v>
      </c>
      <c r="C825" s="60" t="n">
        <v>7</v>
      </c>
      <c r="D825" s="60" t="s">
        <v>55</v>
      </c>
      <c r="E825" s="60" t="s">
        <v>2502</v>
      </c>
    </row>
    <row r="826" customFormat="false" ht="15" hidden="false" customHeight="false" outlineLevel="0" collapsed="false">
      <c r="B826" s="60" t="s">
        <v>2867</v>
      </c>
      <c r="C826" s="60" t="n">
        <v>7</v>
      </c>
      <c r="D826" s="60" t="s">
        <v>55</v>
      </c>
      <c r="E826" s="60" t="s">
        <v>2867</v>
      </c>
    </row>
    <row r="827" customFormat="false" ht="15" hidden="false" customHeight="false" outlineLevel="0" collapsed="false">
      <c r="B827" s="60" t="s">
        <v>2981</v>
      </c>
      <c r="C827" s="60" t="n">
        <v>7</v>
      </c>
      <c r="D827" s="60" t="s">
        <v>55</v>
      </c>
      <c r="E827" s="60" t="s">
        <v>2981</v>
      </c>
    </row>
    <row r="828" customFormat="false" ht="15" hidden="false" customHeight="false" outlineLevel="0" collapsed="false">
      <c r="B828" s="60" t="s">
        <v>3139</v>
      </c>
      <c r="C828" s="60" t="n">
        <v>8</v>
      </c>
      <c r="D828" s="60" t="s">
        <v>55</v>
      </c>
      <c r="E828" s="60" t="s">
        <v>3139</v>
      </c>
    </row>
    <row r="829" customFormat="false" ht="15" hidden="false" customHeight="false" outlineLevel="0" collapsed="false">
      <c r="B829" s="60" t="s">
        <v>3148</v>
      </c>
      <c r="C829" s="60" t="n">
        <v>8</v>
      </c>
      <c r="D829" s="60" t="s">
        <v>55</v>
      </c>
      <c r="E829" s="60" t="s">
        <v>3148</v>
      </c>
    </row>
    <row r="830" customFormat="false" ht="15" hidden="false" customHeight="false" outlineLevel="0" collapsed="false">
      <c r="B830" s="60" t="s">
        <v>3151</v>
      </c>
      <c r="C830" s="60" t="n">
        <v>8</v>
      </c>
      <c r="D830" s="60" t="s">
        <v>55</v>
      </c>
      <c r="E830" s="60" t="s">
        <v>3151</v>
      </c>
    </row>
    <row r="831" customFormat="false" ht="15" hidden="false" customHeight="false" outlineLevel="0" collapsed="false">
      <c r="B831" s="60" t="s">
        <v>3143</v>
      </c>
      <c r="C831" s="60" t="n">
        <v>8</v>
      </c>
      <c r="D831" s="60" t="s">
        <v>55</v>
      </c>
      <c r="E831" s="60" t="s">
        <v>3143</v>
      </c>
    </row>
    <row r="832" customFormat="false" ht="15" hidden="false" customHeight="false" outlineLevel="0" collapsed="false">
      <c r="B832" s="60" t="s">
        <v>3474</v>
      </c>
      <c r="C832" s="60" t="n">
        <v>9</v>
      </c>
      <c r="D832" s="60" t="s">
        <v>55</v>
      </c>
      <c r="E832" s="60" t="s">
        <v>3474</v>
      </c>
    </row>
    <row r="833" customFormat="false" ht="15" hidden="false" customHeight="false" outlineLevel="0" collapsed="false">
      <c r="B833" s="60" t="s">
        <v>3501</v>
      </c>
      <c r="C833" s="60" t="n">
        <v>9</v>
      </c>
      <c r="D833" s="60" t="s">
        <v>55</v>
      </c>
      <c r="E833" s="60" t="s">
        <v>3501</v>
      </c>
    </row>
    <row r="834" customFormat="false" ht="15" hidden="false" customHeight="false" outlineLevel="0" collapsed="false">
      <c r="B834" s="60" t="s">
        <v>3681</v>
      </c>
      <c r="C834" s="60" t="n">
        <v>9</v>
      </c>
      <c r="D834" s="60" t="s">
        <v>55</v>
      </c>
      <c r="E834" s="60" t="s">
        <v>3681</v>
      </c>
    </row>
    <row r="835" customFormat="false" ht="15" hidden="false" customHeight="false" outlineLevel="0" collapsed="false">
      <c r="B835" s="60" t="s">
        <v>46</v>
      </c>
      <c r="C835" s="60" t="n">
        <v>1</v>
      </c>
      <c r="D835" s="60" t="s">
        <v>47</v>
      </c>
      <c r="E835" s="60" t="s">
        <v>46</v>
      </c>
    </row>
    <row r="836" customFormat="false" ht="15" hidden="false" customHeight="false" outlineLevel="0" collapsed="false">
      <c r="B836" s="60" t="s">
        <v>105</v>
      </c>
      <c r="C836" s="60" t="n">
        <v>1</v>
      </c>
      <c r="D836" s="60" t="s">
        <v>47</v>
      </c>
      <c r="E836" s="60" t="s">
        <v>105</v>
      </c>
    </row>
    <row r="837" customFormat="false" ht="15" hidden="false" customHeight="false" outlineLevel="0" collapsed="false">
      <c r="B837" s="60" t="s">
        <v>146</v>
      </c>
      <c r="C837" s="60" t="n">
        <v>1</v>
      </c>
      <c r="D837" s="60" t="s">
        <v>47</v>
      </c>
      <c r="E837" s="60" t="s">
        <v>146</v>
      </c>
    </row>
    <row r="838" customFormat="false" ht="15" hidden="false" customHeight="false" outlineLevel="0" collapsed="false">
      <c r="B838" s="60" t="s">
        <v>150</v>
      </c>
      <c r="C838" s="60" t="n">
        <v>1</v>
      </c>
      <c r="D838" s="60" t="s">
        <v>47</v>
      </c>
      <c r="E838" s="60" t="s">
        <v>150</v>
      </c>
    </row>
    <row r="839" customFormat="false" ht="15" hidden="false" customHeight="false" outlineLevel="0" collapsed="false">
      <c r="B839" s="60" t="s">
        <v>163</v>
      </c>
      <c r="C839" s="60" t="n">
        <v>1</v>
      </c>
      <c r="D839" s="60" t="s">
        <v>47</v>
      </c>
      <c r="E839" s="60" t="s">
        <v>163</v>
      </c>
    </row>
    <row r="840" customFormat="false" ht="15" hidden="false" customHeight="false" outlineLevel="0" collapsed="false">
      <c r="B840" s="60" t="s">
        <v>220</v>
      </c>
      <c r="C840" s="60" t="n">
        <v>2</v>
      </c>
      <c r="D840" s="60" t="s">
        <v>47</v>
      </c>
      <c r="E840" s="60" t="s">
        <v>220</v>
      </c>
    </row>
    <row r="841" customFormat="false" ht="15" hidden="false" customHeight="false" outlineLevel="0" collapsed="false">
      <c r="B841" s="60" t="s">
        <v>163</v>
      </c>
      <c r="C841" s="60" t="n">
        <v>2</v>
      </c>
      <c r="D841" s="60" t="s">
        <v>47</v>
      </c>
      <c r="E841" s="60" t="s">
        <v>163</v>
      </c>
    </row>
    <row r="842" customFormat="false" ht="15" hidden="false" customHeight="false" outlineLevel="0" collapsed="false">
      <c r="B842" s="60" t="s">
        <v>236</v>
      </c>
      <c r="C842" s="60" t="n">
        <v>2</v>
      </c>
      <c r="D842" s="60" t="s">
        <v>47</v>
      </c>
      <c r="E842" s="60" t="s">
        <v>236</v>
      </c>
    </row>
    <row r="843" customFormat="false" ht="15" hidden="false" customHeight="false" outlineLevel="0" collapsed="false">
      <c r="B843" s="60" t="s">
        <v>303</v>
      </c>
      <c r="C843" s="60" t="n">
        <v>3</v>
      </c>
      <c r="D843" s="60" t="s">
        <v>47</v>
      </c>
      <c r="E843" s="60" t="s">
        <v>303</v>
      </c>
    </row>
    <row r="844" customFormat="false" ht="15" hidden="false" customHeight="false" outlineLevel="0" collapsed="false">
      <c r="B844" s="60" t="s">
        <v>347</v>
      </c>
      <c r="C844" s="60" t="n">
        <v>3</v>
      </c>
      <c r="D844" s="60" t="s">
        <v>47</v>
      </c>
      <c r="E844" s="60" t="s">
        <v>347</v>
      </c>
    </row>
    <row r="845" customFormat="false" ht="15" hidden="false" customHeight="false" outlineLevel="0" collapsed="false">
      <c r="B845" s="60" t="s">
        <v>353</v>
      </c>
      <c r="C845" s="60" t="n">
        <v>3</v>
      </c>
      <c r="D845" s="60" t="s">
        <v>47</v>
      </c>
      <c r="E845" s="60" t="s">
        <v>353</v>
      </c>
    </row>
    <row r="846" customFormat="false" ht="15" hidden="false" customHeight="false" outlineLevel="0" collapsed="false">
      <c r="B846" s="60" t="s">
        <v>358</v>
      </c>
      <c r="C846" s="60" t="n">
        <v>3</v>
      </c>
      <c r="D846" s="60" t="s">
        <v>47</v>
      </c>
      <c r="E846" s="60" t="s">
        <v>358</v>
      </c>
    </row>
    <row r="847" customFormat="false" ht="15" hidden="false" customHeight="false" outlineLevel="0" collapsed="false">
      <c r="B847" s="60" t="s">
        <v>369</v>
      </c>
      <c r="C847" s="60" t="n">
        <v>3</v>
      </c>
      <c r="D847" s="60" t="s">
        <v>47</v>
      </c>
      <c r="E847" s="60" t="s">
        <v>369</v>
      </c>
    </row>
    <row r="848" customFormat="false" ht="15" hidden="false" customHeight="false" outlineLevel="0" collapsed="false">
      <c r="B848" s="60" t="s">
        <v>397</v>
      </c>
      <c r="C848" s="60" t="n">
        <v>3</v>
      </c>
      <c r="D848" s="60" t="s">
        <v>47</v>
      </c>
      <c r="E848" s="60" t="s">
        <v>397</v>
      </c>
    </row>
    <row r="849" customFormat="false" ht="15" hidden="false" customHeight="false" outlineLevel="0" collapsed="false">
      <c r="B849" s="60" t="s">
        <v>410</v>
      </c>
      <c r="C849" s="60" t="n">
        <v>3</v>
      </c>
      <c r="D849" s="60" t="s">
        <v>47</v>
      </c>
      <c r="E849" s="60" t="s">
        <v>410</v>
      </c>
    </row>
    <row r="850" customFormat="false" ht="15" hidden="false" customHeight="false" outlineLevel="0" collapsed="false">
      <c r="B850" s="60" t="s">
        <v>482</v>
      </c>
      <c r="C850" s="60" t="n">
        <v>4</v>
      </c>
      <c r="D850" s="60" t="s">
        <v>47</v>
      </c>
      <c r="E850" s="60" t="s">
        <v>482</v>
      </c>
    </row>
    <row r="851" customFormat="false" ht="15" hidden="false" customHeight="false" outlineLevel="0" collapsed="false">
      <c r="B851" s="60" t="s">
        <v>486</v>
      </c>
      <c r="C851" s="60" t="n">
        <v>4</v>
      </c>
      <c r="D851" s="60" t="s">
        <v>47</v>
      </c>
      <c r="E851" s="60" t="s">
        <v>486</v>
      </c>
    </row>
    <row r="852" customFormat="false" ht="15" hidden="false" customHeight="false" outlineLevel="0" collapsed="false">
      <c r="B852" s="60" t="s">
        <v>553</v>
      </c>
      <c r="C852" s="60" t="n">
        <v>4</v>
      </c>
      <c r="D852" s="60" t="s">
        <v>47</v>
      </c>
      <c r="E852" s="60" t="s">
        <v>553</v>
      </c>
    </row>
    <row r="853" customFormat="false" ht="15" hidden="false" customHeight="false" outlineLevel="0" collapsed="false">
      <c r="B853" s="60" t="s">
        <v>557</v>
      </c>
      <c r="C853" s="60" t="n">
        <v>4</v>
      </c>
      <c r="D853" s="60" t="s">
        <v>47</v>
      </c>
      <c r="E853" s="60" t="s">
        <v>557</v>
      </c>
    </row>
    <row r="854" customFormat="false" ht="15" hidden="false" customHeight="false" outlineLevel="0" collapsed="false">
      <c r="B854" s="60" t="s">
        <v>572</v>
      </c>
      <c r="C854" s="60" t="n">
        <v>4</v>
      </c>
      <c r="D854" s="60" t="s">
        <v>47</v>
      </c>
      <c r="E854" s="60" t="s">
        <v>572</v>
      </c>
    </row>
    <row r="855" customFormat="false" ht="15" hidden="false" customHeight="false" outlineLevel="0" collapsed="false">
      <c r="B855" s="60" t="s">
        <v>577</v>
      </c>
      <c r="C855" s="60" t="n">
        <v>4</v>
      </c>
      <c r="D855" s="60" t="s">
        <v>47</v>
      </c>
      <c r="E855" s="60" t="s">
        <v>577</v>
      </c>
    </row>
    <row r="856" customFormat="false" ht="15" hidden="false" customHeight="false" outlineLevel="0" collapsed="false">
      <c r="B856" s="60" t="s">
        <v>193</v>
      </c>
      <c r="C856" s="60" t="n">
        <v>4</v>
      </c>
      <c r="D856" s="60" t="s">
        <v>47</v>
      </c>
      <c r="E856" s="60" t="s">
        <v>193</v>
      </c>
    </row>
    <row r="857" customFormat="false" ht="15" hidden="false" customHeight="false" outlineLevel="0" collapsed="false">
      <c r="B857" s="60" t="s">
        <v>638</v>
      </c>
      <c r="C857" s="60" t="n">
        <v>4</v>
      </c>
      <c r="D857" s="60" t="s">
        <v>47</v>
      </c>
      <c r="E857" s="60" t="s">
        <v>638</v>
      </c>
    </row>
    <row r="858" customFormat="false" ht="15" hidden="false" customHeight="false" outlineLevel="0" collapsed="false">
      <c r="B858" s="60" t="s">
        <v>643</v>
      </c>
      <c r="C858" s="60" t="n">
        <v>4</v>
      </c>
      <c r="D858" s="60" t="s">
        <v>47</v>
      </c>
      <c r="E858" s="60" t="s">
        <v>643</v>
      </c>
    </row>
    <row r="859" customFormat="false" ht="15" hidden="false" customHeight="false" outlineLevel="0" collapsed="false">
      <c r="B859" s="60" t="s">
        <v>647</v>
      </c>
      <c r="C859" s="60" t="n">
        <v>4</v>
      </c>
      <c r="D859" s="60" t="s">
        <v>47</v>
      </c>
      <c r="E859" s="60" t="s">
        <v>647</v>
      </c>
    </row>
    <row r="860" customFormat="false" ht="15" hidden="false" customHeight="false" outlineLevel="0" collapsed="false">
      <c r="B860" s="60" t="s">
        <v>656</v>
      </c>
      <c r="C860" s="60" t="n">
        <v>4</v>
      </c>
      <c r="D860" s="60" t="s">
        <v>47</v>
      </c>
      <c r="E860" s="60" t="s">
        <v>656</v>
      </c>
    </row>
    <row r="861" customFormat="false" ht="15" hidden="false" customHeight="false" outlineLevel="0" collapsed="false">
      <c r="B861" s="60" t="s">
        <v>660</v>
      </c>
      <c r="C861" s="60" t="n">
        <v>4</v>
      </c>
      <c r="D861" s="60" t="s">
        <v>47</v>
      </c>
      <c r="E861" s="60" t="s">
        <v>660</v>
      </c>
    </row>
    <row r="862" customFormat="false" ht="15" hidden="false" customHeight="false" outlineLevel="0" collapsed="false">
      <c r="B862" s="60" t="s">
        <v>692</v>
      </c>
      <c r="C862" s="60" t="n">
        <v>4</v>
      </c>
      <c r="D862" s="60" t="s">
        <v>47</v>
      </c>
      <c r="E862" s="60" t="s">
        <v>692</v>
      </c>
    </row>
    <row r="863" customFormat="false" ht="15" hidden="false" customHeight="false" outlineLevel="0" collapsed="false">
      <c r="B863" s="60" t="s">
        <v>709</v>
      </c>
      <c r="C863" s="60" t="n">
        <v>4</v>
      </c>
      <c r="D863" s="60" t="s">
        <v>47</v>
      </c>
      <c r="E863" s="60" t="s">
        <v>709</v>
      </c>
    </row>
    <row r="864" customFormat="false" ht="15" hidden="false" customHeight="false" outlineLevel="0" collapsed="false">
      <c r="B864" s="60" t="s">
        <v>299</v>
      </c>
      <c r="C864" s="60" t="n">
        <v>4</v>
      </c>
      <c r="D864" s="60" t="s">
        <v>47</v>
      </c>
      <c r="E864" s="60" t="s">
        <v>299</v>
      </c>
    </row>
    <row r="865" customFormat="false" ht="15" hidden="false" customHeight="false" outlineLevel="0" collapsed="false">
      <c r="B865" s="60" t="s">
        <v>727</v>
      </c>
      <c r="C865" s="60" t="n">
        <v>4</v>
      </c>
      <c r="D865" s="60" t="s">
        <v>47</v>
      </c>
      <c r="E865" s="60" t="s">
        <v>727</v>
      </c>
    </row>
    <row r="866" customFormat="false" ht="15" hidden="false" customHeight="false" outlineLevel="0" collapsed="false">
      <c r="B866" s="60" t="s">
        <v>731</v>
      </c>
      <c r="C866" s="60" t="n">
        <v>4</v>
      </c>
      <c r="D866" s="60" t="s">
        <v>47</v>
      </c>
      <c r="E866" s="60" t="s">
        <v>731</v>
      </c>
    </row>
    <row r="867" customFormat="false" ht="15" hidden="false" customHeight="false" outlineLevel="0" collapsed="false">
      <c r="B867" s="60" t="s">
        <v>780</v>
      </c>
      <c r="C867" s="60" t="n">
        <v>4</v>
      </c>
      <c r="D867" s="60" t="s">
        <v>47</v>
      </c>
      <c r="E867" s="60" t="s">
        <v>780</v>
      </c>
    </row>
    <row r="868" customFormat="false" ht="15" hidden="false" customHeight="false" outlineLevel="0" collapsed="false">
      <c r="B868" s="60" t="s">
        <v>785</v>
      </c>
      <c r="C868" s="60" t="n">
        <v>4</v>
      </c>
      <c r="D868" s="60" t="s">
        <v>47</v>
      </c>
      <c r="E868" s="60" t="s">
        <v>785</v>
      </c>
    </row>
    <row r="869" customFormat="false" ht="15" hidden="false" customHeight="false" outlineLevel="0" collapsed="false">
      <c r="B869" s="60" t="s">
        <v>800</v>
      </c>
      <c r="C869" s="60" t="n">
        <v>4</v>
      </c>
      <c r="D869" s="60" t="s">
        <v>47</v>
      </c>
      <c r="E869" s="60" t="s">
        <v>800</v>
      </c>
    </row>
    <row r="870" customFormat="false" ht="15" hidden="false" customHeight="false" outlineLevel="0" collapsed="false">
      <c r="B870" s="60" t="s">
        <v>840</v>
      </c>
      <c r="C870" s="60" t="n">
        <v>4</v>
      </c>
      <c r="D870" s="60" t="s">
        <v>47</v>
      </c>
      <c r="E870" s="60" t="s">
        <v>840</v>
      </c>
    </row>
    <row r="871" customFormat="false" ht="15" hidden="false" customHeight="false" outlineLevel="0" collapsed="false">
      <c r="B871" s="60" t="s">
        <v>854</v>
      </c>
      <c r="C871" s="60" t="n">
        <v>4</v>
      </c>
      <c r="D871" s="60" t="s">
        <v>47</v>
      </c>
      <c r="E871" s="60" t="s">
        <v>854</v>
      </c>
    </row>
    <row r="872" customFormat="false" ht="15" hidden="false" customHeight="false" outlineLevel="0" collapsed="false">
      <c r="B872" s="60" t="s">
        <v>859</v>
      </c>
      <c r="C872" s="60" t="n">
        <v>4</v>
      </c>
      <c r="D872" s="60" t="s">
        <v>47</v>
      </c>
      <c r="E872" s="60" t="s">
        <v>859</v>
      </c>
    </row>
    <row r="873" customFormat="false" ht="15" hidden="false" customHeight="false" outlineLevel="0" collapsed="false">
      <c r="B873" s="60" t="s">
        <v>862</v>
      </c>
      <c r="C873" s="60" t="n">
        <v>4</v>
      </c>
      <c r="D873" s="60" t="s">
        <v>47</v>
      </c>
      <c r="E873" s="60" t="s">
        <v>862</v>
      </c>
    </row>
    <row r="874" customFormat="false" ht="15" hidden="false" customHeight="false" outlineLevel="0" collapsed="false">
      <c r="B874" s="60" t="s">
        <v>871</v>
      </c>
      <c r="C874" s="60" t="n">
        <v>4</v>
      </c>
      <c r="D874" s="60" t="s">
        <v>47</v>
      </c>
      <c r="E874" s="60" t="s">
        <v>871</v>
      </c>
    </row>
    <row r="875" customFormat="false" ht="15" hidden="false" customHeight="false" outlineLevel="0" collapsed="false">
      <c r="B875" s="60" t="s">
        <v>895</v>
      </c>
      <c r="C875" s="60" t="n">
        <v>4</v>
      </c>
      <c r="D875" s="60" t="s">
        <v>47</v>
      </c>
      <c r="E875" s="60" t="s">
        <v>895</v>
      </c>
    </row>
    <row r="876" customFormat="false" ht="15" hidden="false" customHeight="false" outlineLevel="0" collapsed="false">
      <c r="B876" s="60" t="s">
        <v>905</v>
      </c>
      <c r="C876" s="60" t="n">
        <v>4</v>
      </c>
      <c r="D876" s="60" t="s">
        <v>47</v>
      </c>
      <c r="E876" s="60" t="s">
        <v>905</v>
      </c>
    </row>
    <row r="877" customFormat="false" ht="15" hidden="false" customHeight="false" outlineLevel="0" collapsed="false">
      <c r="B877" s="60" t="s">
        <v>945</v>
      </c>
      <c r="C877" s="60" t="n">
        <v>4</v>
      </c>
      <c r="D877" s="60" t="s">
        <v>47</v>
      </c>
      <c r="E877" s="60" t="s">
        <v>945</v>
      </c>
    </row>
    <row r="878" customFormat="false" ht="15" hidden="false" customHeight="false" outlineLevel="0" collapsed="false">
      <c r="B878" s="60" t="s">
        <v>952</v>
      </c>
      <c r="C878" s="60" t="n">
        <v>4</v>
      </c>
      <c r="D878" s="60" t="s">
        <v>47</v>
      </c>
      <c r="E878" s="60" t="s">
        <v>952</v>
      </c>
    </row>
    <row r="879" customFormat="false" ht="15" hidden="false" customHeight="false" outlineLevel="0" collapsed="false">
      <c r="B879" s="60" t="s">
        <v>955</v>
      </c>
      <c r="C879" s="60" t="n">
        <v>4</v>
      </c>
      <c r="D879" s="60" t="s">
        <v>47</v>
      </c>
      <c r="E879" s="60" t="s">
        <v>955</v>
      </c>
    </row>
    <row r="880" customFormat="false" ht="15" hidden="false" customHeight="false" outlineLevel="0" collapsed="false">
      <c r="B880" s="60" t="s">
        <v>979</v>
      </c>
      <c r="C880" s="60" t="n">
        <v>5</v>
      </c>
      <c r="D880" s="60" t="s">
        <v>47</v>
      </c>
      <c r="E880" s="60" t="s">
        <v>979</v>
      </c>
    </row>
    <row r="881" customFormat="false" ht="15" hidden="false" customHeight="false" outlineLevel="0" collapsed="false">
      <c r="B881" s="60" t="s">
        <v>982</v>
      </c>
      <c r="C881" s="60" t="n">
        <v>5</v>
      </c>
      <c r="D881" s="60" t="s">
        <v>47</v>
      </c>
      <c r="E881" s="60" t="s">
        <v>982</v>
      </c>
    </row>
    <row r="882" customFormat="false" ht="15" hidden="false" customHeight="false" outlineLevel="0" collapsed="false">
      <c r="B882" s="60" t="s">
        <v>985</v>
      </c>
      <c r="C882" s="60" t="n">
        <v>5</v>
      </c>
      <c r="D882" s="60" t="s">
        <v>47</v>
      </c>
      <c r="E882" s="60" t="s">
        <v>985</v>
      </c>
    </row>
    <row r="883" customFormat="false" ht="15" hidden="false" customHeight="false" outlineLevel="0" collapsed="false">
      <c r="B883" s="60" t="s">
        <v>1002</v>
      </c>
      <c r="C883" s="60" t="n">
        <v>5</v>
      </c>
      <c r="D883" s="60" t="s">
        <v>47</v>
      </c>
      <c r="E883" s="60" t="s">
        <v>1002</v>
      </c>
    </row>
    <row r="884" customFormat="false" ht="15" hidden="false" customHeight="false" outlineLevel="0" collapsed="false">
      <c r="B884" s="60" t="s">
        <v>1006</v>
      </c>
      <c r="C884" s="60" t="n">
        <v>5</v>
      </c>
      <c r="D884" s="60" t="s">
        <v>47</v>
      </c>
      <c r="E884" s="60" t="s">
        <v>1006</v>
      </c>
    </row>
    <row r="885" customFormat="false" ht="15" hidden="false" customHeight="false" outlineLevel="0" collapsed="false">
      <c r="B885" s="60" t="s">
        <v>1010</v>
      </c>
      <c r="C885" s="60" t="n">
        <v>5</v>
      </c>
      <c r="D885" s="60" t="s">
        <v>47</v>
      </c>
      <c r="E885" s="60" t="s">
        <v>1010</v>
      </c>
    </row>
    <row r="886" customFormat="false" ht="15" hidden="false" customHeight="false" outlineLevel="0" collapsed="false">
      <c r="B886" s="60" t="s">
        <v>1013</v>
      </c>
      <c r="C886" s="60" t="n">
        <v>5</v>
      </c>
      <c r="D886" s="60" t="s">
        <v>47</v>
      </c>
      <c r="E886" s="60" t="s">
        <v>1013</v>
      </c>
    </row>
    <row r="887" customFormat="false" ht="15" hidden="false" customHeight="false" outlineLevel="0" collapsed="false">
      <c r="B887" s="60" t="s">
        <v>1125</v>
      </c>
      <c r="C887" s="60" t="n">
        <v>5</v>
      </c>
      <c r="D887" s="60" t="s">
        <v>47</v>
      </c>
      <c r="E887" s="60" t="s">
        <v>1125</v>
      </c>
    </row>
    <row r="888" customFormat="false" ht="15" hidden="false" customHeight="false" outlineLevel="0" collapsed="false">
      <c r="B888" s="60" t="s">
        <v>1129</v>
      </c>
      <c r="C888" s="60" t="n">
        <v>5</v>
      </c>
      <c r="D888" s="60" t="s">
        <v>47</v>
      </c>
      <c r="E888" s="60" t="s">
        <v>1129</v>
      </c>
    </row>
    <row r="889" customFormat="false" ht="15" hidden="false" customHeight="false" outlineLevel="0" collapsed="false">
      <c r="B889" s="60" t="s">
        <v>1151</v>
      </c>
      <c r="C889" s="60" t="n">
        <v>5</v>
      </c>
      <c r="D889" s="60" t="s">
        <v>47</v>
      </c>
      <c r="E889" s="60" t="s">
        <v>1151</v>
      </c>
    </row>
    <row r="890" customFormat="false" ht="15" hidden="false" customHeight="false" outlineLevel="0" collapsed="false">
      <c r="B890" s="60" t="s">
        <v>1155</v>
      </c>
      <c r="C890" s="60" t="n">
        <v>5</v>
      </c>
      <c r="D890" s="60" t="s">
        <v>47</v>
      </c>
      <c r="E890" s="60" t="s">
        <v>1155</v>
      </c>
    </row>
    <row r="891" customFormat="false" ht="15" hidden="false" customHeight="false" outlineLevel="0" collapsed="false">
      <c r="B891" s="60" t="s">
        <v>1197</v>
      </c>
      <c r="C891" s="60" t="n">
        <v>5</v>
      </c>
      <c r="D891" s="60" t="s">
        <v>47</v>
      </c>
      <c r="E891" s="60" t="s">
        <v>1197</v>
      </c>
    </row>
    <row r="892" customFormat="false" ht="15" hidden="false" customHeight="false" outlineLevel="0" collapsed="false">
      <c r="B892" s="60" t="s">
        <v>1212</v>
      </c>
      <c r="C892" s="60" t="n">
        <v>5</v>
      </c>
      <c r="D892" s="60" t="s">
        <v>47</v>
      </c>
      <c r="E892" s="60" t="s">
        <v>1212</v>
      </c>
    </row>
    <row r="893" customFormat="false" ht="15" hidden="false" customHeight="false" outlineLevel="0" collapsed="false">
      <c r="B893" s="60" t="s">
        <v>1220</v>
      </c>
      <c r="C893" s="60" t="n">
        <v>5</v>
      </c>
      <c r="D893" s="60" t="s">
        <v>47</v>
      </c>
      <c r="E893" s="60" t="s">
        <v>1220</v>
      </c>
    </row>
    <row r="894" customFormat="false" ht="15" hidden="false" customHeight="false" outlineLevel="0" collapsed="false">
      <c r="B894" s="60" t="s">
        <v>1223</v>
      </c>
      <c r="C894" s="60" t="n">
        <v>5</v>
      </c>
      <c r="D894" s="60" t="s">
        <v>47</v>
      </c>
      <c r="E894" s="60" t="s">
        <v>1223</v>
      </c>
    </row>
    <row r="895" customFormat="false" ht="15" hidden="false" customHeight="false" outlineLevel="0" collapsed="false">
      <c r="B895" s="60" t="s">
        <v>1242</v>
      </c>
      <c r="C895" s="60" t="n">
        <v>5</v>
      </c>
      <c r="D895" s="60" t="s">
        <v>47</v>
      </c>
      <c r="E895" s="60" t="s">
        <v>1242</v>
      </c>
    </row>
    <row r="896" customFormat="false" ht="15" hidden="false" customHeight="false" outlineLevel="0" collapsed="false">
      <c r="B896" s="60" t="s">
        <v>664</v>
      </c>
      <c r="C896" s="60" t="n">
        <v>5</v>
      </c>
      <c r="D896" s="60" t="s">
        <v>47</v>
      </c>
      <c r="E896" s="60" t="s">
        <v>664</v>
      </c>
    </row>
    <row r="897" customFormat="false" ht="15" hidden="false" customHeight="false" outlineLevel="0" collapsed="false">
      <c r="B897" s="60" t="s">
        <v>1312</v>
      </c>
      <c r="C897" s="60" t="n">
        <v>5</v>
      </c>
      <c r="D897" s="60" t="s">
        <v>47</v>
      </c>
      <c r="E897" s="60" t="s">
        <v>1312</v>
      </c>
    </row>
    <row r="898" customFormat="false" ht="15" hidden="false" customHeight="false" outlineLevel="0" collapsed="false">
      <c r="B898" s="60" t="s">
        <v>1316</v>
      </c>
      <c r="C898" s="60" t="n">
        <v>5</v>
      </c>
      <c r="D898" s="60" t="s">
        <v>47</v>
      </c>
      <c r="E898" s="60" t="s">
        <v>1316</v>
      </c>
    </row>
    <row r="899" customFormat="false" ht="15" hidden="false" customHeight="false" outlineLevel="0" collapsed="false">
      <c r="B899" s="60" t="s">
        <v>1359</v>
      </c>
      <c r="C899" s="60" t="n">
        <v>5</v>
      </c>
      <c r="D899" s="60" t="s">
        <v>47</v>
      </c>
      <c r="E899" s="60" t="s">
        <v>1359</v>
      </c>
    </row>
    <row r="900" customFormat="false" ht="15" hidden="false" customHeight="false" outlineLevel="0" collapsed="false">
      <c r="B900" s="60" t="s">
        <v>1373</v>
      </c>
      <c r="C900" s="60" t="n">
        <v>5</v>
      </c>
      <c r="D900" s="60" t="s">
        <v>47</v>
      </c>
      <c r="E900" s="60" t="s">
        <v>1373</v>
      </c>
    </row>
    <row r="901" customFormat="false" ht="15" hidden="false" customHeight="false" outlineLevel="0" collapsed="false">
      <c r="B901" s="60" t="s">
        <v>1380</v>
      </c>
      <c r="C901" s="60" t="n">
        <v>5</v>
      </c>
      <c r="D901" s="60" t="s">
        <v>47</v>
      </c>
      <c r="E901" s="60" t="s">
        <v>1380</v>
      </c>
    </row>
    <row r="902" customFormat="false" ht="15" hidden="false" customHeight="false" outlineLevel="0" collapsed="false">
      <c r="B902" s="60" t="s">
        <v>1440</v>
      </c>
      <c r="C902" s="60" t="n">
        <v>5</v>
      </c>
      <c r="D902" s="60" t="s">
        <v>47</v>
      </c>
      <c r="E902" s="60" t="s">
        <v>1440</v>
      </c>
    </row>
    <row r="903" customFormat="false" ht="15" hidden="false" customHeight="false" outlineLevel="0" collapsed="false">
      <c r="B903" s="60" t="s">
        <v>1444</v>
      </c>
      <c r="C903" s="60" t="n">
        <v>5</v>
      </c>
      <c r="D903" s="60" t="s">
        <v>47</v>
      </c>
      <c r="E903" s="60" t="s">
        <v>1444</v>
      </c>
    </row>
    <row r="904" customFormat="false" ht="15" hidden="false" customHeight="false" outlineLevel="0" collapsed="false">
      <c r="B904" s="60" t="s">
        <v>1456</v>
      </c>
      <c r="C904" s="60" t="n">
        <v>5</v>
      </c>
      <c r="D904" s="60" t="s">
        <v>47</v>
      </c>
      <c r="E904" s="60" t="s">
        <v>1456</v>
      </c>
    </row>
    <row r="905" customFormat="false" ht="15" hidden="false" customHeight="false" outlineLevel="0" collapsed="false">
      <c r="B905" s="60" t="s">
        <v>1460</v>
      </c>
      <c r="C905" s="60" t="n">
        <v>5</v>
      </c>
      <c r="D905" s="60" t="s">
        <v>47</v>
      </c>
      <c r="E905" s="60" t="s">
        <v>1460</v>
      </c>
    </row>
    <row r="906" customFormat="false" ht="15" hidden="false" customHeight="false" outlineLevel="0" collapsed="false">
      <c r="B906" s="60" t="s">
        <v>1545</v>
      </c>
      <c r="C906" s="60" t="n">
        <v>5</v>
      </c>
      <c r="D906" s="60" t="s">
        <v>47</v>
      </c>
      <c r="E906" s="60" t="s">
        <v>1545</v>
      </c>
    </row>
    <row r="907" customFormat="false" ht="15" hidden="false" customHeight="false" outlineLevel="0" collapsed="false">
      <c r="B907" s="60" t="s">
        <v>1549</v>
      </c>
      <c r="C907" s="60" t="n">
        <v>5</v>
      </c>
      <c r="D907" s="60" t="s">
        <v>47</v>
      </c>
      <c r="E907" s="60" t="s">
        <v>1549</v>
      </c>
    </row>
    <row r="908" customFormat="false" ht="15" hidden="false" customHeight="false" outlineLevel="0" collapsed="false">
      <c r="B908" s="60" t="s">
        <v>1585</v>
      </c>
      <c r="C908" s="60" t="n">
        <v>5</v>
      </c>
      <c r="D908" s="60" t="s">
        <v>47</v>
      </c>
      <c r="E908" s="60" t="s">
        <v>1585</v>
      </c>
    </row>
    <row r="909" customFormat="false" ht="15" hidden="false" customHeight="false" outlineLevel="0" collapsed="false">
      <c r="B909" s="60" t="s">
        <v>1604</v>
      </c>
      <c r="C909" s="60" t="n">
        <v>5</v>
      </c>
      <c r="D909" s="60" t="s">
        <v>47</v>
      </c>
      <c r="E909" s="60" t="s">
        <v>1604</v>
      </c>
    </row>
    <row r="910" customFormat="false" ht="15" hidden="false" customHeight="false" outlineLevel="0" collapsed="false">
      <c r="B910" s="60" t="s">
        <v>1612</v>
      </c>
      <c r="C910" s="60" t="n">
        <v>5</v>
      </c>
      <c r="D910" s="60" t="s">
        <v>47</v>
      </c>
      <c r="E910" s="60" t="s">
        <v>1612</v>
      </c>
    </row>
    <row r="911" customFormat="false" ht="15" hidden="false" customHeight="false" outlineLevel="0" collapsed="false">
      <c r="B911" s="60" t="s">
        <v>1612</v>
      </c>
      <c r="C911" s="60" t="n">
        <v>5</v>
      </c>
      <c r="D911" s="60" t="s">
        <v>47</v>
      </c>
      <c r="E911" s="60" t="s">
        <v>1612</v>
      </c>
    </row>
    <row r="912" customFormat="false" ht="15" hidden="false" customHeight="false" outlineLevel="0" collapsed="false">
      <c r="B912" s="60" t="s">
        <v>1626</v>
      </c>
      <c r="C912" s="60" t="n">
        <v>5</v>
      </c>
      <c r="D912" s="60" t="s">
        <v>47</v>
      </c>
      <c r="E912" s="60" t="s">
        <v>1626</v>
      </c>
    </row>
    <row r="913" customFormat="false" ht="15" hidden="false" customHeight="false" outlineLevel="0" collapsed="false">
      <c r="B913" s="60" t="s">
        <v>1638</v>
      </c>
      <c r="C913" s="60" t="n">
        <v>5</v>
      </c>
      <c r="D913" s="60" t="s">
        <v>47</v>
      </c>
      <c r="E913" s="60" t="s">
        <v>1638</v>
      </c>
    </row>
    <row r="914" customFormat="false" ht="15" hidden="false" customHeight="false" outlineLevel="0" collapsed="false">
      <c r="B914" s="60" t="s">
        <v>1649</v>
      </c>
      <c r="C914" s="60" t="n">
        <v>5</v>
      </c>
      <c r="D914" s="60" t="s">
        <v>47</v>
      </c>
      <c r="E914" s="60" t="s">
        <v>1649</v>
      </c>
    </row>
    <row r="915" customFormat="false" ht="15" hidden="false" customHeight="false" outlineLevel="0" collapsed="false">
      <c r="B915" s="60" t="s">
        <v>1703</v>
      </c>
      <c r="C915" s="60" t="n">
        <v>6</v>
      </c>
      <c r="D915" s="60" t="s">
        <v>47</v>
      </c>
      <c r="E915" s="60" t="s">
        <v>1703</v>
      </c>
    </row>
    <row r="916" customFormat="false" ht="15" hidden="false" customHeight="false" outlineLevel="0" collapsed="false">
      <c r="B916" s="60" t="s">
        <v>1886</v>
      </c>
      <c r="C916" s="60" t="n">
        <v>6</v>
      </c>
      <c r="D916" s="60" t="s">
        <v>47</v>
      </c>
      <c r="E916" s="60" t="s">
        <v>1886</v>
      </c>
    </row>
    <row r="917" customFormat="false" ht="15" hidden="false" customHeight="false" outlineLevel="0" collapsed="false">
      <c r="B917" s="60" t="s">
        <v>1889</v>
      </c>
      <c r="C917" s="60" t="n">
        <v>6</v>
      </c>
      <c r="D917" s="60" t="s">
        <v>47</v>
      </c>
      <c r="E917" s="60" t="s">
        <v>1889</v>
      </c>
    </row>
    <row r="918" customFormat="false" ht="15" hidden="false" customHeight="false" outlineLevel="0" collapsed="false">
      <c r="B918" s="60" t="s">
        <v>1934</v>
      </c>
      <c r="C918" s="60" t="n">
        <v>6</v>
      </c>
      <c r="D918" s="60" t="s">
        <v>47</v>
      </c>
      <c r="E918" s="60" t="s">
        <v>1934</v>
      </c>
    </row>
    <row r="919" customFormat="false" ht="15" hidden="false" customHeight="false" outlineLevel="0" collapsed="false">
      <c r="B919" s="60" t="s">
        <v>1940</v>
      </c>
      <c r="C919" s="60" t="n">
        <v>6</v>
      </c>
      <c r="D919" s="60" t="s">
        <v>47</v>
      </c>
      <c r="E919" s="60" t="s">
        <v>1940</v>
      </c>
    </row>
    <row r="920" customFormat="false" ht="15" hidden="false" customHeight="false" outlineLevel="0" collapsed="false">
      <c r="B920" s="60" t="s">
        <v>1948</v>
      </c>
      <c r="C920" s="60" t="n">
        <v>6</v>
      </c>
      <c r="D920" s="60" t="s">
        <v>47</v>
      </c>
      <c r="E920" s="60" t="s">
        <v>1948</v>
      </c>
    </row>
    <row r="921" customFormat="false" ht="15" hidden="false" customHeight="false" outlineLevel="0" collapsed="false">
      <c r="B921" s="60" t="s">
        <v>1952</v>
      </c>
      <c r="C921" s="60" t="n">
        <v>6</v>
      </c>
      <c r="D921" s="60" t="s">
        <v>47</v>
      </c>
      <c r="E921" s="60" t="s">
        <v>1952</v>
      </c>
    </row>
    <row r="922" customFormat="false" ht="15" hidden="false" customHeight="false" outlineLevel="0" collapsed="false">
      <c r="B922" s="60" t="s">
        <v>1956</v>
      </c>
      <c r="C922" s="60" t="n">
        <v>6</v>
      </c>
      <c r="D922" s="60" t="s">
        <v>47</v>
      </c>
      <c r="E922" s="60" t="s">
        <v>1956</v>
      </c>
    </row>
    <row r="923" customFormat="false" ht="15" hidden="false" customHeight="false" outlineLevel="0" collapsed="false">
      <c r="B923" s="60" t="s">
        <v>1960</v>
      </c>
      <c r="C923" s="60" t="n">
        <v>6</v>
      </c>
      <c r="D923" s="60" t="s">
        <v>47</v>
      </c>
      <c r="E923" s="60" t="s">
        <v>1960</v>
      </c>
    </row>
    <row r="924" customFormat="false" ht="15" hidden="false" customHeight="false" outlineLevel="0" collapsed="false">
      <c r="B924" s="60" t="s">
        <v>1963</v>
      </c>
      <c r="C924" s="60" t="n">
        <v>6</v>
      </c>
      <c r="D924" s="60" t="s">
        <v>47</v>
      </c>
      <c r="E924" s="60" t="s">
        <v>1963</v>
      </c>
    </row>
    <row r="925" customFormat="false" ht="15" hidden="false" customHeight="false" outlineLevel="0" collapsed="false">
      <c r="B925" s="60" t="s">
        <v>1966</v>
      </c>
      <c r="C925" s="60" t="n">
        <v>6</v>
      </c>
      <c r="D925" s="60" t="s">
        <v>47</v>
      </c>
      <c r="E925" s="60" t="s">
        <v>1966</v>
      </c>
    </row>
    <row r="926" customFormat="false" ht="15" hidden="false" customHeight="false" outlineLevel="0" collapsed="false">
      <c r="B926" s="60" t="s">
        <v>1970</v>
      </c>
      <c r="C926" s="60" t="n">
        <v>6</v>
      </c>
      <c r="D926" s="60" t="s">
        <v>47</v>
      </c>
      <c r="E926" s="60" t="s">
        <v>1970</v>
      </c>
    </row>
    <row r="927" customFormat="false" ht="15" hidden="false" customHeight="false" outlineLevel="0" collapsed="false">
      <c r="B927" s="60" t="s">
        <v>1973</v>
      </c>
      <c r="C927" s="60" t="n">
        <v>6</v>
      </c>
      <c r="D927" s="60" t="s">
        <v>47</v>
      </c>
      <c r="E927" s="60" t="s">
        <v>1973</v>
      </c>
    </row>
    <row r="928" customFormat="false" ht="15" hidden="false" customHeight="false" outlineLevel="0" collapsed="false">
      <c r="B928" s="60" t="s">
        <v>1992</v>
      </c>
      <c r="C928" s="60" t="n">
        <v>6</v>
      </c>
      <c r="D928" s="60" t="s">
        <v>47</v>
      </c>
      <c r="E928" s="60" t="s">
        <v>1992</v>
      </c>
    </row>
    <row r="929" customFormat="false" ht="15" hidden="false" customHeight="false" outlineLevel="0" collapsed="false">
      <c r="B929" s="60" t="s">
        <v>1997</v>
      </c>
      <c r="C929" s="60" t="n">
        <v>6</v>
      </c>
      <c r="D929" s="60" t="s">
        <v>47</v>
      </c>
      <c r="E929" s="60" t="s">
        <v>1997</v>
      </c>
    </row>
    <row r="930" customFormat="false" ht="15" hidden="false" customHeight="false" outlineLevel="0" collapsed="false">
      <c r="B930" s="60" t="s">
        <v>2035</v>
      </c>
      <c r="C930" s="60" t="n">
        <v>6</v>
      </c>
      <c r="D930" s="60" t="s">
        <v>47</v>
      </c>
      <c r="E930" s="60" t="s">
        <v>2035</v>
      </c>
    </row>
    <row r="931" customFormat="false" ht="15" hidden="false" customHeight="false" outlineLevel="0" collapsed="false">
      <c r="B931" s="60" t="s">
        <v>2294</v>
      </c>
      <c r="C931" s="60" t="n">
        <v>6</v>
      </c>
      <c r="D931" s="60" t="s">
        <v>47</v>
      </c>
      <c r="E931" s="60" t="s">
        <v>2294</v>
      </c>
    </row>
    <row r="932" customFormat="false" ht="15" hidden="false" customHeight="false" outlineLevel="0" collapsed="false">
      <c r="B932" s="60" t="s">
        <v>2360</v>
      </c>
      <c r="C932" s="60" t="n">
        <v>6</v>
      </c>
      <c r="D932" s="60" t="s">
        <v>47</v>
      </c>
      <c r="E932" s="60" t="s">
        <v>2360</v>
      </c>
    </row>
    <row r="933" customFormat="false" ht="15" hidden="false" customHeight="false" outlineLevel="0" collapsed="false">
      <c r="B933" s="60" t="s">
        <v>2442</v>
      </c>
      <c r="C933" s="60" t="n">
        <v>7</v>
      </c>
      <c r="D933" s="60" t="s">
        <v>47</v>
      </c>
      <c r="E933" s="60" t="s">
        <v>2442</v>
      </c>
    </row>
    <row r="934" customFormat="false" ht="15" hidden="false" customHeight="false" outlineLevel="0" collapsed="false">
      <c r="B934" s="60" t="s">
        <v>2446</v>
      </c>
      <c r="C934" s="60" t="n">
        <v>7</v>
      </c>
      <c r="D934" s="60" t="s">
        <v>47</v>
      </c>
      <c r="E934" s="60" t="s">
        <v>2446</v>
      </c>
    </row>
    <row r="935" customFormat="false" ht="15" hidden="false" customHeight="false" outlineLevel="0" collapsed="false">
      <c r="B935" s="60" t="s">
        <v>2454</v>
      </c>
      <c r="C935" s="60" t="n">
        <v>7</v>
      </c>
      <c r="D935" s="60" t="s">
        <v>47</v>
      </c>
      <c r="E935" s="60" t="s">
        <v>2454</v>
      </c>
    </row>
    <row r="936" customFormat="false" ht="15" hidden="false" customHeight="false" outlineLevel="0" collapsed="false">
      <c r="B936" s="60" t="s">
        <v>2457</v>
      </c>
      <c r="C936" s="60" t="n">
        <v>7</v>
      </c>
      <c r="D936" s="60" t="s">
        <v>47</v>
      </c>
      <c r="E936" s="60" t="s">
        <v>2457</v>
      </c>
    </row>
    <row r="937" customFormat="false" ht="15" hidden="false" customHeight="false" outlineLevel="0" collapsed="false">
      <c r="B937" s="60" t="s">
        <v>2470</v>
      </c>
      <c r="C937" s="60" t="n">
        <v>7</v>
      </c>
      <c r="D937" s="60" t="s">
        <v>47</v>
      </c>
      <c r="E937" s="60" t="s">
        <v>2470</v>
      </c>
    </row>
    <row r="938" customFormat="false" ht="15" hidden="false" customHeight="false" outlineLevel="0" collapsed="false">
      <c r="B938" s="60" t="s">
        <v>2474</v>
      </c>
      <c r="C938" s="60" t="n">
        <v>7</v>
      </c>
      <c r="D938" s="60" t="s">
        <v>47</v>
      </c>
      <c r="E938" s="60" t="s">
        <v>2474</v>
      </c>
    </row>
    <row r="939" customFormat="false" ht="15" hidden="false" customHeight="false" outlineLevel="0" collapsed="false">
      <c r="B939" s="60" t="s">
        <v>2564</v>
      </c>
      <c r="C939" s="60" t="n">
        <v>7</v>
      </c>
      <c r="D939" s="60" t="s">
        <v>47</v>
      </c>
      <c r="E939" s="60" t="s">
        <v>2564</v>
      </c>
    </row>
    <row r="940" customFormat="false" ht="15" hidden="false" customHeight="false" outlineLevel="0" collapsed="false">
      <c r="B940" s="60" t="s">
        <v>2580</v>
      </c>
      <c r="C940" s="60" t="n">
        <v>7</v>
      </c>
      <c r="D940" s="60" t="s">
        <v>47</v>
      </c>
      <c r="E940" s="60" t="s">
        <v>2580</v>
      </c>
    </row>
    <row r="941" customFormat="false" ht="15" hidden="false" customHeight="false" outlineLevel="0" collapsed="false">
      <c r="B941" s="60" t="s">
        <v>2584</v>
      </c>
      <c r="C941" s="60" t="n">
        <v>7</v>
      </c>
      <c r="D941" s="60" t="s">
        <v>47</v>
      </c>
      <c r="E941" s="60" t="s">
        <v>2584</v>
      </c>
    </row>
    <row r="942" customFormat="false" ht="15" hidden="false" customHeight="false" outlineLevel="0" collapsed="false">
      <c r="B942" s="60" t="s">
        <v>2588</v>
      </c>
      <c r="C942" s="60" t="n">
        <v>7</v>
      </c>
      <c r="D942" s="60" t="s">
        <v>47</v>
      </c>
      <c r="E942" s="60" t="s">
        <v>2588</v>
      </c>
    </row>
    <row r="943" customFormat="false" ht="15" hidden="false" customHeight="false" outlineLevel="0" collapsed="false">
      <c r="B943" s="60" t="s">
        <v>2592</v>
      </c>
      <c r="C943" s="60" t="n">
        <v>7</v>
      </c>
      <c r="D943" s="60" t="s">
        <v>47</v>
      </c>
      <c r="E943" s="60" t="s">
        <v>2592</v>
      </c>
    </row>
    <row r="944" customFormat="false" ht="15" hidden="false" customHeight="false" outlineLevel="0" collapsed="false">
      <c r="B944" s="60" t="s">
        <v>2594</v>
      </c>
      <c r="C944" s="60" t="n">
        <v>7</v>
      </c>
      <c r="D944" s="60" t="s">
        <v>47</v>
      </c>
      <c r="E944" s="60" t="s">
        <v>2594</v>
      </c>
    </row>
    <row r="945" customFormat="false" ht="15" hidden="false" customHeight="false" outlineLevel="0" collapsed="false">
      <c r="B945" s="60" t="s">
        <v>2653</v>
      </c>
      <c r="C945" s="60" t="n">
        <v>7</v>
      </c>
      <c r="D945" s="60" t="s">
        <v>47</v>
      </c>
      <c r="E945" s="60" t="s">
        <v>2653</v>
      </c>
    </row>
    <row r="946" customFormat="false" ht="15" hidden="false" customHeight="false" outlineLevel="0" collapsed="false">
      <c r="B946" s="60" t="s">
        <v>2657</v>
      </c>
      <c r="C946" s="60" t="n">
        <v>7</v>
      </c>
      <c r="D946" s="60" t="s">
        <v>47</v>
      </c>
      <c r="E946" s="60" t="s">
        <v>2657</v>
      </c>
    </row>
    <row r="947" customFormat="false" ht="15" hidden="false" customHeight="false" outlineLevel="0" collapsed="false">
      <c r="B947" s="60" t="s">
        <v>2673</v>
      </c>
      <c r="C947" s="60" t="n">
        <v>7</v>
      </c>
      <c r="D947" s="60" t="s">
        <v>47</v>
      </c>
      <c r="E947" s="60" t="s">
        <v>2673</v>
      </c>
    </row>
    <row r="948" customFormat="false" ht="15" hidden="false" customHeight="false" outlineLevel="0" collapsed="false">
      <c r="B948" s="60" t="s">
        <v>2677</v>
      </c>
      <c r="C948" s="60" t="n">
        <v>7</v>
      </c>
      <c r="D948" s="60" t="s">
        <v>47</v>
      </c>
      <c r="E948" s="60" t="s">
        <v>2677</v>
      </c>
    </row>
    <row r="949" customFormat="false" ht="15" hidden="false" customHeight="false" outlineLevel="0" collapsed="false">
      <c r="B949" s="60" t="s">
        <v>2685</v>
      </c>
      <c r="C949" s="60" t="n">
        <v>7</v>
      </c>
      <c r="D949" s="60" t="s">
        <v>47</v>
      </c>
      <c r="E949" s="60" t="s">
        <v>2685</v>
      </c>
    </row>
    <row r="950" customFormat="false" ht="15" hidden="false" customHeight="false" outlineLevel="0" collapsed="false">
      <c r="B950" s="60" t="s">
        <v>2697</v>
      </c>
      <c r="C950" s="60" t="n">
        <v>7</v>
      </c>
      <c r="D950" s="60" t="s">
        <v>47</v>
      </c>
      <c r="E950" s="60" t="s">
        <v>2697</v>
      </c>
    </row>
    <row r="951" customFormat="false" ht="15" hidden="false" customHeight="false" outlineLevel="0" collapsed="false">
      <c r="B951" s="60" t="s">
        <v>2701</v>
      </c>
      <c r="C951" s="60" t="n">
        <v>7</v>
      </c>
      <c r="D951" s="60" t="s">
        <v>47</v>
      </c>
      <c r="E951" s="60" t="s">
        <v>2701</v>
      </c>
    </row>
    <row r="952" customFormat="false" ht="15" hidden="false" customHeight="false" outlineLevel="0" collapsed="false">
      <c r="B952" s="60" t="s">
        <v>2737</v>
      </c>
      <c r="C952" s="60" t="n">
        <v>7</v>
      </c>
      <c r="D952" s="60" t="s">
        <v>47</v>
      </c>
      <c r="E952" s="60" t="s">
        <v>2737</v>
      </c>
    </row>
    <row r="953" customFormat="false" ht="15" hidden="false" customHeight="false" outlineLevel="0" collapsed="false">
      <c r="B953" s="60" t="s">
        <v>2669</v>
      </c>
      <c r="C953" s="60" t="n">
        <v>7</v>
      </c>
      <c r="D953" s="60" t="s">
        <v>47</v>
      </c>
      <c r="E953" s="60" t="s">
        <v>2669</v>
      </c>
    </row>
    <row r="954" customFormat="false" ht="15" hidden="false" customHeight="false" outlineLevel="0" collapsed="false">
      <c r="B954" s="60" t="s">
        <v>2849</v>
      </c>
      <c r="C954" s="60" t="n">
        <v>7</v>
      </c>
      <c r="D954" s="60" t="s">
        <v>47</v>
      </c>
      <c r="E954" s="60" t="s">
        <v>2849</v>
      </c>
    </row>
    <row r="955" customFormat="false" ht="15" hidden="false" customHeight="false" outlineLevel="0" collapsed="false">
      <c r="B955" s="60" t="s">
        <v>2853</v>
      </c>
      <c r="C955" s="60" t="n">
        <v>7</v>
      </c>
      <c r="D955" s="60" t="s">
        <v>47</v>
      </c>
      <c r="E955" s="60" t="s">
        <v>2853</v>
      </c>
    </row>
    <row r="956" customFormat="false" ht="15" hidden="false" customHeight="false" outlineLevel="0" collapsed="false">
      <c r="B956" s="60" t="s">
        <v>2856</v>
      </c>
      <c r="C956" s="60" t="n">
        <v>7</v>
      </c>
      <c r="D956" s="60" t="s">
        <v>47</v>
      </c>
      <c r="E956" s="60" t="s">
        <v>2856</v>
      </c>
    </row>
    <row r="957" customFormat="false" ht="15" hidden="false" customHeight="false" outlineLevel="0" collapsed="false">
      <c r="B957" s="60" t="s">
        <v>2860</v>
      </c>
      <c r="C957" s="60" t="n">
        <v>7</v>
      </c>
      <c r="D957" s="60" t="s">
        <v>47</v>
      </c>
      <c r="E957" s="60" t="s">
        <v>2860</v>
      </c>
    </row>
    <row r="958" customFormat="false" ht="15" hidden="false" customHeight="false" outlineLevel="0" collapsed="false">
      <c r="B958" s="60" t="s">
        <v>2875</v>
      </c>
      <c r="C958" s="60" t="n">
        <v>7</v>
      </c>
      <c r="D958" s="60" t="s">
        <v>47</v>
      </c>
      <c r="E958" s="60" t="s">
        <v>2875</v>
      </c>
    </row>
    <row r="959" customFormat="false" ht="15" hidden="false" customHeight="false" outlineLevel="0" collapsed="false">
      <c r="B959" s="60" t="s">
        <v>2888</v>
      </c>
      <c r="C959" s="60" t="n">
        <v>7</v>
      </c>
      <c r="D959" s="60" t="s">
        <v>47</v>
      </c>
      <c r="E959" s="60" t="s">
        <v>2888</v>
      </c>
    </row>
    <row r="960" customFormat="false" ht="15" hidden="false" customHeight="false" outlineLevel="0" collapsed="false">
      <c r="B960" s="60" t="s">
        <v>2929</v>
      </c>
      <c r="C960" s="60" t="n">
        <v>7</v>
      </c>
      <c r="D960" s="60" t="s">
        <v>47</v>
      </c>
      <c r="E960" s="60" t="s">
        <v>2929</v>
      </c>
    </row>
    <row r="961" customFormat="false" ht="15" hidden="false" customHeight="false" outlineLevel="0" collapsed="false">
      <c r="B961" s="60" t="s">
        <v>2933</v>
      </c>
      <c r="C961" s="60" t="n">
        <v>7</v>
      </c>
      <c r="D961" s="60" t="s">
        <v>47</v>
      </c>
      <c r="E961" s="60" t="s">
        <v>2933</v>
      </c>
    </row>
    <row r="962" customFormat="false" ht="15" hidden="false" customHeight="false" outlineLevel="0" collapsed="false">
      <c r="B962" s="60" t="s">
        <v>2989</v>
      </c>
      <c r="C962" s="60" t="n">
        <v>7</v>
      </c>
      <c r="D962" s="60" t="s">
        <v>47</v>
      </c>
      <c r="E962" s="60" t="s">
        <v>2989</v>
      </c>
    </row>
    <row r="963" customFormat="false" ht="15" hidden="false" customHeight="false" outlineLevel="0" collapsed="false">
      <c r="B963" s="60" t="s">
        <v>2993</v>
      </c>
      <c r="C963" s="60" t="n">
        <v>7</v>
      </c>
      <c r="D963" s="60" t="s">
        <v>47</v>
      </c>
      <c r="E963" s="60" t="s">
        <v>2993</v>
      </c>
    </row>
    <row r="964" customFormat="false" ht="15" hidden="false" customHeight="false" outlineLevel="0" collapsed="false">
      <c r="B964" s="60" t="s">
        <v>2997</v>
      </c>
      <c r="C964" s="60" t="n">
        <v>7</v>
      </c>
      <c r="D964" s="60" t="s">
        <v>47</v>
      </c>
      <c r="E964" s="60" t="s">
        <v>2997</v>
      </c>
    </row>
    <row r="965" customFormat="false" ht="15" hidden="false" customHeight="false" outlineLevel="0" collapsed="false">
      <c r="B965" s="60" t="s">
        <v>3000</v>
      </c>
      <c r="C965" s="60" t="n">
        <v>7</v>
      </c>
      <c r="D965" s="60" t="s">
        <v>47</v>
      </c>
      <c r="E965" s="60" t="s">
        <v>3000</v>
      </c>
    </row>
    <row r="966" customFormat="false" ht="15" hidden="false" customHeight="false" outlineLevel="0" collapsed="false">
      <c r="B966" s="60" t="s">
        <v>3064</v>
      </c>
      <c r="C966" s="60" t="n">
        <v>7</v>
      </c>
      <c r="D966" s="60" t="s">
        <v>47</v>
      </c>
      <c r="E966" s="60" t="s">
        <v>3064</v>
      </c>
    </row>
    <row r="967" customFormat="false" ht="15" hidden="false" customHeight="false" outlineLevel="0" collapsed="false">
      <c r="B967" s="60" t="s">
        <v>3133</v>
      </c>
      <c r="C967" s="60" t="n">
        <v>8</v>
      </c>
      <c r="D967" s="60" t="s">
        <v>47</v>
      </c>
      <c r="E967" s="60" t="s">
        <v>3133</v>
      </c>
    </row>
    <row r="968" customFormat="false" ht="15" hidden="false" customHeight="false" outlineLevel="0" collapsed="false">
      <c r="B968" s="60" t="s">
        <v>3201</v>
      </c>
      <c r="C968" s="60" t="n">
        <v>8</v>
      </c>
      <c r="D968" s="60" t="s">
        <v>47</v>
      </c>
      <c r="E968" s="60" t="s">
        <v>3201</v>
      </c>
    </row>
    <row r="969" customFormat="false" ht="15" hidden="false" customHeight="false" outlineLevel="0" collapsed="false">
      <c r="B969" s="60" t="s">
        <v>3203</v>
      </c>
      <c r="C969" s="60" t="n">
        <v>8</v>
      </c>
      <c r="D969" s="60" t="s">
        <v>47</v>
      </c>
      <c r="E969" s="60" t="s">
        <v>3203</v>
      </c>
    </row>
    <row r="970" customFormat="false" ht="15" hidden="false" customHeight="false" outlineLevel="0" collapsed="false">
      <c r="B970" s="60" t="s">
        <v>3230</v>
      </c>
      <c r="C970" s="60" t="n">
        <v>8</v>
      </c>
      <c r="D970" s="60" t="s">
        <v>47</v>
      </c>
      <c r="E970" s="60" t="s">
        <v>3230</v>
      </c>
    </row>
    <row r="971" customFormat="false" ht="15" hidden="false" customHeight="false" outlineLevel="0" collapsed="false">
      <c r="B971" s="60" t="s">
        <v>3233</v>
      </c>
      <c r="C971" s="60" t="n">
        <v>8</v>
      </c>
      <c r="D971" s="60" t="s">
        <v>47</v>
      </c>
      <c r="E971" s="60" t="s">
        <v>3233</v>
      </c>
    </row>
    <row r="972" customFormat="false" ht="15" hidden="false" customHeight="false" outlineLevel="0" collapsed="false">
      <c r="B972" s="60" t="s">
        <v>3236</v>
      </c>
      <c r="C972" s="60" t="n">
        <v>8</v>
      </c>
      <c r="D972" s="60" t="s">
        <v>47</v>
      </c>
      <c r="E972" s="60" t="s">
        <v>3236</v>
      </c>
    </row>
    <row r="973" customFormat="false" ht="15" hidden="false" customHeight="false" outlineLevel="0" collapsed="false">
      <c r="B973" s="60" t="s">
        <v>3323</v>
      </c>
      <c r="C973" s="60" t="n">
        <v>8</v>
      </c>
      <c r="D973" s="60" t="s">
        <v>47</v>
      </c>
      <c r="E973" s="60" t="s">
        <v>3323</v>
      </c>
    </row>
    <row r="974" customFormat="false" ht="15" hidden="false" customHeight="false" outlineLevel="0" collapsed="false">
      <c r="B974" s="60" t="s">
        <v>3427</v>
      </c>
      <c r="C974" s="60" t="n">
        <v>8</v>
      </c>
      <c r="D974" s="60" t="s">
        <v>47</v>
      </c>
      <c r="E974" s="60" t="s">
        <v>3427</v>
      </c>
    </row>
    <row r="975" customFormat="false" ht="15" hidden="false" customHeight="false" outlineLevel="0" collapsed="false">
      <c r="B975" s="60" t="s">
        <v>3431</v>
      </c>
      <c r="C975" s="60" t="n">
        <v>8</v>
      </c>
      <c r="D975" s="60" t="s">
        <v>47</v>
      </c>
      <c r="E975" s="60" t="s">
        <v>3431</v>
      </c>
    </row>
    <row r="976" customFormat="false" ht="15" hidden="false" customHeight="false" outlineLevel="0" collapsed="false">
      <c r="B976" s="60" t="s">
        <v>3435</v>
      </c>
      <c r="C976" s="60" t="n">
        <v>8</v>
      </c>
      <c r="D976" s="60" t="s">
        <v>47</v>
      </c>
      <c r="E976" s="60" t="s">
        <v>3435</v>
      </c>
    </row>
    <row r="977" customFormat="false" ht="15" hidden="false" customHeight="false" outlineLevel="0" collapsed="false">
      <c r="B977" s="60" t="s">
        <v>3478</v>
      </c>
      <c r="C977" s="60" t="n">
        <v>9</v>
      </c>
      <c r="D977" s="60" t="s">
        <v>47</v>
      </c>
      <c r="E977" s="60" t="s">
        <v>3478</v>
      </c>
    </row>
    <row r="978" customFormat="false" ht="15" hidden="false" customHeight="false" outlineLevel="0" collapsed="false">
      <c r="B978" s="60" t="s">
        <v>3481</v>
      </c>
      <c r="C978" s="60" t="n">
        <v>9</v>
      </c>
      <c r="D978" s="60" t="s">
        <v>47</v>
      </c>
      <c r="E978" s="60" t="s">
        <v>3481</v>
      </c>
    </row>
    <row r="979" customFormat="false" ht="15" hidden="false" customHeight="false" outlineLevel="0" collapsed="false">
      <c r="B979" s="60" t="s">
        <v>3553</v>
      </c>
      <c r="C979" s="60" t="n">
        <v>9</v>
      </c>
      <c r="D979" s="60" t="s">
        <v>47</v>
      </c>
      <c r="E979" s="60" t="s">
        <v>3553</v>
      </c>
    </row>
    <row r="980" customFormat="false" ht="15" hidden="false" customHeight="false" outlineLevel="0" collapsed="false">
      <c r="B980" s="60" t="s">
        <v>3557</v>
      </c>
      <c r="C980" s="60" t="n">
        <v>9</v>
      </c>
      <c r="D980" s="60" t="s">
        <v>47</v>
      </c>
      <c r="E980" s="60" t="s">
        <v>3557</v>
      </c>
    </row>
    <row r="981" customFormat="false" ht="15" hidden="false" customHeight="false" outlineLevel="0" collapsed="false">
      <c r="B981" s="60" t="s">
        <v>3590</v>
      </c>
      <c r="C981" s="60" t="n">
        <v>9</v>
      </c>
      <c r="D981" s="60" t="s">
        <v>47</v>
      </c>
      <c r="E981" s="60" t="s">
        <v>3590</v>
      </c>
    </row>
    <row r="982" customFormat="false" ht="15" hidden="false" customHeight="false" outlineLevel="0" collapsed="false">
      <c r="B982" s="60" t="s">
        <v>3651</v>
      </c>
      <c r="C982" s="60" t="n">
        <v>9</v>
      </c>
      <c r="D982" s="60" t="s">
        <v>47</v>
      </c>
      <c r="E982" s="60" t="s">
        <v>3651</v>
      </c>
    </row>
    <row r="983" customFormat="false" ht="15" hidden="false" customHeight="false" outlineLevel="0" collapsed="false">
      <c r="B983" s="60" t="s">
        <v>3659</v>
      </c>
      <c r="C983" s="60" t="n">
        <v>9</v>
      </c>
      <c r="D983" s="60" t="s">
        <v>47</v>
      </c>
      <c r="E983" s="60" t="s">
        <v>3659</v>
      </c>
    </row>
    <row r="984" customFormat="false" ht="15" hidden="false" customHeight="false" outlineLevel="0" collapsed="false">
      <c r="B984" s="60" t="s">
        <v>3689</v>
      </c>
      <c r="C984" s="60" t="n">
        <v>9</v>
      </c>
      <c r="D984" s="60" t="s">
        <v>47</v>
      </c>
      <c r="E984" s="60" t="s">
        <v>3689</v>
      </c>
    </row>
    <row r="985" customFormat="false" ht="15" hidden="false" customHeight="false" outlineLevel="0" collapsed="false">
      <c r="B985" s="60" t="s">
        <v>3725</v>
      </c>
      <c r="C985" s="60" t="n">
        <v>9</v>
      </c>
      <c r="D985" s="60" t="s">
        <v>47</v>
      </c>
      <c r="E985" s="60" t="s">
        <v>3725</v>
      </c>
    </row>
    <row r="986" customFormat="false" ht="15" hidden="false" customHeight="false" outlineLevel="0" collapsed="false">
      <c r="B986" s="60" t="s">
        <v>3752</v>
      </c>
      <c r="C986" s="60" t="n">
        <v>9</v>
      </c>
      <c r="D986" s="60" t="s">
        <v>47</v>
      </c>
      <c r="E986" s="60" t="s">
        <v>3752</v>
      </c>
    </row>
    <row r="987" customFormat="false" ht="15" hidden="false" customHeight="false" outlineLevel="0" collapsed="false">
      <c r="B987" s="60" t="s">
        <v>3760</v>
      </c>
      <c r="C987" s="60" t="n">
        <v>9</v>
      </c>
      <c r="D987" s="60" t="s">
        <v>47</v>
      </c>
      <c r="E987" s="60" t="s">
        <v>3760</v>
      </c>
    </row>
    <row r="988" customFormat="false" ht="15" hidden="false" customHeight="false" outlineLevel="0" collapsed="false">
      <c r="B988" s="60" t="s">
        <v>112</v>
      </c>
      <c r="C988" s="60" t="n">
        <v>1</v>
      </c>
      <c r="D988" s="60" t="s">
        <v>295</v>
      </c>
      <c r="E988" s="60" t="s">
        <v>112</v>
      </c>
    </row>
    <row r="989" customFormat="false" ht="15" hidden="false" customHeight="false" outlineLevel="0" collapsed="false">
      <c r="B989" s="60" t="s">
        <v>263</v>
      </c>
      <c r="C989" s="60" t="n">
        <v>3</v>
      </c>
      <c r="D989" s="60" t="s">
        <v>295</v>
      </c>
      <c r="E989" s="60" t="s">
        <v>263</v>
      </c>
    </row>
    <row r="990" customFormat="false" ht="15" hidden="false" customHeight="false" outlineLevel="0" collapsed="false">
      <c r="B990" s="60" t="s">
        <v>344</v>
      </c>
      <c r="C990" s="60" t="n">
        <v>3</v>
      </c>
      <c r="D990" s="60" t="s">
        <v>295</v>
      </c>
      <c r="E990" s="60" t="s">
        <v>344</v>
      </c>
    </row>
    <row r="991" customFormat="false" ht="15" hidden="false" customHeight="false" outlineLevel="0" collapsed="false">
      <c r="B991" s="60" t="s">
        <v>294</v>
      </c>
      <c r="C991" s="60" t="n">
        <v>3</v>
      </c>
      <c r="D991" s="60" t="s">
        <v>295</v>
      </c>
      <c r="E991" s="60" t="s">
        <v>294</v>
      </c>
    </row>
    <row r="992" customFormat="false" ht="15" hidden="false" customHeight="false" outlineLevel="0" collapsed="false">
      <c r="B992" s="60" t="s">
        <v>489</v>
      </c>
      <c r="C992" s="60" t="n">
        <v>4</v>
      </c>
      <c r="D992" s="60" t="s">
        <v>295</v>
      </c>
      <c r="E992" s="60" t="s">
        <v>489</v>
      </c>
    </row>
    <row r="993" customFormat="false" ht="15" hidden="false" customHeight="false" outlineLevel="0" collapsed="false">
      <c r="B993" s="60" t="s">
        <v>516</v>
      </c>
      <c r="C993" s="60" t="n">
        <v>4</v>
      </c>
      <c r="D993" s="60" t="s">
        <v>295</v>
      </c>
      <c r="E993" s="60" t="s">
        <v>516</v>
      </c>
    </row>
    <row r="994" customFormat="false" ht="15" hidden="false" customHeight="false" outlineLevel="0" collapsed="false">
      <c r="B994" s="60" t="s">
        <v>522</v>
      </c>
      <c r="C994" s="60" t="n">
        <v>4</v>
      </c>
      <c r="D994" s="60" t="s">
        <v>295</v>
      </c>
      <c r="E994" s="60" t="s">
        <v>522</v>
      </c>
    </row>
    <row r="995" customFormat="false" ht="15" hidden="false" customHeight="false" outlineLevel="0" collapsed="false">
      <c r="B995" s="60" t="s">
        <v>569</v>
      </c>
      <c r="C995" s="60" t="n">
        <v>4</v>
      </c>
      <c r="D995" s="60" t="s">
        <v>295</v>
      </c>
      <c r="E995" s="60" t="s">
        <v>569</v>
      </c>
    </row>
    <row r="996" customFormat="false" ht="15" hidden="false" customHeight="false" outlineLevel="0" collapsed="false">
      <c r="B996" s="60" t="s">
        <v>590</v>
      </c>
      <c r="C996" s="60" t="n">
        <v>4</v>
      </c>
      <c r="D996" s="60" t="s">
        <v>295</v>
      </c>
      <c r="E996" s="60" t="s">
        <v>590</v>
      </c>
    </row>
    <row r="997" customFormat="false" ht="15" hidden="false" customHeight="false" outlineLevel="0" collapsed="false">
      <c r="B997" s="60" t="s">
        <v>717</v>
      </c>
      <c r="C997" s="60" t="n">
        <v>4</v>
      </c>
      <c r="D997" s="60" t="s">
        <v>295</v>
      </c>
      <c r="E997" s="60" t="s">
        <v>717</v>
      </c>
    </row>
    <row r="998" customFormat="false" ht="15" hidden="false" customHeight="false" outlineLevel="0" collapsed="false">
      <c r="B998" s="60" t="s">
        <v>720</v>
      </c>
      <c r="C998" s="60" t="n">
        <v>4</v>
      </c>
      <c r="D998" s="60" t="s">
        <v>295</v>
      </c>
      <c r="E998" s="60" t="s">
        <v>720</v>
      </c>
    </row>
    <row r="999" customFormat="false" ht="15" hidden="false" customHeight="false" outlineLevel="0" collapsed="false">
      <c r="B999" s="60" t="s">
        <v>773</v>
      </c>
      <c r="C999" s="60" t="n">
        <v>4</v>
      </c>
      <c r="D999" s="60" t="s">
        <v>295</v>
      </c>
      <c r="E999" s="60" t="s">
        <v>773</v>
      </c>
    </row>
    <row r="1000" customFormat="false" ht="15" hidden="false" customHeight="false" outlineLevel="0" collapsed="false">
      <c r="B1000" s="60" t="s">
        <v>997</v>
      </c>
      <c r="C1000" s="60" t="n">
        <v>5</v>
      </c>
      <c r="D1000" s="60" t="s">
        <v>295</v>
      </c>
      <c r="E1000" s="60" t="s">
        <v>997</v>
      </c>
    </row>
    <row r="1001" customFormat="false" ht="15" hidden="false" customHeight="false" outlineLevel="0" collapsed="false">
      <c r="B1001" s="60" t="s">
        <v>1017</v>
      </c>
      <c r="C1001" s="60" t="n">
        <v>5</v>
      </c>
      <c r="D1001" s="60" t="s">
        <v>295</v>
      </c>
      <c r="E1001" s="60" t="s">
        <v>1017</v>
      </c>
    </row>
    <row r="1002" customFormat="false" ht="15" hidden="false" customHeight="false" outlineLevel="0" collapsed="false">
      <c r="B1002" s="60" t="s">
        <v>1064</v>
      </c>
      <c r="C1002" s="60" t="n">
        <v>5</v>
      </c>
      <c r="D1002" s="60" t="s">
        <v>295</v>
      </c>
      <c r="E1002" s="60" t="s">
        <v>1064</v>
      </c>
    </row>
    <row r="1003" customFormat="false" ht="15" hidden="false" customHeight="false" outlineLevel="0" collapsed="false">
      <c r="B1003" s="60" t="s">
        <v>1141</v>
      </c>
      <c r="C1003" s="60" t="n">
        <v>5</v>
      </c>
      <c r="D1003" s="60" t="s">
        <v>295</v>
      </c>
      <c r="E1003" s="60" t="s">
        <v>1141</v>
      </c>
    </row>
    <row r="1004" customFormat="false" ht="15" hidden="false" customHeight="false" outlineLevel="0" collapsed="false">
      <c r="B1004" s="60" t="s">
        <v>1145</v>
      </c>
      <c r="C1004" s="60" t="n">
        <v>5</v>
      </c>
      <c r="D1004" s="60" t="s">
        <v>295</v>
      </c>
      <c r="E1004" s="60" t="s">
        <v>1145</v>
      </c>
    </row>
    <row r="1005" customFormat="false" ht="15" hidden="false" customHeight="false" outlineLevel="0" collapsed="false">
      <c r="B1005" s="60" t="s">
        <v>1162</v>
      </c>
      <c r="C1005" s="60" t="n">
        <v>5</v>
      </c>
      <c r="D1005" s="60" t="s">
        <v>295</v>
      </c>
      <c r="E1005" s="60" t="s">
        <v>1162</v>
      </c>
    </row>
    <row r="1006" customFormat="false" ht="15" hidden="false" customHeight="false" outlineLevel="0" collapsed="false">
      <c r="B1006" s="60" t="s">
        <v>1166</v>
      </c>
      <c r="C1006" s="60" t="n">
        <v>5</v>
      </c>
      <c r="D1006" s="60" t="s">
        <v>295</v>
      </c>
      <c r="E1006" s="60" t="s">
        <v>1166</v>
      </c>
    </row>
    <row r="1007" customFormat="false" ht="15" hidden="false" customHeight="false" outlineLevel="0" collapsed="false">
      <c r="B1007" s="60" t="s">
        <v>1206</v>
      </c>
      <c r="C1007" s="60" t="n">
        <v>5</v>
      </c>
      <c r="D1007" s="60" t="s">
        <v>295</v>
      </c>
      <c r="E1007" s="60" t="s">
        <v>1206</v>
      </c>
    </row>
    <row r="1008" customFormat="false" ht="15" hidden="false" customHeight="false" outlineLevel="0" collapsed="false">
      <c r="B1008" s="60" t="s">
        <v>1209</v>
      </c>
      <c r="C1008" s="60" t="n">
        <v>5</v>
      </c>
      <c r="D1008" s="60" t="s">
        <v>295</v>
      </c>
      <c r="E1008" s="60" t="s">
        <v>1209</v>
      </c>
    </row>
    <row r="1009" customFormat="false" ht="15" hidden="false" customHeight="false" outlineLevel="0" collapsed="false">
      <c r="B1009" s="60" t="s">
        <v>1366</v>
      </c>
      <c r="C1009" s="60" t="n">
        <v>5</v>
      </c>
      <c r="D1009" s="60" t="s">
        <v>295</v>
      </c>
      <c r="E1009" s="60" t="s">
        <v>1366</v>
      </c>
    </row>
    <row r="1010" customFormat="false" ht="15" hidden="false" customHeight="false" outlineLevel="0" collapsed="false">
      <c r="B1010" s="60" t="s">
        <v>1376</v>
      </c>
      <c r="C1010" s="60" t="n">
        <v>5</v>
      </c>
      <c r="D1010" s="60" t="s">
        <v>295</v>
      </c>
      <c r="E1010" s="60" t="s">
        <v>1376</v>
      </c>
    </row>
    <row r="1011" customFormat="false" ht="15" hidden="false" customHeight="false" outlineLevel="0" collapsed="false">
      <c r="B1011" s="60" t="s">
        <v>1685</v>
      </c>
      <c r="C1011" s="60" t="n">
        <v>6</v>
      </c>
      <c r="D1011" s="60" t="s">
        <v>295</v>
      </c>
      <c r="E1011" s="60" t="s">
        <v>1685</v>
      </c>
    </row>
    <row r="1012" customFormat="false" ht="15" hidden="false" customHeight="false" outlineLevel="0" collapsed="false">
      <c r="B1012" s="60" t="s">
        <v>1694</v>
      </c>
      <c r="C1012" s="60" t="n">
        <v>6</v>
      </c>
      <c r="D1012" s="60" t="s">
        <v>295</v>
      </c>
      <c r="E1012" s="60" t="s">
        <v>1694</v>
      </c>
    </row>
    <row r="1013" customFormat="false" ht="15" hidden="false" customHeight="false" outlineLevel="0" collapsed="false">
      <c r="B1013" s="60" t="s">
        <v>1699</v>
      </c>
      <c r="C1013" s="60" t="n">
        <v>6</v>
      </c>
      <c r="D1013" s="60" t="s">
        <v>295</v>
      </c>
      <c r="E1013" s="60" t="s">
        <v>1699</v>
      </c>
    </row>
    <row r="1014" customFormat="false" ht="15" hidden="false" customHeight="false" outlineLevel="0" collapsed="false">
      <c r="B1014" s="60" t="s">
        <v>1707</v>
      </c>
      <c r="C1014" s="60" t="n">
        <v>6</v>
      </c>
      <c r="D1014" s="60" t="s">
        <v>295</v>
      </c>
      <c r="E1014" s="60" t="s">
        <v>1707</v>
      </c>
    </row>
    <row r="1015" customFormat="false" ht="15" hidden="false" customHeight="false" outlineLevel="0" collapsed="false">
      <c r="B1015" s="60" t="s">
        <v>1711</v>
      </c>
      <c r="C1015" s="60" t="n">
        <v>6</v>
      </c>
      <c r="D1015" s="60" t="s">
        <v>295</v>
      </c>
      <c r="E1015" s="60" t="s">
        <v>1711</v>
      </c>
    </row>
    <row r="1016" customFormat="false" ht="15" hidden="false" customHeight="false" outlineLevel="0" collapsed="false">
      <c r="B1016" s="60" t="s">
        <v>1875</v>
      </c>
      <c r="C1016" s="60" t="n">
        <v>6</v>
      </c>
      <c r="D1016" s="60" t="s">
        <v>295</v>
      </c>
      <c r="E1016" s="60" t="s">
        <v>1875</v>
      </c>
    </row>
    <row r="1017" customFormat="false" ht="15" hidden="false" customHeight="false" outlineLevel="0" collapsed="false">
      <c r="B1017" s="60" t="s">
        <v>1879</v>
      </c>
      <c r="C1017" s="60" t="n">
        <v>6</v>
      </c>
      <c r="D1017" s="60" t="s">
        <v>295</v>
      </c>
      <c r="E1017" s="60" t="s">
        <v>1879</v>
      </c>
    </row>
    <row r="1018" customFormat="false" ht="15" hidden="false" customHeight="false" outlineLevel="0" collapsed="false">
      <c r="B1018" s="60" t="s">
        <v>1882</v>
      </c>
      <c r="C1018" s="60" t="n">
        <v>6</v>
      </c>
      <c r="D1018" s="60" t="s">
        <v>295</v>
      </c>
      <c r="E1018" s="60" t="s">
        <v>1882</v>
      </c>
    </row>
    <row r="1019" customFormat="false" ht="15" hidden="false" customHeight="false" outlineLevel="0" collapsed="false">
      <c r="B1019" s="60" t="s">
        <v>1944</v>
      </c>
      <c r="C1019" s="60" t="n">
        <v>6</v>
      </c>
      <c r="D1019" s="60" t="s">
        <v>295</v>
      </c>
      <c r="E1019" s="60" t="s">
        <v>1944</v>
      </c>
    </row>
    <row r="1020" customFormat="false" ht="15" hidden="false" customHeight="false" outlineLevel="0" collapsed="false">
      <c r="B1020" s="60" t="s">
        <v>2078</v>
      </c>
      <c r="C1020" s="60" t="n">
        <v>6</v>
      </c>
      <c r="D1020" s="60" t="s">
        <v>295</v>
      </c>
      <c r="E1020" s="60" t="s">
        <v>2078</v>
      </c>
    </row>
    <row r="1021" customFormat="false" ht="15" hidden="false" customHeight="false" outlineLevel="0" collapsed="false">
      <c r="B1021" s="60" t="s">
        <v>2159</v>
      </c>
      <c r="C1021" s="60" t="n">
        <v>6</v>
      </c>
      <c r="D1021" s="60" t="s">
        <v>295</v>
      </c>
      <c r="E1021" s="60" t="s">
        <v>2159</v>
      </c>
    </row>
    <row r="1022" customFormat="false" ht="15" hidden="false" customHeight="false" outlineLevel="0" collapsed="false">
      <c r="B1022" s="60" t="s">
        <v>2163</v>
      </c>
      <c r="C1022" s="60" t="n">
        <v>6</v>
      </c>
      <c r="D1022" s="60" t="s">
        <v>295</v>
      </c>
      <c r="E1022" s="60" t="s">
        <v>2163</v>
      </c>
    </row>
    <row r="1023" customFormat="false" ht="15" hidden="false" customHeight="false" outlineLevel="0" collapsed="false">
      <c r="B1023" s="60" t="s">
        <v>2463</v>
      </c>
      <c r="C1023" s="60" t="n">
        <v>7</v>
      </c>
      <c r="D1023" s="60" t="s">
        <v>295</v>
      </c>
      <c r="E1023" s="60" t="s">
        <v>2463</v>
      </c>
    </row>
    <row r="1024" customFormat="false" ht="15" hidden="false" customHeight="false" outlineLevel="0" collapsed="false">
      <c r="B1024" s="60" t="s">
        <v>2466</v>
      </c>
      <c r="C1024" s="60" t="n">
        <v>7</v>
      </c>
      <c r="D1024" s="60" t="s">
        <v>295</v>
      </c>
      <c r="E1024" s="60" t="s">
        <v>2466</v>
      </c>
    </row>
    <row r="1025" customFormat="false" ht="15" hidden="false" customHeight="false" outlineLevel="0" collapsed="false">
      <c r="B1025" s="60" t="s">
        <v>2478</v>
      </c>
      <c r="C1025" s="60" t="n">
        <v>7</v>
      </c>
      <c r="D1025" s="60" t="s">
        <v>295</v>
      </c>
      <c r="E1025" s="60" t="s">
        <v>2478</v>
      </c>
    </row>
    <row r="1026" customFormat="false" ht="15" hidden="false" customHeight="false" outlineLevel="0" collapsed="false">
      <c r="B1026" s="60" t="s">
        <v>2482</v>
      </c>
      <c r="C1026" s="60" t="n">
        <v>7</v>
      </c>
      <c r="D1026" s="60" t="s">
        <v>295</v>
      </c>
      <c r="E1026" s="60" t="s">
        <v>2482</v>
      </c>
    </row>
    <row r="1027" customFormat="false" ht="15" hidden="false" customHeight="false" outlineLevel="0" collapsed="false">
      <c r="B1027" s="60" t="s">
        <v>2486</v>
      </c>
      <c r="C1027" s="60" t="n">
        <v>7</v>
      </c>
      <c r="D1027" s="60" t="s">
        <v>295</v>
      </c>
      <c r="E1027" s="60" t="s">
        <v>2486</v>
      </c>
    </row>
    <row r="1028" customFormat="false" ht="15" hidden="false" customHeight="false" outlineLevel="0" collapsed="false">
      <c r="B1028" s="60" t="s">
        <v>2516</v>
      </c>
      <c r="C1028" s="60" t="n">
        <v>7</v>
      </c>
      <c r="D1028" s="60" t="s">
        <v>295</v>
      </c>
      <c r="E1028" s="60" t="s">
        <v>2516</v>
      </c>
    </row>
    <row r="1029" customFormat="false" ht="15" hidden="false" customHeight="false" outlineLevel="0" collapsed="false">
      <c r="B1029" s="60" t="s">
        <v>2609</v>
      </c>
      <c r="C1029" s="60" t="n">
        <v>7</v>
      </c>
      <c r="D1029" s="60" t="s">
        <v>295</v>
      </c>
      <c r="E1029" s="60" t="s">
        <v>2609</v>
      </c>
    </row>
    <row r="1030" customFormat="false" ht="15" hidden="false" customHeight="false" outlineLevel="0" collapsed="false">
      <c r="B1030" s="60" t="s">
        <v>2613</v>
      </c>
      <c r="C1030" s="60" t="n">
        <v>7</v>
      </c>
      <c r="D1030" s="60" t="s">
        <v>295</v>
      </c>
      <c r="E1030" s="60" t="s">
        <v>2613</v>
      </c>
    </row>
    <row r="1031" customFormat="false" ht="15" hidden="false" customHeight="false" outlineLevel="0" collapsed="false">
      <c r="B1031" s="60" t="s">
        <v>2617</v>
      </c>
      <c r="C1031" s="60" t="n">
        <v>7</v>
      </c>
      <c r="D1031" s="60" t="s">
        <v>295</v>
      </c>
      <c r="E1031" s="60" t="s">
        <v>2617</v>
      </c>
    </row>
    <row r="1032" customFormat="false" ht="15" hidden="false" customHeight="false" outlineLevel="0" collapsed="false">
      <c r="B1032" s="60" t="s">
        <v>2665</v>
      </c>
      <c r="C1032" s="60" t="n">
        <v>7</v>
      </c>
      <c r="D1032" s="60" t="s">
        <v>295</v>
      </c>
      <c r="E1032" s="60" t="s">
        <v>2665</v>
      </c>
    </row>
    <row r="1033" customFormat="false" ht="15" hidden="false" customHeight="false" outlineLevel="0" collapsed="false">
      <c r="B1033" s="60" t="s">
        <v>2809</v>
      </c>
      <c r="C1033" s="60" t="n">
        <v>7</v>
      </c>
      <c r="D1033" s="60" t="s">
        <v>295</v>
      </c>
      <c r="E1033" s="60" t="s">
        <v>2809</v>
      </c>
    </row>
    <row r="1034" customFormat="false" ht="15" hidden="false" customHeight="false" outlineLevel="0" collapsed="false">
      <c r="B1034" s="60" t="s">
        <v>2813</v>
      </c>
      <c r="C1034" s="60" t="n">
        <v>7</v>
      </c>
      <c r="D1034" s="60" t="s">
        <v>295</v>
      </c>
      <c r="E1034" s="60" t="s">
        <v>2813</v>
      </c>
    </row>
    <row r="1035" customFormat="false" ht="15" hidden="false" customHeight="false" outlineLevel="0" collapsed="false">
      <c r="B1035" s="60" t="s">
        <v>2813</v>
      </c>
      <c r="C1035" s="60" t="n">
        <v>7</v>
      </c>
      <c r="D1035" s="60" t="s">
        <v>295</v>
      </c>
      <c r="E1035" s="60" t="s">
        <v>2813</v>
      </c>
    </row>
    <row r="1036" customFormat="false" ht="15" hidden="false" customHeight="false" outlineLevel="0" collapsed="false">
      <c r="B1036" s="60" t="s">
        <v>2818</v>
      </c>
      <c r="C1036" s="60" t="n">
        <v>7</v>
      </c>
      <c r="D1036" s="60" t="s">
        <v>295</v>
      </c>
      <c r="E1036" s="60" t="s">
        <v>2818</v>
      </c>
    </row>
    <row r="1037" customFormat="false" ht="15" hidden="false" customHeight="false" outlineLevel="0" collapsed="false">
      <c r="B1037" s="60" t="s">
        <v>3129</v>
      </c>
      <c r="C1037" s="60" t="n">
        <v>8</v>
      </c>
      <c r="D1037" s="60" t="s">
        <v>295</v>
      </c>
      <c r="E1037" s="60" t="s">
        <v>3129</v>
      </c>
    </row>
    <row r="1038" customFormat="false" ht="15" hidden="false" customHeight="false" outlineLevel="0" collapsed="false">
      <c r="B1038" s="60" t="s">
        <v>3136</v>
      </c>
      <c r="C1038" s="60" t="n">
        <v>8</v>
      </c>
      <c r="D1038" s="60" t="s">
        <v>295</v>
      </c>
      <c r="E1038" s="60" t="s">
        <v>3136</v>
      </c>
    </row>
    <row r="1039" customFormat="false" ht="15" hidden="false" customHeight="false" outlineLevel="0" collapsed="false">
      <c r="B1039" s="60" t="s">
        <v>3207</v>
      </c>
      <c r="C1039" s="60" t="n">
        <v>8</v>
      </c>
      <c r="D1039" s="60" t="s">
        <v>295</v>
      </c>
      <c r="E1039" s="60" t="s">
        <v>3207</v>
      </c>
    </row>
    <row r="1040" customFormat="false" ht="15" hidden="false" customHeight="false" outlineLevel="0" collapsed="false">
      <c r="B1040" s="60" t="s">
        <v>3222</v>
      </c>
      <c r="C1040" s="60" t="n">
        <v>8</v>
      </c>
      <c r="D1040" s="60" t="s">
        <v>295</v>
      </c>
      <c r="E1040" s="60" t="s">
        <v>3222</v>
      </c>
    </row>
    <row r="1041" customFormat="false" ht="15" hidden="false" customHeight="false" outlineLevel="0" collapsed="false">
      <c r="B1041" s="60" t="s">
        <v>3335</v>
      </c>
      <c r="C1041" s="60" t="n">
        <v>8</v>
      </c>
      <c r="D1041" s="60" t="s">
        <v>295</v>
      </c>
      <c r="E1041" s="60" t="s">
        <v>3335</v>
      </c>
    </row>
    <row r="1042" customFormat="false" ht="15" hidden="false" customHeight="false" outlineLevel="0" collapsed="false">
      <c r="B1042" s="60" t="s">
        <v>3549</v>
      </c>
      <c r="C1042" s="60" t="n">
        <v>9</v>
      </c>
      <c r="D1042" s="60" t="s">
        <v>295</v>
      </c>
      <c r="E1042" s="60" t="s">
        <v>3549</v>
      </c>
    </row>
    <row r="1043" customFormat="false" ht="15" hidden="false" customHeight="false" outlineLevel="0" collapsed="false">
      <c r="B1043" s="60" t="s">
        <v>1082</v>
      </c>
      <c r="C1043" s="60" t="n">
        <v>5</v>
      </c>
      <c r="D1043" s="60" t="s">
        <v>4022</v>
      </c>
      <c r="E1043" s="60" t="s">
        <v>1082</v>
      </c>
    </row>
    <row r="1044" customFormat="false" ht="15" hidden="false" customHeight="false" outlineLevel="0" collapsed="false">
      <c r="B1044" s="60" t="s">
        <v>1805</v>
      </c>
      <c r="C1044" s="60" t="n">
        <v>6</v>
      </c>
      <c r="D1044" s="60" t="s">
        <v>4022</v>
      </c>
      <c r="E1044" s="60" t="s">
        <v>1805</v>
      </c>
    </row>
    <row r="1045" customFormat="false" ht="15" hidden="false" customHeight="false" outlineLevel="0" collapsed="false">
      <c r="B1045" s="60" t="s">
        <v>2528</v>
      </c>
      <c r="C1045" s="60" t="n">
        <v>7</v>
      </c>
      <c r="D1045" s="60" t="s">
        <v>4022</v>
      </c>
      <c r="E1045" s="60" t="s">
        <v>2528</v>
      </c>
    </row>
    <row r="1046" customFormat="false" ht="15" hidden="false" customHeight="false" outlineLevel="0" collapsed="false">
      <c r="B1046" s="60" t="s">
        <v>3165</v>
      </c>
      <c r="C1046" s="60" t="n">
        <v>8</v>
      </c>
      <c r="D1046" s="60" t="s">
        <v>4022</v>
      </c>
      <c r="E1046" s="60" t="s">
        <v>3165</v>
      </c>
    </row>
    <row r="1047" customFormat="false" ht="15" hidden="false" customHeight="false" outlineLevel="0" collapsed="false">
      <c r="B1047" s="60" t="s">
        <v>3516</v>
      </c>
      <c r="C1047" s="60" t="n">
        <v>9</v>
      </c>
      <c r="D1047" s="60" t="s">
        <v>4022</v>
      </c>
      <c r="E1047" s="60" t="s">
        <v>3516</v>
      </c>
    </row>
    <row r="1048" customFormat="false" ht="15" hidden="false" customHeight="false" outlineLevel="0" collapsed="false">
      <c r="B1048" s="60" t="s">
        <v>414</v>
      </c>
      <c r="C1048" s="60" t="n">
        <v>3</v>
      </c>
      <c r="D1048" s="60" t="s">
        <v>415</v>
      </c>
      <c r="E1048" s="60" t="s">
        <v>414</v>
      </c>
    </row>
    <row r="1049" customFormat="false" ht="15" hidden="false" customHeight="false" outlineLevel="0" collapsed="false">
      <c r="B1049" s="60" t="s">
        <v>876</v>
      </c>
      <c r="C1049" s="60" t="n">
        <v>4</v>
      </c>
      <c r="D1049" s="60" t="s">
        <v>415</v>
      </c>
      <c r="E1049" s="60" t="s">
        <v>876</v>
      </c>
    </row>
    <row r="1050" customFormat="false" ht="15" hidden="false" customHeight="false" outlineLevel="0" collapsed="false">
      <c r="B1050" s="60" t="s">
        <v>1554</v>
      </c>
      <c r="C1050" s="60" t="n">
        <v>5</v>
      </c>
      <c r="D1050" s="60" t="s">
        <v>415</v>
      </c>
      <c r="E1050" s="60" t="s">
        <v>1554</v>
      </c>
    </row>
    <row r="1051" customFormat="false" ht="15" hidden="false" customHeight="false" outlineLevel="0" collapsed="false">
      <c r="B1051" s="60" t="s">
        <v>2298</v>
      </c>
      <c r="C1051" s="60" t="n">
        <v>6</v>
      </c>
      <c r="D1051" s="60" t="s">
        <v>415</v>
      </c>
      <c r="E1051" s="60" t="s">
        <v>2298</v>
      </c>
    </row>
    <row r="1052" customFormat="false" ht="15" hidden="false" customHeight="false" outlineLevel="0" collapsed="false">
      <c r="B1052" s="60" t="s">
        <v>3003</v>
      </c>
      <c r="C1052" s="60" t="n">
        <v>7</v>
      </c>
      <c r="D1052" s="60" t="s">
        <v>415</v>
      </c>
      <c r="E1052" s="60" t="s">
        <v>3003</v>
      </c>
    </row>
    <row r="1053" customFormat="false" ht="15" hidden="false" customHeight="false" outlineLevel="0" collapsed="false">
      <c r="B1053" s="60" t="s">
        <v>3007</v>
      </c>
      <c r="C1053" s="60" t="n">
        <v>7</v>
      </c>
      <c r="D1053" s="60" t="s">
        <v>415</v>
      </c>
      <c r="E1053" s="60" t="s">
        <v>3007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M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2578125" defaultRowHeight="15" customHeight="false" zeroHeight="false" outlineLevelRow="0" outlineLevelCol="0"/>
  <cols>
    <col collapsed="false" customWidth="true" hidden="false" outlineLevel="0" max="2" min="2" style="68" width="15.29"/>
    <col collapsed="false" customWidth="true" hidden="false" outlineLevel="0" max="28" min="3" style="68" width="10.85"/>
    <col collapsed="false" customWidth="true" hidden="false" outlineLevel="0" max="31" min="31" style="47" width="38.29"/>
    <col collapsed="false" customWidth="true" hidden="false" outlineLevel="0" max="33" min="33" style="47" width="19.29"/>
  </cols>
  <sheetData>
    <row r="2" customFormat="false" ht="40" hidden="false" customHeight="false" outlineLevel="0" collapsed="false">
      <c r="B2" s="69" t="s">
        <v>203</v>
      </c>
      <c r="C2" s="69" t="s">
        <v>536</v>
      </c>
      <c r="D2" s="69" t="s">
        <v>168</v>
      </c>
      <c r="E2" s="69" t="s">
        <v>226</v>
      </c>
      <c r="F2" s="69" t="s">
        <v>39</v>
      </c>
      <c r="G2" s="69" t="s">
        <v>449</v>
      </c>
      <c r="H2" s="69" t="s">
        <v>83</v>
      </c>
      <c r="I2" s="69" t="s">
        <v>15</v>
      </c>
      <c r="J2" s="69" t="s">
        <v>63</v>
      </c>
      <c r="K2" s="69" t="s">
        <v>180</v>
      </c>
      <c r="L2" s="69" t="s">
        <v>1342</v>
      </c>
      <c r="M2" s="69" t="s">
        <v>273</v>
      </c>
      <c r="N2" s="69" t="s">
        <v>89</v>
      </c>
      <c r="O2" s="69" t="s">
        <v>142</v>
      </c>
      <c r="P2" s="69" t="s">
        <v>69</v>
      </c>
      <c r="Q2" s="69" t="s">
        <v>4021</v>
      </c>
      <c r="R2" s="69" t="s">
        <v>185</v>
      </c>
      <c r="S2" s="69" t="s">
        <v>441</v>
      </c>
      <c r="T2" s="69" t="s">
        <v>79</v>
      </c>
      <c r="U2" s="69" t="s">
        <v>3801</v>
      </c>
      <c r="V2" s="69" t="s">
        <v>117</v>
      </c>
      <c r="W2" s="69" t="s">
        <v>541</v>
      </c>
      <c r="X2" s="69" t="s">
        <v>55</v>
      </c>
      <c r="Y2" s="69" t="s">
        <v>47</v>
      </c>
      <c r="Z2" s="69" t="s">
        <v>295</v>
      </c>
      <c r="AA2" s="69" t="s">
        <v>4022</v>
      </c>
      <c r="AB2" s="69" t="s">
        <v>415</v>
      </c>
      <c r="AJ2" s="70" t="s">
        <v>4023</v>
      </c>
      <c r="AK2" s="70" t="s">
        <v>4024</v>
      </c>
      <c r="AL2" s="70" t="s">
        <v>4025</v>
      </c>
      <c r="AM2" s="70" t="s">
        <v>4018</v>
      </c>
    </row>
    <row r="3" customFormat="false" ht="40" hidden="false" customHeight="false" outlineLevel="0" collapsed="false">
      <c r="B3" s="68" t="s">
        <v>202</v>
      </c>
      <c r="C3" s="68" t="s">
        <v>535</v>
      </c>
      <c r="D3" s="68" t="s">
        <v>154</v>
      </c>
      <c r="E3" s="68" t="s">
        <v>225</v>
      </c>
      <c r="F3" s="68" t="s">
        <v>38</v>
      </c>
      <c r="G3" s="68" t="s">
        <v>448</v>
      </c>
      <c r="H3" s="68" t="s">
        <v>82</v>
      </c>
      <c r="I3" s="68" t="s">
        <v>14</v>
      </c>
      <c r="J3" s="68" t="s">
        <v>62</v>
      </c>
      <c r="K3" s="68" t="s">
        <v>179</v>
      </c>
      <c r="L3" s="68" t="s">
        <v>1341</v>
      </c>
      <c r="M3" s="68" t="s">
        <v>272</v>
      </c>
      <c r="N3" s="68" t="s">
        <v>88</v>
      </c>
      <c r="O3" s="68" t="s">
        <v>141</v>
      </c>
      <c r="P3" s="68" t="s">
        <v>68</v>
      </c>
      <c r="Q3" s="68" t="s">
        <v>914</v>
      </c>
      <c r="R3" s="68" t="s">
        <v>184</v>
      </c>
      <c r="S3" s="68" t="s">
        <v>229</v>
      </c>
      <c r="T3" s="68" t="s">
        <v>78</v>
      </c>
      <c r="U3" s="68" t="s">
        <v>3800</v>
      </c>
      <c r="V3" s="68" t="s">
        <v>116</v>
      </c>
      <c r="W3" s="68" t="s">
        <v>540</v>
      </c>
      <c r="X3" s="68" t="s">
        <v>52</v>
      </c>
      <c r="Y3" s="68" t="s">
        <v>46</v>
      </c>
      <c r="Z3" s="68" t="s">
        <v>112</v>
      </c>
      <c r="AA3" s="68" t="s">
        <v>1082</v>
      </c>
      <c r="AB3" s="68" t="s">
        <v>414</v>
      </c>
      <c r="AE3" s="55" t="s">
        <v>203</v>
      </c>
      <c r="AF3" s="55" t="s">
        <v>4026</v>
      </c>
      <c r="AG3" s="55" t="str">
        <f aca="false">"CATALOGO!$"&amp;AF3&amp;"$3:$"&amp;AF3&amp;"$155"</f>
        <v>CATALOGO!$B$3:$B$155</v>
      </c>
      <c r="AJ3" s="71" t="n">
        <v>25</v>
      </c>
      <c r="AK3" s="72" t="s">
        <v>4027</v>
      </c>
      <c r="AL3" s="73"/>
      <c r="AM3" s="73" t="str">
        <f aca="false">IF(AK3="","",AK3)&amp;IF(OR(AL3="",AK3=""),""," / ")&amp;AL3</f>
        <v>Presidente Global</v>
      </c>
    </row>
    <row r="4" customFormat="false" ht="49.5" hidden="false" customHeight="false" outlineLevel="0" collapsed="false">
      <c r="B4" s="68" t="s">
        <v>338</v>
      </c>
      <c r="C4" s="68" t="s">
        <v>1809</v>
      </c>
      <c r="D4" s="68" t="s">
        <v>160</v>
      </c>
      <c r="E4" s="68" t="s">
        <v>421</v>
      </c>
      <c r="F4" s="68" t="s">
        <v>58</v>
      </c>
      <c r="G4" s="68" t="s">
        <v>599</v>
      </c>
      <c r="H4" s="68" t="s">
        <v>308</v>
      </c>
      <c r="I4" s="68" t="s">
        <v>25</v>
      </c>
      <c r="J4" s="68" t="s">
        <v>93</v>
      </c>
      <c r="K4" s="68" t="s">
        <v>250</v>
      </c>
      <c r="L4" s="68" t="s">
        <v>1608</v>
      </c>
      <c r="M4" s="68" t="s">
        <v>319</v>
      </c>
      <c r="N4" s="68" t="s">
        <v>189</v>
      </c>
      <c r="O4" s="68" t="s">
        <v>206</v>
      </c>
      <c r="P4" s="68" t="s">
        <v>68</v>
      </c>
      <c r="Q4" s="68" t="s">
        <v>963</v>
      </c>
      <c r="R4" s="68" t="s">
        <v>312</v>
      </c>
      <c r="S4" s="68" t="s">
        <v>454</v>
      </c>
      <c r="T4" s="68" t="s">
        <v>299</v>
      </c>
      <c r="U4" s="68" t="s">
        <v>3812</v>
      </c>
      <c r="V4" s="68" t="s">
        <v>122</v>
      </c>
      <c r="W4" s="68" t="s">
        <v>546</v>
      </c>
      <c r="X4" s="68" t="s">
        <v>171</v>
      </c>
      <c r="Y4" s="68" t="s">
        <v>105</v>
      </c>
      <c r="Z4" s="68" t="s">
        <v>263</v>
      </c>
      <c r="AA4" s="68" t="s">
        <v>1805</v>
      </c>
      <c r="AB4" s="68" t="s">
        <v>876</v>
      </c>
      <c r="AE4" s="55" t="s">
        <v>536</v>
      </c>
      <c r="AF4" s="55" t="s">
        <v>4028</v>
      </c>
      <c r="AG4" s="55" t="str">
        <f aca="false">"CATALOGO!$"&amp;AF4&amp;"$3:$"&amp;AF4&amp;"$155"</f>
        <v>CATALOGO!$C$3:$C$155</v>
      </c>
      <c r="AJ4" s="71" t="n">
        <v>24</v>
      </c>
      <c r="AK4" s="72" t="s">
        <v>4029</v>
      </c>
      <c r="AL4" s="73"/>
      <c r="AM4" s="73" t="str">
        <f aca="false">IF(AK4="","",AK4)&amp;IF(OR(AL4="",AK4=""),""," / ")&amp;AL4</f>
        <v>Presidente Regional</v>
      </c>
    </row>
    <row r="5" customFormat="false" ht="59" hidden="false" customHeight="false" outlineLevel="0" collapsed="false">
      <c r="B5" s="68" t="s">
        <v>494</v>
      </c>
      <c r="C5" s="68" t="s">
        <v>1813</v>
      </c>
      <c r="D5" s="68" t="s">
        <v>167</v>
      </c>
      <c r="E5" s="68" t="s">
        <v>1426</v>
      </c>
      <c r="F5" s="68" t="s">
        <v>126</v>
      </c>
      <c r="G5" s="68" t="s">
        <v>795</v>
      </c>
      <c r="H5" s="68" t="s">
        <v>473</v>
      </c>
      <c r="I5" s="68" t="s">
        <v>31</v>
      </c>
      <c r="J5" s="68" t="s">
        <v>109</v>
      </c>
      <c r="K5" s="68" t="s">
        <v>269</v>
      </c>
      <c r="L5" s="68" t="s">
        <v>1633</v>
      </c>
      <c r="M5" s="68" t="s">
        <v>373</v>
      </c>
      <c r="N5" s="68" t="s">
        <v>255</v>
      </c>
      <c r="O5" s="68" t="s">
        <v>390</v>
      </c>
      <c r="P5" s="68" t="s">
        <v>97</v>
      </c>
      <c r="Q5" s="68" t="s">
        <v>1642</v>
      </c>
      <c r="R5" s="68" t="s">
        <v>401</v>
      </c>
      <c r="S5" s="68" t="s">
        <v>458</v>
      </c>
      <c r="T5" s="68" t="s">
        <v>1216</v>
      </c>
      <c r="U5" s="68" t="s">
        <v>3817</v>
      </c>
      <c r="V5" s="68" t="s">
        <v>209</v>
      </c>
      <c r="W5" s="68" t="s">
        <v>549</v>
      </c>
      <c r="X5" s="68" t="s">
        <v>504</v>
      </c>
      <c r="Y5" s="68" t="s">
        <v>146</v>
      </c>
      <c r="Z5" s="68" t="s">
        <v>344</v>
      </c>
      <c r="AA5" s="68" t="s">
        <v>2528</v>
      </c>
      <c r="AB5" s="68" t="s">
        <v>1554</v>
      </c>
      <c r="AE5" s="55" t="s">
        <v>168</v>
      </c>
      <c r="AF5" s="55" t="s">
        <v>4030</v>
      </c>
      <c r="AG5" s="55" t="str">
        <f aca="false">"CATALOGO!$"&amp;AF5&amp;"$3:$"&amp;AF5&amp;"$155"</f>
        <v>CATALOGO!$D$3:$D$155</v>
      </c>
      <c r="AJ5" s="71" t="n">
        <v>23</v>
      </c>
      <c r="AK5" s="72" t="s">
        <v>4031</v>
      </c>
      <c r="AL5" s="73"/>
      <c r="AM5" s="73" t="str">
        <f aca="false">IF(AK5="","",AK5)&amp;IF(OR(AL5="",AK5=""),""," / ")&amp;AL5</f>
        <v>Presidente Pais</v>
      </c>
    </row>
    <row r="6" customFormat="false" ht="49.5" hidden="false" customHeight="false" outlineLevel="0" collapsed="false">
      <c r="B6" s="68" t="s">
        <v>530</v>
      </c>
      <c r="C6" s="68" t="s">
        <v>2053</v>
      </c>
      <c r="D6" s="68" t="s">
        <v>898</v>
      </c>
      <c r="E6" s="68" t="s">
        <v>1558</v>
      </c>
      <c r="F6" s="68" t="s">
        <v>130</v>
      </c>
      <c r="G6" s="68" t="s">
        <v>959</v>
      </c>
      <c r="H6" s="68" t="s">
        <v>1234</v>
      </c>
      <c r="I6" s="68" t="s">
        <v>35</v>
      </c>
      <c r="J6" s="68" t="s">
        <v>133</v>
      </c>
      <c r="K6" s="68" t="s">
        <v>425</v>
      </c>
      <c r="L6" s="68" t="s">
        <v>2043</v>
      </c>
      <c r="M6" s="68" t="s">
        <v>1283</v>
      </c>
      <c r="N6" s="68" t="s">
        <v>316</v>
      </c>
      <c r="O6" s="68" t="s">
        <v>394</v>
      </c>
      <c r="P6" s="68" t="s">
        <v>102</v>
      </c>
      <c r="Q6" s="68" t="s">
        <v>2367</v>
      </c>
      <c r="R6" s="68" t="s">
        <v>586</v>
      </c>
      <c r="S6" s="68" t="s">
        <v>440</v>
      </c>
      <c r="T6" s="68" t="s">
        <v>2669</v>
      </c>
      <c r="U6" s="68" t="s">
        <v>3820</v>
      </c>
      <c r="V6" s="68" t="s">
        <v>213</v>
      </c>
      <c r="W6" s="68" t="s">
        <v>1088</v>
      </c>
      <c r="X6" s="68" t="s">
        <v>509</v>
      </c>
      <c r="Y6" s="68" t="s">
        <v>150</v>
      </c>
      <c r="Z6" s="68" t="s">
        <v>294</v>
      </c>
      <c r="AA6" s="68" t="s">
        <v>3165</v>
      </c>
      <c r="AB6" s="68" t="s">
        <v>2298</v>
      </c>
      <c r="AE6" s="55" t="s">
        <v>226</v>
      </c>
      <c r="AF6" s="55" t="s">
        <v>4032</v>
      </c>
      <c r="AG6" s="55" t="str">
        <f aca="false">"CATALOGO!$"&amp;AF6&amp;"$3:$"&amp;AF6&amp;"$155"</f>
        <v>CATALOGO!$E$3:$E$155</v>
      </c>
      <c r="AJ6" s="71" t="n">
        <v>22</v>
      </c>
      <c r="AK6" s="72" t="s">
        <v>4033</v>
      </c>
      <c r="AL6" s="73"/>
      <c r="AM6" s="73" t="str">
        <f aca="false">IF(AK6="","",AK6)&amp;IF(OR(AL6="",AK6=""),""," / ")&amp;AL6</f>
        <v> Vicepresidente  / Director Región  / Presidente  País</v>
      </c>
    </row>
    <row r="7" customFormat="false" ht="44.5" hidden="false" customHeight="false" outlineLevel="0" collapsed="false">
      <c r="B7" s="68" t="s">
        <v>595</v>
      </c>
      <c r="C7" s="68" t="s">
        <v>2059</v>
      </c>
      <c r="D7" s="68" t="s">
        <v>910</v>
      </c>
      <c r="E7" s="68" t="s">
        <v>2302</v>
      </c>
      <c r="F7" s="68" t="s">
        <v>176</v>
      </c>
      <c r="G7" s="68" t="s">
        <v>1227</v>
      </c>
      <c r="H7" s="68" t="s">
        <v>1660</v>
      </c>
      <c r="I7" s="68" t="s">
        <v>75</v>
      </c>
      <c r="J7" s="68" t="s">
        <v>198</v>
      </c>
      <c r="K7" s="68" t="s">
        <v>763</v>
      </c>
      <c r="L7" s="68" t="s">
        <v>2047</v>
      </c>
      <c r="M7" s="68" t="s">
        <v>1900</v>
      </c>
      <c r="N7" s="68" t="s">
        <v>682</v>
      </c>
      <c r="O7" s="68" t="s">
        <v>560</v>
      </c>
      <c r="P7" s="68" t="s">
        <v>193</v>
      </c>
      <c r="Q7" s="68" t="s">
        <v>3057</v>
      </c>
      <c r="R7" s="68" t="s">
        <v>652</v>
      </c>
      <c r="S7" s="68" t="s">
        <v>1618</v>
      </c>
      <c r="T7" s="68" t="s">
        <v>3226</v>
      </c>
      <c r="U7" s="68" t="s">
        <v>3823</v>
      </c>
      <c r="V7" s="68" t="s">
        <v>361</v>
      </c>
      <c r="W7" s="68" t="s">
        <v>1092</v>
      </c>
      <c r="X7" s="68" t="s">
        <v>499</v>
      </c>
      <c r="Y7" s="68" t="s">
        <v>163</v>
      </c>
      <c r="Z7" s="68" t="s">
        <v>489</v>
      </c>
      <c r="AA7" s="68" t="s">
        <v>3516</v>
      </c>
      <c r="AB7" s="68" t="s">
        <v>3003</v>
      </c>
      <c r="AE7" s="55" t="s">
        <v>39</v>
      </c>
      <c r="AF7" s="55" t="s">
        <v>4034</v>
      </c>
      <c r="AG7" s="55" t="str">
        <f aca="false">"CATALOGO!$"&amp;AF7&amp;"$3:$"&amp;AF7&amp;"$155"</f>
        <v>CATALOGO!$F$3:$F$155</v>
      </c>
      <c r="AJ7" s="71" t="n">
        <v>21</v>
      </c>
      <c r="AK7" s="72" t="s">
        <v>4033</v>
      </c>
      <c r="AL7" s="73"/>
      <c r="AM7" s="73" t="str">
        <f aca="false">IF(AK7="","",AK7)&amp;IF(OR(AL7="",AK7=""),""," / ")&amp;AL7</f>
        <v> Vicepresidente  / Director Región  / Presidente  País</v>
      </c>
    </row>
    <row r="8" customFormat="false" ht="44.5" hidden="false" customHeight="false" outlineLevel="0" collapsed="false">
      <c r="B8" s="68" t="s">
        <v>632</v>
      </c>
      <c r="C8" s="68" t="s">
        <v>2062</v>
      </c>
      <c r="D8" s="68" t="s">
        <v>919</v>
      </c>
      <c r="E8" s="68" t="s">
        <v>2306</v>
      </c>
      <c r="F8" s="68" t="s">
        <v>240</v>
      </c>
      <c r="G8" s="68" t="s">
        <v>1308</v>
      </c>
      <c r="H8" s="68" t="s">
        <v>1664</v>
      </c>
      <c r="I8" s="68" t="s">
        <v>137</v>
      </c>
      <c r="J8" s="68" t="s">
        <v>259</v>
      </c>
      <c r="K8" s="68" t="s">
        <v>819</v>
      </c>
      <c r="L8" s="68" t="s">
        <v>2050</v>
      </c>
      <c r="M8" s="68" t="s">
        <v>1905</v>
      </c>
      <c r="N8" s="68" t="s">
        <v>685</v>
      </c>
      <c r="O8" s="68" t="s">
        <v>604</v>
      </c>
      <c r="P8" s="68" t="s">
        <v>279</v>
      </c>
      <c r="Q8" s="68" t="s">
        <v>3068</v>
      </c>
      <c r="R8" s="68" t="s">
        <v>672</v>
      </c>
      <c r="S8" s="68" t="s">
        <v>1522</v>
      </c>
      <c r="U8" s="68" t="s">
        <v>3827</v>
      </c>
      <c r="V8" s="68" t="s">
        <v>365</v>
      </c>
      <c r="W8" s="68" t="s">
        <v>1095</v>
      </c>
      <c r="X8" s="68" t="s">
        <v>1024</v>
      </c>
      <c r="Y8" s="68" t="s">
        <v>220</v>
      </c>
      <c r="Z8" s="68" t="s">
        <v>516</v>
      </c>
      <c r="AB8" s="68" t="s">
        <v>3007</v>
      </c>
      <c r="AE8" s="55" t="s">
        <v>449</v>
      </c>
      <c r="AF8" s="55" t="s">
        <v>4035</v>
      </c>
      <c r="AG8" s="55" t="str">
        <f aca="false">"CATALOGO!$"&amp;AF8&amp;"$3:$"&amp;AF8&amp;"$155"</f>
        <v>CATALOGO!$G$3:$G$155</v>
      </c>
      <c r="AJ8" s="71" t="n">
        <v>20</v>
      </c>
      <c r="AK8" s="72" t="s">
        <v>4033</v>
      </c>
      <c r="AL8" s="73"/>
      <c r="AM8" s="73" t="str">
        <f aca="false">IF(AK8="","",AK8)&amp;IF(OR(AL8="",AK8=""),""," / ")&amp;AL8</f>
        <v> Vicepresidente  / Director Región  / Presidente  País</v>
      </c>
    </row>
    <row r="9" customFormat="false" ht="44.5" hidden="false" customHeight="false" outlineLevel="0" collapsed="false">
      <c r="B9" s="68" t="s">
        <v>698</v>
      </c>
      <c r="C9" s="68" t="s">
        <v>2065</v>
      </c>
      <c r="D9" s="68" t="s">
        <v>923</v>
      </c>
      <c r="E9" s="68" t="s">
        <v>2826</v>
      </c>
      <c r="F9" s="68" t="s">
        <v>245</v>
      </c>
      <c r="G9" s="68" t="s">
        <v>1320</v>
      </c>
      <c r="H9" s="68" t="s">
        <v>1667</v>
      </c>
      <c r="I9" s="68" t="s">
        <v>217</v>
      </c>
      <c r="J9" s="68" t="s">
        <v>323</v>
      </c>
      <c r="K9" s="68" t="s">
        <v>829</v>
      </c>
      <c r="L9" s="68" t="s">
        <v>2364</v>
      </c>
      <c r="M9" s="68" t="s">
        <v>2148</v>
      </c>
      <c r="N9" s="68" t="s">
        <v>1267</v>
      </c>
      <c r="O9" s="68" t="s">
        <v>620</v>
      </c>
      <c r="P9" s="68" t="s">
        <v>283</v>
      </c>
      <c r="Q9" s="68" t="s">
        <v>3072</v>
      </c>
      <c r="R9" s="68" t="s">
        <v>675</v>
      </c>
      <c r="S9" s="68" t="s">
        <v>1528</v>
      </c>
      <c r="U9" s="68" t="s">
        <v>3830</v>
      </c>
      <c r="V9" s="68" t="s">
        <v>663</v>
      </c>
      <c r="W9" s="68" t="s">
        <v>1098</v>
      </c>
      <c r="X9" s="68" t="s">
        <v>1029</v>
      </c>
      <c r="Y9" s="68" t="s">
        <v>163</v>
      </c>
      <c r="Z9" s="68" t="s">
        <v>522</v>
      </c>
      <c r="AE9" s="55" t="s">
        <v>83</v>
      </c>
      <c r="AF9" s="55" t="s">
        <v>4036</v>
      </c>
      <c r="AG9" s="55" t="str">
        <f aca="false">"CATALOGO!$"&amp;AF9&amp;"$3:$"&amp;AF9&amp;"$155"</f>
        <v>CATALOGO!$H$3:$H$155</v>
      </c>
      <c r="AJ9" s="71" t="n">
        <v>19</v>
      </c>
      <c r="AK9" s="72" t="s">
        <v>4037</v>
      </c>
      <c r="AL9" s="73"/>
      <c r="AM9" s="73" t="str">
        <f aca="false">IF(AK9="","",AK9)&amp;IF(OR(AL9="",AK9=""),""," / ")&amp;AL9</f>
        <v>Gerente / Gerente Región / Gerente País / Gerente Unidad de Negocio</v>
      </c>
    </row>
    <row r="10" customFormat="false" ht="61.5" hidden="false" customHeight="false" outlineLevel="0" collapsed="false">
      <c r="B10" s="68" t="s">
        <v>702</v>
      </c>
      <c r="C10" s="68" t="s">
        <v>2068</v>
      </c>
      <c r="D10" s="68" t="s">
        <v>926</v>
      </c>
      <c r="E10" s="68" t="s">
        <v>3403</v>
      </c>
      <c r="F10" s="68" t="s">
        <v>378</v>
      </c>
      <c r="G10" s="68" t="s">
        <v>1977</v>
      </c>
      <c r="H10" s="68" t="s">
        <v>1670</v>
      </c>
      <c r="I10" s="68" t="s">
        <v>334</v>
      </c>
      <c r="J10" s="68" t="s">
        <v>341</v>
      </c>
      <c r="K10" s="68" t="s">
        <v>1056</v>
      </c>
      <c r="L10" s="68" t="s">
        <v>1608</v>
      </c>
      <c r="M10" s="68" t="s">
        <v>2719</v>
      </c>
      <c r="N10" s="68" t="s">
        <v>2014</v>
      </c>
      <c r="O10" s="68" t="s">
        <v>668</v>
      </c>
      <c r="P10" s="68" t="s">
        <v>288</v>
      </c>
      <c r="Q10" s="68" t="s">
        <v>3076</v>
      </c>
      <c r="R10" s="68" t="s">
        <v>1158</v>
      </c>
      <c r="S10" s="68" t="s">
        <v>2230</v>
      </c>
      <c r="U10" s="68" t="s">
        <v>3833</v>
      </c>
      <c r="V10" s="68" t="s">
        <v>734</v>
      </c>
      <c r="W10" s="68" t="s">
        <v>1104</v>
      </c>
      <c r="X10" s="68" t="s">
        <v>1033</v>
      </c>
      <c r="Y10" s="68" t="s">
        <v>236</v>
      </c>
      <c r="Z10" s="68" t="s">
        <v>569</v>
      </c>
      <c r="AE10" s="55" t="s">
        <v>15</v>
      </c>
      <c r="AF10" s="55" t="s">
        <v>4038</v>
      </c>
      <c r="AG10" s="55" t="str">
        <f aca="false">"CATALOGO!$"&amp;AF10&amp;"$3:$"&amp;AF10&amp;"$155"</f>
        <v>CATALOGO!$I$3:$I$155</v>
      </c>
      <c r="AJ10" s="71" t="n">
        <v>18</v>
      </c>
      <c r="AK10" s="72" t="s">
        <v>4037</v>
      </c>
      <c r="AL10" s="73" t="s">
        <v>4039</v>
      </c>
      <c r="AM10" s="73" t="str">
        <f aca="false">IF(AK10="","",AK10)&amp;IF(OR(AL10="",AK10=""),""," / ")&amp;AL10</f>
        <v>Gerente / Gerente Región / Gerente País / Gerente Unidad de Negocio / Gerente de Cuenta</v>
      </c>
    </row>
    <row r="11" customFormat="false" ht="61.5" hidden="false" customHeight="false" outlineLevel="0" collapsed="false">
      <c r="B11" s="68" t="s">
        <v>1020</v>
      </c>
      <c r="C11" s="68" t="s">
        <v>2533</v>
      </c>
      <c r="D11" s="68" t="s">
        <v>929</v>
      </c>
      <c r="E11" s="68" t="s">
        <v>3670</v>
      </c>
      <c r="F11" s="68" t="s">
        <v>406</v>
      </c>
      <c r="G11" s="68" t="s">
        <v>1981</v>
      </c>
      <c r="H11" s="68" t="s">
        <v>1674</v>
      </c>
      <c r="I11" s="68" t="s">
        <v>386</v>
      </c>
      <c r="J11" s="68" t="s">
        <v>382</v>
      </c>
      <c r="K11" s="68" t="s">
        <v>1068</v>
      </c>
      <c r="L11" s="68" t="s">
        <v>2399</v>
      </c>
      <c r="M11" s="68" t="s">
        <v>2025</v>
      </c>
      <c r="N11" s="68" t="s">
        <v>2310</v>
      </c>
      <c r="O11" s="68" t="s">
        <v>688</v>
      </c>
      <c r="P11" s="68" t="s">
        <v>327</v>
      </c>
      <c r="Q11" s="68" t="s">
        <v>3080</v>
      </c>
      <c r="R11" s="68" t="s">
        <v>1231</v>
      </c>
      <c r="S11" s="68" t="s">
        <v>1522</v>
      </c>
      <c r="U11" s="68" t="s">
        <v>3852</v>
      </c>
      <c r="V11" s="68" t="s">
        <v>738</v>
      </c>
      <c r="W11" s="68" t="s">
        <v>1107</v>
      </c>
      <c r="X11" s="68" t="s">
        <v>1037</v>
      </c>
      <c r="Y11" s="68" t="s">
        <v>303</v>
      </c>
      <c r="Z11" s="68" t="s">
        <v>590</v>
      </c>
      <c r="AE11" s="55" t="s">
        <v>63</v>
      </c>
      <c r="AF11" s="55" t="s">
        <v>4040</v>
      </c>
      <c r="AG11" s="55" t="str">
        <f aca="false">"CATALOGO!$"&amp;AF11&amp;"$3:$"&amp;AF11&amp;"$155"</f>
        <v>CATALOGO!$J$3:$J$155</v>
      </c>
      <c r="AJ11" s="71" t="n">
        <v>17</v>
      </c>
      <c r="AK11" s="72" t="s">
        <v>4037</v>
      </c>
      <c r="AL11" s="73" t="s">
        <v>4039</v>
      </c>
      <c r="AM11" s="73" t="str">
        <f aca="false">IF(AK11="","",AK11)&amp;IF(OR(AL11="",AK11=""),""," / ")&amp;AL11</f>
        <v>Gerente / Gerente Región / Gerente País / Gerente Unidad de Negocio / Gerente de Cuenta</v>
      </c>
    </row>
    <row r="12" customFormat="false" ht="61.5" hidden="false" customHeight="false" outlineLevel="0" collapsed="false">
      <c r="B12" s="68" t="s">
        <v>1170</v>
      </c>
      <c r="C12" s="68" t="s">
        <v>2537</v>
      </c>
      <c r="D12" s="68" t="s">
        <v>932</v>
      </c>
      <c r="E12" s="68" t="s">
        <v>3756</v>
      </c>
      <c r="F12" s="68" t="s">
        <v>435</v>
      </c>
      <c r="G12" s="68" t="s">
        <v>2179</v>
      </c>
      <c r="H12" s="68" t="s">
        <v>2430</v>
      </c>
      <c r="I12" s="68" t="s">
        <v>1348</v>
      </c>
      <c r="J12" s="68" t="s">
        <v>477</v>
      </c>
      <c r="K12" s="68" t="s">
        <v>1148</v>
      </c>
      <c r="L12" s="68" t="s">
        <v>2402</v>
      </c>
      <c r="N12" s="68" t="s">
        <v>3249</v>
      </c>
      <c r="O12" s="68" t="s">
        <v>712</v>
      </c>
      <c r="P12" s="68" t="s">
        <v>331</v>
      </c>
      <c r="Q12" s="68" t="s">
        <v>3438</v>
      </c>
      <c r="R12" s="68" t="s">
        <v>1238</v>
      </c>
      <c r="S12" s="68" t="s">
        <v>2370</v>
      </c>
      <c r="U12" s="68" t="s">
        <v>3857</v>
      </c>
      <c r="V12" s="68" t="s">
        <v>742</v>
      </c>
      <c r="W12" s="68" t="s">
        <v>1111</v>
      </c>
      <c r="X12" s="68" t="s">
        <v>1436</v>
      </c>
      <c r="Y12" s="68" t="s">
        <v>347</v>
      </c>
      <c r="Z12" s="68" t="s">
        <v>717</v>
      </c>
      <c r="AE12" s="55" t="s">
        <v>180</v>
      </c>
      <c r="AF12" s="55" t="s">
        <v>4041</v>
      </c>
      <c r="AG12" s="55" t="str">
        <f aca="false">"CATALOGO!$"&amp;AF12&amp;"$3:$"&amp;AF12&amp;"$155"</f>
        <v>CATALOGO!$K$3:$K$155</v>
      </c>
      <c r="AJ12" s="71" t="n">
        <v>16</v>
      </c>
      <c r="AK12" s="72" t="s">
        <v>4037</v>
      </c>
      <c r="AL12" s="73" t="s">
        <v>4039</v>
      </c>
      <c r="AM12" s="73" t="str">
        <f aca="false">IF(AK12="","",AK12)&amp;IF(OR(AL12="",AK12=""),""," / ")&amp;AL12</f>
        <v>Gerente / Gerente Región / Gerente País / Gerente Unidad de Negocio / Gerente de Cuenta</v>
      </c>
    </row>
    <row r="13" customFormat="false" ht="44.5" hidden="false" customHeight="false" outlineLevel="0" collapsed="false">
      <c r="B13" s="68" t="s">
        <v>1178</v>
      </c>
      <c r="C13" s="68" t="s">
        <v>2540</v>
      </c>
      <c r="D13" s="68" t="s">
        <v>936</v>
      </c>
      <c r="F13" s="68" t="s">
        <v>469</v>
      </c>
      <c r="G13" s="68" t="s">
        <v>2183</v>
      </c>
      <c r="H13" s="68" t="s">
        <v>2435</v>
      </c>
      <c r="I13" s="68" t="s">
        <v>1471</v>
      </c>
      <c r="J13" s="68" t="s">
        <v>610</v>
      </c>
      <c r="K13" s="68" t="s">
        <v>1403</v>
      </c>
      <c r="L13" s="68" t="s">
        <v>2745</v>
      </c>
      <c r="O13" s="68" t="s">
        <v>767</v>
      </c>
      <c r="P13" s="68" t="s">
        <v>431</v>
      </c>
      <c r="Q13" s="68" t="s">
        <v>3443</v>
      </c>
      <c r="R13" s="68" t="s">
        <v>1249</v>
      </c>
      <c r="S13" s="68" t="s">
        <v>2380</v>
      </c>
      <c r="U13" s="68" t="s">
        <v>3860</v>
      </c>
      <c r="V13" s="68" t="s">
        <v>746</v>
      </c>
      <c r="W13" s="68" t="s">
        <v>1114</v>
      </c>
      <c r="X13" s="68" t="s">
        <v>1451</v>
      </c>
      <c r="Y13" s="68" t="s">
        <v>353</v>
      </c>
      <c r="Z13" s="68" t="s">
        <v>720</v>
      </c>
      <c r="AE13" s="55" t="s">
        <v>1342</v>
      </c>
      <c r="AF13" s="55" t="s">
        <v>4042</v>
      </c>
      <c r="AG13" s="55" t="str">
        <f aca="false">"CATALOGO!$"&amp;AF13&amp;"$3:$"&amp;AF13&amp;"$155"</f>
        <v>CATALOGO!$L$3:$L$155</v>
      </c>
      <c r="AJ13" s="71" t="n">
        <v>15</v>
      </c>
      <c r="AK13" s="72" t="s">
        <v>4043</v>
      </c>
      <c r="AL13" s="72" t="s">
        <v>4044</v>
      </c>
      <c r="AM13" s="73" t="str">
        <f aca="false">IF(AK13="","",AK13)&amp;IF(OR(AL13="",AK13=""),""," / ")&amp;AL13</f>
        <v>Director / Jefe / Especialista Sr / Ingeniero / Ejecutivo de Cuenta</v>
      </c>
    </row>
    <row r="14" customFormat="false" ht="59" hidden="false" customHeight="false" outlineLevel="0" collapsed="false">
      <c r="B14" s="68" t="s">
        <v>1202</v>
      </c>
      <c r="C14" s="68" t="s">
        <v>2756</v>
      </c>
      <c r="D14" s="68" t="s">
        <v>939</v>
      </c>
      <c r="F14" s="68" t="s">
        <v>513</v>
      </c>
      <c r="G14" s="68" t="s">
        <v>2376</v>
      </c>
      <c r="H14" s="68" t="s">
        <v>2438</v>
      </c>
      <c r="I14" s="68" t="s">
        <v>1562</v>
      </c>
      <c r="J14" s="68" t="s">
        <v>614</v>
      </c>
      <c r="K14" s="68" t="s">
        <v>1479</v>
      </c>
      <c r="L14" s="68" t="s">
        <v>2749</v>
      </c>
      <c r="O14" s="68" t="s">
        <v>825</v>
      </c>
      <c r="P14" s="68" t="s">
        <v>525</v>
      </c>
      <c r="Q14" s="68" t="s">
        <v>3775</v>
      </c>
      <c r="R14" s="68" t="s">
        <v>1286</v>
      </c>
      <c r="S14" s="68" t="s">
        <v>2388</v>
      </c>
      <c r="U14" s="68" t="s">
        <v>3864</v>
      </c>
      <c r="V14" s="68" t="s">
        <v>751</v>
      </c>
      <c r="W14" s="68" t="s">
        <v>1118</v>
      </c>
      <c r="X14" s="68" t="s">
        <v>1466</v>
      </c>
      <c r="Y14" s="68" t="s">
        <v>358</v>
      </c>
      <c r="Z14" s="68" t="s">
        <v>773</v>
      </c>
      <c r="AE14" s="55" t="s">
        <v>273</v>
      </c>
      <c r="AF14" s="55" t="s">
        <v>4045</v>
      </c>
      <c r="AG14" s="55" t="str">
        <f aca="false">"CATALOGO!$"&amp;AF14&amp;"$3:$"&amp;AF14&amp;"$155"</f>
        <v>CATALOGO!$M$3:$M$155</v>
      </c>
      <c r="AJ14" s="71" t="n">
        <v>14</v>
      </c>
      <c r="AK14" s="72" t="s">
        <v>4043</v>
      </c>
      <c r="AL14" s="72" t="s">
        <v>4044</v>
      </c>
      <c r="AM14" s="73" t="str">
        <f aca="false">IF(AK14="","",AK14)&amp;IF(OR(AL14="",AK14=""),""," / ")&amp;AL14</f>
        <v>Director / Jefe / Especialista Sr / Ingeniero / Ejecutivo de Cuenta</v>
      </c>
    </row>
    <row r="15" customFormat="false" ht="49.5" hidden="false" customHeight="false" outlineLevel="0" collapsed="false">
      <c r="B15" s="68" t="s">
        <v>1332</v>
      </c>
      <c r="C15" s="68" t="s">
        <v>2760</v>
      </c>
      <c r="D15" s="68" t="s">
        <v>942</v>
      </c>
      <c r="F15" s="68" t="s">
        <v>566</v>
      </c>
      <c r="G15" s="68" t="s">
        <v>3258</v>
      </c>
      <c r="H15" s="68" t="s">
        <v>2689</v>
      </c>
      <c r="I15" s="68" t="s">
        <v>1565</v>
      </c>
      <c r="J15" s="68" t="s">
        <v>624</v>
      </c>
      <c r="K15" s="68" t="s">
        <v>1487</v>
      </c>
      <c r="L15" s="68" t="s">
        <v>2139</v>
      </c>
      <c r="O15" s="68" t="s">
        <v>833</v>
      </c>
      <c r="P15" s="68" t="s">
        <v>678</v>
      </c>
      <c r="Q15" s="68" t="s">
        <v>3779</v>
      </c>
      <c r="R15" s="68" t="s">
        <v>1290</v>
      </c>
      <c r="S15" s="68" t="s">
        <v>2392</v>
      </c>
      <c r="U15" s="68" t="s">
        <v>3867</v>
      </c>
      <c r="V15" s="68" t="s">
        <v>755</v>
      </c>
      <c r="W15" s="68" t="s">
        <v>1122</v>
      </c>
      <c r="X15" s="68" t="s">
        <v>1539</v>
      </c>
      <c r="Y15" s="68" t="s">
        <v>369</v>
      </c>
      <c r="Z15" s="68" t="s">
        <v>997</v>
      </c>
      <c r="AE15" s="55" t="s">
        <v>89</v>
      </c>
      <c r="AF15" s="55" t="s">
        <v>4046</v>
      </c>
      <c r="AG15" s="55" t="str">
        <f aca="false">"CATALOGO!$"&amp;AF15&amp;"$3:$"&amp;AF15&amp;"$155"</f>
        <v>CATALOGO!$N$3:$N$155</v>
      </c>
      <c r="AJ15" s="71" t="n">
        <v>13</v>
      </c>
      <c r="AK15" s="72" t="s">
        <v>4043</v>
      </c>
      <c r="AL15" s="72" t="s">
        <v>4044</v>
      </c>
      <c r="AM15" s="73" t="str">
        <f aca="false">IF(AK15="","",AK15)&amp;IF(OR(AL15="",AK15=""),""," / ")&amp;AL15</f>
        <v>Director / Jefe / Especialista Sr / Ingeniero / Ejecutivo de Cuenta</v>
      </c>
    </row>
    <row r="16" customFormat="false" ht="49.5" hidden="false" customHeight="false" outlineLevel="0" collapsed="false">
      <c r="B16" s="68" t="s">
        <v>1352</v>
      </c>
      <c r="C16" s="68" t="s">
        <v>2763</v>
      </c>
      <c r="D16" s="68" t="s">
        <v>949</v>
      </c>
      <c r="F16" s="68" t="s">
        <v>866</v>
      </c>
      <c r="G16" s="68" t="s">
        <v>3350</v>
      </c>
      <c r="H16" s="68" t="s">
        <v>3118</v>
      </c>
      <c r="I16" s="68" t="s">
        <v>2871</v>
      </c>
      <c r="J16" s="68" t="s">
        <v>629</v>
      </c>
      <c r="K16" s="68" t="s">
        <v>1542</v>
      </c>
      <c r="L16" s="68" t="s">
        <v>3083</v>
      </c>
      <c r="O16" s="68" t="s">
        <v>837</v>
      </c>
      <c r="P16" s="68" t="s">
        <v>880</v>
      </c>
      <c r="Q16" s="68" t="s">
        <v>3787</v>
      </c>
      <c r="R16" s="68" t="s">
        <v>1294</v>
      </c>
      <c r="S16" s="68" t="s">
        <v>2395</v>
      </c>
      <c r="U16" s="68" t="s">
        <v>3870</v>
      </c>
      <c r="V16" s="68" t="s">
        <v>758</v>
      </c>
      <c r="W16" s="68" t="s">
        <v>1816</v>
      </c>
      <c r="X16" s="68" t="s">
        <v>1596</v>
      </c>
      <c r="Y16" s="68" t="s">
        <v>397</v>
      </c>
      <c r="Z16" s="68" t="s">
        <v>1017</v>
      </c>
      <c r="AE16" s="55" t="s">
        <v>142</v>
      </c>
      <c r="AF16" s="55" t="s">
        <v>4047</v>
      </c>
      <c r="AG16" s="55" t="str">
        <f aca="false">"CATALOGO!$"&amp;AF16&amp;"$3:$"&amp;AF16&amp;"$155"</f>
        <v>CATALOGO!$O$3:$O$155</v>
      </c>
      <c r="AJ16" s="71" t="n">
        <v>12</v>
      </c>
      <c r="AK16" s="72" t="s">
        <v>4043</v>
      </c>
      <c r="AL16" s="72" t="s">
        <v>4048</v>
      </c>
      <c r="AM16" s="73" t="str">
        <f aca="false">IF(AK16="","",AK16)&amp;IF(OR(AL16="",AK16=""),""," / ")&amp;AL16</f>
        <v>Director / Jefe / Especialista / Ingeniero / Ejecutivo de Cuenta</v>
      </c>
    </row>
    <row r="17" customFormat="false" ht="44.5" hidden="false" customHeight="false" outlineLevel="0" collapsed="false">
      <c r="B17" s="68" t="s">
        <v>1356</v>
      </c>
      <c r="C17" s="68" t="s">
        <v>3262</v>
      </c>
      <c r="D17" s="68" t="s">
        <v>1622</v>
      </c>
      <c r="F17" s="68" t="s">
        <v>463</v>
      </c>
      <c r="G17" s="68" t="s">
        <v>3355</v>
      </c>
      <c r="H17" s="68" t="s">
        <v>3121</v>
      </c>
      <c r="I17" s="68" t="s">
        <v>3012</v>
      </c>
      <c r="J17" s="68" t="s">
        <v>705</v>
      </c>
      <c r="K17" s="68" t="s">
        <v>1569</v>
      </c>
      <c r="L17" s="68" t="s">
        <v>3087</v>
      </c>
      <c r="O17" s="68" t="s">
        <v>1137</v>
      </c>
      <c r="P17" s="68" t="s">
        <v>884</v>
      </c>
      <c r="R17" s="68" t="s">
        <v>2139</v>
      </c>
      <c r="S17" s="68" t="s">
        <v>2208</v>
      </c>
      <c r="U17" s="68" t="s">
        <v>3873</v>
      </c>
      <c r="V17" s="68" t="s">
        <v>760</v>
      </c>
      <c r="W17" s="68" t="s">
        <v>1819</v>
      </c>
      <c r="X17" s="68" t="s">
        <v>1041</v>
      </c>
      <c r="Y17" s="68" t="s">
        <v>410</v>
      </c>
      <c r="Z17" s="68" t="s">
        <v>1064</v>
      </c>
      <c r="AE17" s="55" t="s">
        <v>69</v>
      </c>
      <c r="AF17" s="55" t="s">
        <v>4049</v>
      </c>
      <c r="AG17" s="55" t="str">
        <f aca="false">"CATALOGO!$"&amp;AF17&amp;"$3:$"&amp;AF17&amp;"$155"</f>
        <v>CATALOGO!$P$3:$P$155</v>
      </c>
      <c r="AJ17" s="71" t="n">
        <v>11</v>
      </c>
      <c r="AK17" s="72" t="s">
        <v>4050</v>
      </c>
      <c r="AL17" s="72" t="s">
        <v>4048</v>
      </c>
      <c r="AM17" s="73" t="str">
        <f aca="false">IF(AK17="","",AK17)&amp;IF(OR(AL17="",AK17=""),""," / ")&amp;AL17</f>
        <v>Coordinador / Especialista / Ingeniero / Ejecutivo de Cuenta</v>
      </c>
    </row>
    <row r="18" customFormat="false" ht="49.5" hidden="false" customHeight="false" outlineLevel="0" collapsed="false">
      <c r="B18" s="68" t="s">
        <v>1407</v>
      </c>
      <c r="C18" s="68" t="s">
        <v>3267</v>
      </c>
      <c r="D18" s="68" t="s">
        <v>1630</v>
      </c>
      <c r="F18" s="68" t="s">
        <v>966</v>
      </c>
      <c r="G18" s="68" t="s">
        <v>3561</v>
      </c>
      <c r="H18" s="68" t="s">
        <v>3455</v>
      </c>
      <c r="I18" s="68" t="s">
        <v>3018</v>
      </c>
      <c r="J18" s="68" t="s">
        <v>723</v>
      </c>
      <c r="K18" s="68" t="s">
        <v>1589</v>
      </c>
      <c r="L18" s="68" t="s">
        <v>3274</v>
      </c>
      <c r="O18" s="68" t="s">
        <v>1304</v>
      </c>
      <c r="P18" s="68" t="s">
        <v>888</v>
      </c>
      <c r="R18" s="68" t="s">
        <v>2598</v>
      </c>
      <c r="S18" s="68" t="s">
        <v>2212</v>
      </c>
      <c r="U18" s="68" t="s">
        <v>3877</v>
      </c>
      <c r="V18" s="68" t="s">
        <v>843</v>
      </c>
      <c r="W18" s="68" t="s">
        <v>1822</v>
      </c>
      <c r="X18" s="68" t="s">
        <v>1045</v>
      </c>
      <c r="Y18" s="68" t="s">
        <v>482</v>
      </c>
      <c r="Z18" s="68" t="s">
        <v>1141</v>
      </c>
      <c r="AE18" s="55" t="s">
        <v>4021</v>
      </c>
      <c r="AF18" s="55" t="s">
        <v>4051</v>
      </c>
      <c r="AG18" s="55" t="str">
        <f aca="false">"CATALOGO!$"&amp;AF18&amp;"$3:$"&amp;AF18&amp;"$155"</f>
        <v>CATALOGO!$Q$3:$Q$155</v>
      </c>
      <c r="AJ18" s="71" t="n">
        <v>10</v>
      </c>
      <c r="AK18" s="72" t="s">
        <v>4050</v>
      </c>
      <c r="AL18" s="72" t="s">
        <v>4048</v>
      </c>
      <c r="AM18" s="73" t="str">
        <f aca="false">IF(AK18="","",AK18)&amp;IF(OR(AL18="",AK18=""),""," / ")&amp;AL18</f>
        <v>Coordinador / Especialista / Ingeniero / Ejecutivo de Cuenta</v>
      </c>
    </row>
    <row r="19" customFormat="false" ht="44.5" hidden="false" customHeight="false" outlineLevel="0" collapsed="false">
      <c r="B19" s="68" t="s">
        <v>1715</v>
      </c>
      <c r="C19" s="68" t="s">
        <v>3271</v>
      </c>
      <c r="D19" s="68" t="s">
        <v>1645</v>
      </c>
      <c r="F19" s="68" t="s">
        <v>971</v>
      </c>
      <c r="G19" s="68" t="s">
        <v>3564</v>
      </c>
      <c r="H19" s="68" t="s">
        <v>3459</v>
      </c>
      <c r="I19" s="68" t="s">
        <v>3367</v>
      </c>
      <c r="J19" s="68" t="s">
        <v>777</v>
      </c>
      <c r="K19" s="68" t="s">
        <v>1594</v>
      </c>
      <c r="L19" s="68" t="s">
        <v>3277</v>
      </c>
      <c r="O19" s="68" t="s">
        <v>1369</v>
      </c>
      <c r="P19" s="68" t="s">
        <v>891</v>
      </c>
      <c r="R19" s="68" t="s">
        <v>2602</v>
      </c>
      <c r="S19" s="68" t="s">
        <v>2215</v>
      </c>
      <c r="U19" s="68" t="s">
        <v>3880</v>
      </c>
      <c r="V19" s="68" t="s">
        <v>847</v>
      </c>
      <c r="W19" s="68" t="s">
        <v>1826</v>
      </c>
      <c r="X19" s="68" t="s">
        <v>1049</v>
      </c>
      <c r="Y19" s="68" t="s">
        <v>486</v>
      </c>
      <c r="Z19" s="68" t="s">
        <v>1145</v>
      </c>
      <c r="AE19" s="55" t="s">
        <v>185</v>
      </c>
      <c r="AF19" s="55" t="s">
        <v>4052</v>
      </c>
      <c r="AG19" s="55" t="str">
        <f aca="false">"CATALOGO!$"&amp;AF19&amp;"$3:$"&amp;AF19&amp;"$155"</f>
        <v>CATALOGO!$R$3:$R$155</v>
      </c>
      <c r="AJ19" s="71" t="n">
        <v>9</v>
      </c>
      <c r="AK19" s="72" t="s">
        <v>4050</v>
      </c>
      <c r="AL19" s="72" t="s">
        <v>4053</v>
      </c>
      <c r="AM19" s="73" t="str">
        <f aca="false">IF(AK19="","",AK19)&amp;IF(OR(AL19="",AK19=""),""," / ")&amp;AL19</f>
        <v>Coordinador / Analista Sr / Ingeniero / Asesor Comercial</v>
      </c>
    </row>
    <row r="20" customFormat="false" ht="70" hidden="false" customHeight="false" outlineLevel="0" collapsed="false">
      <c r="B20" s="68" t="s">
        <v>1793</v>
      </c>
      <c r="C20" s="68" t="s">
        <v>3837</v>
      </c>
      <c r="D20" s="68" t="s">
        <v>2325</v>
      </c>
      <c r="F20" s="68" t="s">
        <v>975</v>
      </c>
      <c r="G20" s="68" t="s">
        <v>3697</v>
      </c>
      <c r="H20" s="68" t="s">
        <v>3464</v>
      </c>
      <c r="J20" s="68" t="s">
        <v>790</v>
      </c>
      <c r="K20" s="68" t="s">
        <v>1781</v>
      </c>
      <c r="L20" s="68" t="s">
        <v>3281</v>
      </c>
      <c r="O20" s="68" t="s">
        <v>1413</v>
      </c>
      <c r="P20" s="68" t="s">
        <v>1074</v>
      </c>
      <c r="R20" s="68" t="s">
        <v>2606</v>
      </c>
      <c r="S20" s="68" t="s">
        <v>2218</v>
      </c>
      <c r="U20" s="68" t="s">
        <v>3883</v>
      </c>
      <c r="V20" s="68" t="s">
        <v>851</v>
      </c>
      <c r="W20" s="68" t="s">
        <v>1830</v>
      </c>
      <c r="X20" s="68" t="s">
        <v>1535</v>
      </c>
      <c r="Y20" s="68" t="s">
        <v>553</v>
      </c>
      <c r="Z20" s="68" t="s">
        <v>1162</v>
      </c>
      <c r="AE20" s="55" t="s">
        <v>441</v>
      </c>
      <c r="AF20" s="55" t="s">
        <v>4054</v>
      </c>
      <c r="AG20" s="55" t="str">
        <f aca="false">"CATALOGO!$"&amp;AF20&amp;"$3:$"&amp;AF20&amp;"$155"</f>
        <v>CATALOGO!$S$3:$S$155</v>
      </c>
      <c r="AJ20" s="71" t="n">
        <v>8</v>
      </c>
      <c r="AK20" s="72" t="s">
        <v>4055</v>
      </c>
      <c r="AL20" s="72" t="s">
        <v>4056</v>
      </c>
      <c r="AM20" s="73" t="str">
        <f aca="false">IF(AK20="","",AK20)&amp;IF(OR(AL20="",AK20=""),""," / ")&amp;AL20</f>
        <v>Supervisor / Analista Sr / Técnico / Operario Especializado / Ingeniero / Asesor Comercial</v>
      </c>
    </row>
    <row r="21" customFormat="false" ht="70" hidden="false" customHeight="false" outlineLevel="0" collapsed="false">
      <c r="B21" s="68" t="s">
        <v>1797</v>
      </c>
      <c r="C21" s="68" t="s">
        <v>3840</v>
      </c>
      <c r="D21" s="68" t="s">
        <v>2328</v>
      </c>
      <c r="F21" s="68" t="s">
        <v>993</v>
      </c>
      <c r="G21" s="68" t="s">
        <v>3478</v>
      </c>
      <c r="H21" s="68" t="s">
        <v>3570</v>
      </c>
      <c r="J21" s="68" t="s">
        <v>804</v>
      </c>
      <c r="K21" s="68" t="s">
        <v>1785</v>
      </c>
      <c r="L21" s="68" t="s">
        <v>3284</v>
      </c>
      <c r="O21" s="68" t="s">
        <v>1416</v>
      </c>
      <c r="P21" s="68" t="s">
        <v>1078</v>
      </c>
      <c r="R21" s="68" t="s">
        <v>2693</v>
      </c>
      <c r="S21" s="68" t="s">
        <v>2222</v>
      </c>
      <c r="U21" s="68" t="s">
        <v>3886</v>
      </c>
      <c r="V21" s="68" t="s">
        <v>902</v>
      </c>
      <c r="W21" s="68" t="s">
        <v>1833</v>
      </c>
      <c r="X21" s="68" t="s">
        <v>1689</v>
      </c>
      <c r="Y21" s="68" t="s">
        <v>557</v>
      </c>
      <c r="Z21" s="68" t="s">
        <v>1166</v>
      </c>
      <c r="AE21" s="55" t="s">
        <v>79</v>
      </c>
      <c r="AF21" s="55" t="s">
        <v>4057</v>
      </c>
      <c r="AG21" s="55" t="str">
        <f aca="false">"CATALOGO!$"&amp;AF21&amp;"$3:$"&amp;AF21&amp;"$155"</f>
        <v>CATALOGO!$T$3:$T$155</v>
      </c>
      <c r="AJ21" s="71" t="n">
        <v>7</v>
      </c>
      <c r="AK21" s="72" t="s">
        <v>4055</v>
      </c>
      <c r="AL21" s="72" t="s">
        <v>4058</v>
      </c>
      <c r="AM21" s="73" t="str">
        <f aca="false">IF(AK21="","",AK21)&amp;IF(OR(AL21="",AK21=""),""," / ")&amp;AL21</f>
        <v>Supervisor / Analista / Técnico / Operario Especializado / Ingeniero / Asesor Comercial</v>
      </c>
    </row>
    <row r="22" customFormat="false" ht="61.5" hidden="false" customHeight="false" outlineLevel="0" collapsed="false">
      <c r="B22" s="68" t="s">
        <v>1801</v>
      </c>
      <c r="C22" s="68" t="s">
        <v>3843</v>
      </c>
      <c r="D22" s="68" t="s">
        <v>2332</v>
      </c>
      <c r="F22" s="68" t="s">
        <v>1053</v>
      </c>
      <c r="G22" s="68" t="s">
        <v>3807</v>
      </c>
      <c r="J22" s="68" t="s">
        <v>809</v>
      </c>
      <c r="K22" s="68" t="s">
        <v>1984</v>
      </c>
      <c r="L22" s="68" t="s">
        <v>3287</v>
      </c>
      <c r="O22" s="68" t="s">
        <v>1420</v>
      </c>
      <c r="P22" s="68" t="s">
        <v>1174</v>
      </c>
      <c r="R22" s="68" t="s">
        <v>2705</v>
      </c>
      <c r="S22" s="68" t="s">
        <v>2226</v>
      </c>
      <c r="U22" s="68" t="s">
        <v>3906</v>
      </c>
      <c r="V22" s="68" t="s">
        <v>1252</v>
      </c>
      <c r="W22" s="68" t="s">
        <v>1837</v>
      </c>
      <c r="X22" s="68" t="s">
        <v>1718</v>
      </c>
      <c r="Y22" s="68" t="s">
        <v>572</v>
      </c>
      <c r="Z22" s="68" t="s">
        <v>1206</v>
      </c>
      <c r="AE22" s="55" t="s">
        <v>3801</v>
      </c>
      <c r="AF22" s="55" t="s">
        <v>4059</v>
      </c>
      <c r="AG22" s="55" t="str">
        <f aca="false">"CATALOGO!$"&amp;AF22&amp;"$3:$"&amp;AF22&amp;"$155"</f>
        <v>CATALOGO!$U$3:$U$155</v>
      </c>
      <c r="AJ22" s="71" t="n">
        <v>6</v>
      </c>
      <c r="AK22" s="72" t="s">
        <v>4055</v>
      </c>
      <c r="AL22" s="72" t="s">
        <v>4060</v>
      </c>
      <c r="AM22" s="73" t="str">
        <f aca="false">IF(AK22="","",AK22)&amp;IF(OR(AL22="",AK22=""),""," / ")&amp;AL22</f>
        <v>Supervisor / Analista / Técnico / Operario Especializado / Asesor Comercial</v>
      </c>
    </row>
    <row r="23" customFormat="false" ht="49.5" hidden="false" customHeight="false" outlineLevel="0" collapsed="false">
      <c r="B23" s="68" t="s">
        <v>2084</v>
      </c>
      <c r="C23" s="68" t="s">
        <v>3846</v>
      </c>
      <c r="D23" s="68" t="s">
        <v>2337</v>
      </c>
      <c r="F23" s="68" t="s">
        <v>1475</v>
      </c>
      <c r="G23" s="68" t="s">
        <v>3889</v>
      </c>
      <c r="J23" s="68" t="s">
        <v>813</v>
      </c>
      <c r="K23" s="68" t="s">
        <v>1989</v>
      </c>
      <c r="L23" s="68" t="s">
        <v>3290</v>
      </c>
      <c r="O23" s="68" t="s">
        <v>1423</v>
      </c>
      <c r="P23" s="68" t="s">
        <v>1186</v>
      </c>
      <c r="R23" s="68" t="s">
        <v>2722</v>
      </c>
      <c r="S23" s="68" t="s">
        <v>2233</v>
      </c>
      <c r="U23" s="68" t="s">
        <v>3910</v>
      </c>
      <c r="V23" s="68" t="s">
        <v>1256</v>
      </c>
      <c r="W23" s="68" t="s">
        <v>1840</v>
      </c>
      <c r="X23" s="68" t="s">
        <v>1722</v>
      </c>
      <c r="Y23" s="68" t="s">
        <v>577</v>
      </c>
      <c r="Z23" s="68" t="s">
        <v>1209</v>
      </c>
      <c r="AE23" s="55" t="s">
        <v>117</v>
      </c>
      <c r="AF23" s="55" t="s">
        <v>4061</v>
      </c>
      <c r="AG23" s="55" t="str">
        <f aca="false">"CATALOGO!$"&amp;AF23&amp;"$3:$"&amp;AF23&amp;"$155"</f>
        <v>CATALOGO!$V$3:$V$155</v>
      </c>
      <c r="AJ23" s="71" t="n">
        <v>5</v>
      </c>
      <c r="AK23" s="73"/>
      <c r="AL23" s="72" t="s">
        <v>4062</v>
      </c>
      <c r="AM23" s="73" t="str">
        <f aca="false">IF(AK23="","",AK23)&amp;IF(OR(AL23="",AK23=""),""," / ")&amp;AL23</f>
        <v>Auxiliar/Operario III / Representante de Ventas Sr</v>
      </c>
    </row>
    <row r="24" customFormat="false" ht="49.5" hidden="false" customHeight="false" outlineLevel="0" collapsed="false">
      <c r="B24" s="68" t="s">
        <v>2088</v>
      </c>
      <c r="C24" s="68" t="s">
        <v>3849</v>
      </c>
      <c r="D24" s="68" t="s">
        <v>3033</v>
      </c>
      <c r="F24" s="68" t="s">
        <v>1518</v>
      </c>
      <c r="G24" s="68" t="s">
        <v>3927</v>
      </c>
      <c r="J24" s="68" t="s">
        <v>989</v>
      </c>
      <c r="K24" s="68" t="s">
        <v>2144</v>
      </c>
      <c r="L24" s="68" t="s">
        <v>3294</v>
      </c>
      <c r="O24" s="68" t="s">
        <v>1483</v>
      </c>
      <c r="P24" s="68" t="s">
        <v>1190</v>
      </c>
      <c r="R24" s="68" t="s">
        <v>3211</v>
      </c>
      <c r="S24" s="68" t="s">
        <v>2237</v>
      </c>
      <c r="U24" s="68" t="s">
        <v>3919</v>
      </c>
      <c r="V24" s="68" t="s">
        <v>1384</v>
      </c>
      <c r="W24" s="68" t="s">
        <v>1843</v>
      </c>
      <c r="X24" s="68" t="s">
        <v>1726</v>
      </c>
      <c r="Y24" s="68" t="s">
        <v>193</v>
      </c>
      <c r="Z24" s="68" t="s">
        <v>1366</v>
      </c>
      <c r="AE24" s="55" t="s">
        <v>541</v>
      </c>
      <c r="AF24" s="55" t="s">
        <v>4063</v>
      </c>
      <c r="AG24" s="55" t="str">
        <f aca="false">"CATALOGO!$"&amp;AF24&amp;"$3:$"&amp;AF24&amp;"$155"</f>
        <v>CATALOGO!$W$3:$W$155</v>
      </c>
      <c r="AJ24" s="71" t="n">
        <v>4</v>
      </c>
      <c r="AK24" s="73"/>
      <c r="AL24" s="72" t="s">
        <v>4064</v>
      </c>
      <c r="AM24" s="73" t="str">
        <f aca="false">IF(AK24="","",AK24)&amp;IF(OR(AL24="",AK24=""),""," / ")&amp;AL24</f>
        <v>Auxiliar / Operario II / Representante de Ventas Sr</v>
      </c>
    </row>
    <row r="25" customFormat="false" ht="49.5" hidden="false" customHeight="false" outlineLevel="0" collapsed="false">
      <c r="B25" s="68" t="s">
        <v>2152</v>
      </c>
      <c r="C25" s="68" t="s">
        <v>3942</v>
      </c>
      <c r="D25" s="68" t="s">
        <v>3038</v>
      </c>
      <c r="F25" s="68" t="s">
        <v>1600</v>
      </c>
      <c r="G25" s="68" t="s">
        <v>3995</v>
      </c>
      <c r="J25" s="68" t="s">
        <v>1060</v>
      </c>
      <c r="K25" s="68" t="s">
        <v>2197</v>
      </c>
      <c r="L25" s="68" t="s">
        <v>3297</v>
      </c>
      <c r="O25" s="68" t="s">
        <v>1491</v>
      </c>
      <c r="P25" s="68" t="s">
        <v>1259</v>
      </c>
      <c r="R25" s="68" t="s">
        <v>3239</v>
      </c>
      <c r="S25" s="68" t="s">
        <v>2242</v>
      </c>
      <c r="U25" s="68" t="s">
        <v>3922</v>
      </c>
      <c r="V25" s="68" t="s">
        <v>1388</v>
      </c>
      <c r="W25" s="68" t="s">
        <v>1846</v>
      </c>
      <c r="X25" s="68" t="s">
        <v>1729</v>
      </c>
      <c r="Y25" s="68" t="s">
        <v>638</v>
      </c>
      <c r="Z25" s="68" t="s">
        <v>1376</v>
      </c>
      <c r="AE25" s="55" t="s">
        <v>55</v>
      </c>
      <c r="AF25" s="55" t="s">
        <v>4065</v>
      </c>
      <c r="AG25" s="55" t="str">
        <f aca="false">"CATALOGO!$"&amp;AF25&amp;"$3:$"&amp;AF25&amp;"$155"</f>
        <v>CATALOGO!$X$3:$X$155</v>
      </c>
      <c r="AJ25" s="71" t="n">
        <v>3</v>
      </c>
      <c r="AK25" s="73"/>
      <c r="AL25" s="72" t="s">
        <v>4066</v>
      </c>
      <c r="AM25" s="73" t="str">
        <f aca="false">IF(AK25="","",AK25)&amp;IF(OR(AL25="",AK25=""),""," / ")&amp;AL25</f>
        <v>Auxiliar / Operario I / Representante de Ventas Jr</v>
      </c>
    </row>
    <row r="26" customFormat="false" ht="40" hidden="false" customHeight="false" outlineLevel="0" collapsed="false">
      <c r="B26" s="68" t="s">
        <v>2543</v>
      </c>
      <c r="C26" s="68" t="s">
        <v>3945</v>
      </c>
      <c r="D26" s="68" t="s">
        <v>3416</v>
      </c>
      <c r="F26" s="68" t="s">
        <v>1652</v>
      </c>
      <c r="G26" s="68" t="s">
        <v>3998</v>
      </c>
      <c r="J26" s="68" t="s">
        <v>1134</v>
      </c>
      <c r="K26" s="68" t="s">
        <v>2310</v>
      </c>
      <c r="L26" s="68" t="s">
        <v>3301</v>
      </c>
      <c r="O26" s="68" t="s">
        <v>1495</v>
      </c>
      <c r="P26" s="68" t="s">
        <v>1263</v>
      </c>
      <c r="R26" s="68" t="s">
        <v>3542</v>
      </c>
      <c r="S26" s="68" t="s">
        <v>2245</v>
      </c>
      <c r="U26" s="68" t="s">
        <v>3924</v>
      </c>
      <c r="V26" s="68" t="s">
        <v>1394</v>
      </c>
      <c r="W26" s="68" t="s">
        <v>1851</v>
      </c>
      <c r="X26" s="68" t="s">
        <v>1732</v>
      </c>
      <c r="Y26" s="68" t="s">
        <v>643</v>
      </c>
      <c r="Z26" s="68" t="s">
        <v>1685</v>
      </c>
      <c r="AE26" s="55" t="s">
        <v>47</v>
      </c>
      <c r="AF26" s="55" t="s">
        <v>4067</v>
      </c>
      <c r="AG26" s="55" t="str">
        <f aca="false">"CATALOGO!$"&amp;AF26&amp;"$3:$"&amp;AF26&amp;"$155"</f>
        <v>CATALOGO!$Y$3:$Y$155</v>
      </c>
      <c r="AJ26" s="71" t="n">
        <v>2</v>
      </c>
      <c r="AK26" s="74"/>
      <c r="AL26" s="72" t="s">
        <v>4066</v>
      </c>
      <c r="AM26" s="73" t="str">
        <f aca="false">IF(AK26="","",AK26)&amp;IF(OR(AL26="",AK26=""),""," / ")&amp;AL26</f>
        <v>Auxiliar / Operario I / Representante de Ventas Jr</v>
      </c>
    </row>
    <row r="27" customFormat="false" ht="40" hidden="false" customHeight="false" outlineLevel="0" collapsed="false">
      <c r="B27" s="68" t="s">
        <v>2620</v>
      </c>
      <c r="C27" s="68" t="s">
        <v>3949</v>
      </c>
      <c r="D27" s="68" t="s">
        <v>3764</v>
      </c>
      <c r="F27" s="68" t="s">
        <v>1656</v>
      </c>
      <c r="J27" s="68" t="s">
        <v>1183</v>
      </c>
      <c r="K27" s="68" t="s">
        <v>2313</v>
      </c>
      <c r="L27" s="68" t="s">
        <v>3420</v>
      </c>
      <c r="O27" s="68" t="s">
        <v>1499</v>
      </c>
      <c r="P27" s="68" t="s">
        <v>1271</v>
      </c>
      <c r="R27" s="68" t="s">
        <v>3574</v>
      </c>
      <c r="S27" s="68" t="s">
        <v>2248</v>
      </c>
      <c r="U27" s="68" t="s">
        <v>3930</v>
      </c>
      <c r="V27" s="68" t="s">
        <v>1397</v>
      </c>
      <c r="W27" s="68" t="s">
        <v>1855</v>
      </c>
      <c r="X27" s="68" t="s">
        <v>1736</v>
      </c>
      <c r="Y27" s="68" t="s">
        <v>647</v>
      </c>
      <c r="Z27" s="68" t="s">
        <v>1694</v>
      </c>
      <c r="AE27" s="55" t="s">
        <v>295</v>
      </c>
      <c r="AF27" s="55" t="s">
        <v>4068</v>
      </c>
      <c r="AG27" s="55" t="str">
        <f aca="false">"CATALOGO!$"&amp;AF27&amp;"$3:$"&amp;AF27&amp;"$155"</f>
        <v>CATALOGO!$Z$3:$Z$155</v>
      </c>
      <c r="AJ27" s="71" t="n">
        <v>1</v>
      </c>
      <c r="AK27" s="74"/>
      <c r="AL27" s="75" t="s">
        <v>4069</v>
      </c>
      <c r="AM27" s="73" t="str">
        <f aca="false">IF(AK27="","",AK27)&amp;IF(OR(AL27="",AK27=""),""," / ")&amp;AL27</f>
        <v>Operario I / Ayudante</v>
      </c>
    </row>
    <row r="28" customFormat="false" ht="49.5" hidden="false" customHeight="false" outlineLevel="0" collapsed="false">
      <c r="B28" s="68" t="s">
        <v>2631</v>
      </c>
      <c r="C28" s="68" t="s">
        <v>3952</v>
      </c>
      <c r="D28" s="68" t="s">
        <v>3797</v>
      </c>
      <c r="F28" s="68" t="s">
        <v>1678</v>
      </c>
      <c r="J28" s="68" t="s">
        <v>1194</v>
      </c>
      <c r="K28" s="68" t="s">
        <v>2508</v>
      </c>
      <c r="L28" s="68" t="s">
        <v>3446</v>
      </c>
      <c r="O28" s="68" t="s">
        <v>1503</v>
      </c>
      <c r="P28" s="68" t="s">
        <v>1275</v>
      </c>
      <c r="R28" s="68" t="s">
        <v>3578</v>
      </c>
      <c r="S28" s="68" t="s">
        <v>2253</v>
      </c>
      <c r="U28" s="68" t="s">
        <v>3934</v>
      </c>
      <c r="V28" s="68" t="s">
        <v>1178</v>
      </c>
      <c r="W28" s="68" t="s">
        <v>1859</v>
      </c>
      <c r="X28" s="68" t="s">
        <v>1739</v>
      </c>
      <c r="Y28" s="68" t="s">
        <v>656</v>
      </c>
      <c r="Z28" s="68" t="s">
        <v>1699</v>
      </c>
      <c r="AE28" s="55" t="s">
        <v>4022</v>
      </c>
      <c r="AF28" s="55" t="s">
        <v>4070</v>
      </c>
      <c r="AG28" s="55" t="str">
        <f aca="false">"CATALOGO!$"&amp;AF28&amp;"$3:$"&amp;AF28&amp;"$155"</f>
        <v>CATALOGO!$AA$3:$AA$155</v>
      </c>
    </row>
    <row r="29" customFormat="false" ht="68.5" hidden="false" customHeight="false" outlineLevel="0" collapsed="false">
      <c r="B29" s="68" t="s">
        <v>2661</v>
      </c>
      <c r="C29" s="68" t="s">
        <v>3977</v>
      </c>
      <c r="F29" s="68" t="s">
        <v>1682</v>
      </c>
      <c r="J29" s="68" t="s">
        <v>1297</v>
      </c>
      <c r="K29" s="68" t="s">
        <v>2520</v>
      </c>
      <c r="L29" s="68" t="s">
        <v>3597</v>
      </c>
      <c r="O29" s="68" t="s">
        <v>1506</v>
      </c>
      <c r="P29" s="68" t="s">
        <v>1279</v>
      </c>
      <c r="S29" s="68" t="s">
        <v>2257</v>
      </c>
      <c r="U29" s="68" t="s">
        <v>3937</v>
      </c>
      <c r="V29" s="68" t="s">
        <v>2097</v>
      </c>
      <c r="W29" s="68" t="s">
        <v>1863</v>
      </c>
      <c r="X29" s="68" t="s">
        <v>1743</v>
      </c>
      <c r="Y29" s="68" t="s">
        <v>660</v>
      </c>
      <c r="Z29" s="68" t="s">
        <v>1707</v>
      </c>
      <c r="AE29" s="55" t="s">
        <v>415</v>
      </c>
      <c r="AF29" s="55" t="s">
        <v>4071</v>
      </c>
      <c r="AG29" s="55" t="str">
        <f aca="false">"CATALOGO!$"&amp;AF29&amp;"$3:$"&amp;AF29&amp;"$155"</f>
        <v>CATALOGO!$AB$3:$AB$155</v>
      </c>
    </row>
    <row r="30" customFormat="false" ht="49.5" hidden="false" customHeight="false" outlineLevel="0" collapsed="false">
      <c r="B30" s="68" t="s">
        <v>2770</v>
      </c>
      <c r="C30" s="68" t="s">
        <v>3981</v>
      </c>
      <c r="F30" s="68" t="s">
        <v>1777</v>
      </c>
      <c r="J30" s="68" t="s">
        <v>1301</v>
      </c>
      <c r="K30" s="68" t="s">
        <v>2524</v>
      </c>
      <c r="L30" s="68" t="s">
        <v>3601</v>
      </c>
      <c r="O30" s="68" t="s">
        <v>1510</v>
      </c>
      <c r="P30" s="68" t="s">
        <v>1325</v>
      </c>
      <c r="S30" s="68" t="s">
        <v>2260</v>
      </c>
      <c r="U30" s="68" t="s">
        <v>3901</v>
      </c>
      <c r="V30" s="68" t="s">
        <v>2101</v>
      </c>
      <c r="W30" s="68" t="s">
        <v>1867</v>
      </c>
      <c r="X30" s="68" t="s">
        <v>1747</v>
      </c>
      <c r="Y30" s="68" t="s">
        <v>692</v>
      </c>
      <c r="Z30" s="68" t="s">
        <v>1711</v>
      </c>
    </row>
    <row r="31" customFormat="false" ht="40" hidden="false" customHeight="false" outlineLevel="0" collapsed="false">
      <c r="B31" s="68" t="s">
        <v>2781</v>
      </c>
      <c r="F31" s="68" t="s">
        <v>2269</v>
      </c>
      <c r="J31" s="68" t="s">
        <v>1339</v>
      </c>
      <c r="K31" s="68" t="s">
        <v>2576</v>
      </c>
      <c r="L31" s="68" t="s">
        <v>3605</v>
      </c>
      <c r="O31" s="68" t="s">
        <v>1531</v>
      </c>
      <c r="P31" s="68" t="s">
        <v>1328</v>
      </c>
      <c r="S31" s="68" t="s">
        <v>2263</v>
      </c>
      <c r="U31" s="68" t="s">
        <v>3955</v>
      </c>
      <c r="V31" s="68" t="s">
        <v>2105</v>
      </c>
      <c r="W31" s="68" t="s">
        <v>2547</v>
      </c>
      <c r="X31" s="68" t="s">
        <v>1751</v>
      </c>
      <c r="Y31" s="68" t="s">
        <v>709</v>
      </c>
      <c r="Z31" s="68" t="s">
        <v>1875</v>
      </c>
    </row>
    <row r="32" customFormat="false" ht="30.5" hidden="false" customHeight="false" outlineLevel="0" collapsed="false">
      <c r="B32" s="68" t="s">
        <v>3161</v>
      </c>
      <c r="F32" s="68" t="s">
        <v>2273</v>
      </c>
      <c r="J32" s="68" t="s">
        <v>1362</v>
      </c>
      <c r="K32" s="68" t="s">
        <v>2681</v>
      </c>
      <c r="L32" s="68" t="s">
        <v>3608</v>
      </c>
      <c r="O32" s="68" t="s">
        <v>1871</v>
      </c>
      <c r="P32" s="68" t="s">
        <v>1336</v>
      </c>
      <c r="S32" s="68" t="s">
        <v>2266</v>
      </c>
      <c r="U32" s="68" t="s">
        <v>3958</v>
      </c>
      <c r="V32" s="68" t="s">
        <v>2108</v>
      </c>
      <c r="W32" s="68" t="s">
        <v>2551</v>
      </c>
      <c r="X32" s="68" t="s">
        <v>1754</v>
      </c>
      <c r="Y32" s="68" t="s">
        <v>299</v>
      </c>
      <c r="Z32" s="68" t="s">
        <v>1879</v>
      </c>
    </row>
    <row r="33" customFormat="false" ht="49.5" hidden="false" customHeight="false" outlineLevel="0" collapsed="false">
      <c r="B33" s="68" t="s">
        <v>3169</v>
      </c>
      <c r="F33" s="68" t="s">
        <v>2356</v>
      </c>
      <c r="J33" s="68" t="s">
        <v>1432</v>
      </c>
      <c r="K33" s="68" t="s">
        <v>2797</v>
      </c>
      <c r="L33" s="68" t="s">
        <v>3612</v>
      </c>
      <c r="O33" s="68" t="s">
        <v>1893</v>
      </c>
      <c r="P33" s="68" t="s">
        <v>1573</v>
      </c>
      <c r="S33" s="68" t="s">
        <v>2383</v>
      </c>
      <c r="U33" s="68" t="s">
        <v>3961</v>
      </c>
      <c r="V33" s="68" t="s">
        <v>2111</v>
      </c>
      <c r="W33" s="68" t="s">
        <v>2554</v>
      </c>
      <c r="X33" s="68" t="s">
        <v>1760</v>
      </c>
      <c r="Y33" s="68" t="s">
        <v>727</v>
      </c>
      <c r="Z33" s="68" t="s">
        <v>1882</v>
      </c>
    </row>
    <row r="34" customFormat="false" ht="40" hidden="false" customHeight="false" outlineLevel="0" collapsed="false">
      <c r="B34" s="68" t="s">
        <v>3173</v>
      </c>
      <c r="F34" s="68" t="s">
        <v>2406</v>
      </c>
      <c r="J34" s="68" t="s">
        <v>1448</v>
      </c>
      <c r="K34" s="68" t="s">
        <v>2896</v>
      </c>
      <c r="L34" s="68" t="s">
        <v>3616</v>
      </c>
      <c r="O34" s="68" t="s">
        <v>1897</v>
      </c>
      <c r="P34" s="68" t="s">
        <v>1575</v>
      </c>
      <c r="S34" s="68" t="s">
        <v>2944</v>
      </c>
      <c r="U34" s="68" t="s">
        <v>3965</v>
      </c>
      <c r="V34" s="68" t="s">
        <v>2116</v>
      </c>
      <c r="W34" s="68" t="s">
        <v>2559</v>
      </c>
      <c r="X34" s="68" t="s">
        <v>1762</v>
      </c>
      <c r="Y34" s="68" t="s">
        <v>731</v>
      </c>
      <c r="Z34" s="68" t="s">
        <v>1944</v>
      </c>
    </row>
    <row r="35" customFormat="false" ht="49.5" hidden="false" customHeight="false" outlineLevel="0" collapsed="false">
      <c r="B35" s="68" t="s">
        <v>3176</v>
      </c>
      <c r="F35" s="68" t="s">
        <v>2415</v>
      </c>
      <c r="J35" s="68" t="s">
        <v>1463</v>
      </c>
      <c r="K35" s="68" t="s">
        <v>2910</v>
      </c>
      <c r="L35" s="68" t="s">
        <v>3620</v>
      </c>
      <c r="O35" s="68" t="s">
        <v>1926</v>
      </c>
      <c r="P35" s="68" t="s">
        <v>1578</v>
      </c>
      <c r="S35" s="68" t="s">
        <v>2948</v>
      </c>
      <c r="U35" s="68" t="s">
        <v>3968</v>
      </c>
      <c r="V35" s="68" t="s">
        <v>2119</v>
      </c>
      <c r="W35" s="68" t="s">
        <v>2976</v>
      </c>
      <c r="X35" s="68" t="s">
        <v>1765</v>
      </c>
      <c r="Y35" s="68" t="s">
        <v>780</v>
      </c>
      <c r="Z35" s="68" t="s">
        <v>2078</v>
      </c>
    </row>
    <row r="36" customFormat="false" ht="40" hidden="false" customHeight="false" outlineLevel="0" collapsed="false">
      <c r="B36" s="68" t="s">
        <v>3180</v>
      </c>
      <c r="F36" s="68" t="s">
        <v>2419</v>
      </c>
      <c r="J36" s="68" t="s">
        <v>1513</v>
      </c>
      <c r="K36" s="68" t="s">
        <v>2914</v>
      </c>
      <c r="L36" s="68" t="s">
        <v>3623</v>
      </c>
      <c r="O36" s="68" t="s">
        <v>2001</v>
      </c>
      <c r="P36" s="68" t="s">
        <v>1582</v>
      </c>
      <c r="S36" s="68" t="s">
        <v>2951</v>
      </c>
      <c r="U36" s="68" t="s">
        <v>3971</v>
      </c>
      <c r="V36" s="68" t="s">
        <v>2123</v>
      </c>
      <c r="W36" s="68" t="s">
        <v>2985</v>
      </c>
      <c r="X36" s="68" t="s">
        <v>1767</v>
      </c>
      <c r="Y36" s="68" t="s">
        <v>785</v>
      </c>
      <c r="Z36" s="68" t="s">
        <v>2159</v>
      </c>
    </row>
    <row r="37" customFormat="false" ht="40" hidden="false" customHeight="false" outlineLevel="0" collapsed="false">
      <c r="B37" s="68" t="s">
        <v>256</v>
      </c>
      <c r="F37" s="68" t="s">
        <v>2460</v>
      </c>
      <c r="J37" s="68" t="s">
        <v>1919</v>
      </c>
      <c r="K37" s="68" t="s">
        <v>2972</v>
      </c>
      <c r="L37" s="68" t="s">
        <v>3627</v>
      </c>
      <c r="O37" s="68" t="s">
        <v>2075</v>
      </c>
      <c r="P37" s="68" t="s">
        <v>1789</v>
      </c>
      <c r="S37" s="68" t="s">
        <v>2955</v>
      </c>
      <c r="U37" s="68" t="s">
        <v>3974</v>
      </c>
      <c r="V37" s="68" t="s">
        <v>2127</v>
      </c>
      <c r="W37" s="68" t="s">
        <v>3186</v>
      </c>
      <c r="X37" s="68" t="s">
        <v>1769</v>
      </c>
      <c r="Y37" s="68" t="s">
        <v>800</v>
      </c>
      <c r="Z37" s="68" t="s">
        <v>2163</v>
      </c>
    </row>
    <row r="38" customFormat="false" ht="49.5" hidden="false" customHeight="false" outlineLevel="0" collapsed="false">
      <c r="B38" s="68" t="s">
        <v>3312</v>
      </c>
      <c r="F38" s="68" t="s">
        <v>2504</v>
      </c>
      <c r="J38" s="68" t="s">
        <v>1930</v>
      </c>
      <c r="K38" s="68" t="s">
        <v>3042</v>
      </c>
      <c r="L38" s="68" t="s">
        <v>3631</v>
      </c>
      <c r="O38" s="68" t="s">
        <v>2093</v>
      </c>
      <c r="P38" s="68" t="s">
        <v>1909</v>
      </c>
      <c r="S38" s="68" t="s">
        <v>2958</v>
      </c>
      <c r="U38" s="68" t="s">
        <v>3984</v>
      </c>
      <c r="V38" s="68" t="s">
        <v>2130</v>
      </c>
      <c r="W38" s="68" t="s">
        <v>3190</v>
      </c>
      <c r="X38" s="68" t="s">
        <v>1774</v>
      </c>
      <c r="Y38" s="68" t="s">
        <v>840</v>
      </c>
      <c r="Z38" s="68" t="s">
        <v>2463</v>
      </c>
    </row>
    <row r="39" customFormat="false" ht="40" hidden="false" customHeight="false" outlineLevel="0" collapsed="false">
      <c r="B39" s="68" t="s">
        <v>3316</v>
      </c>
      <c r="F39" s="68" t="s">
        <v>2822</v>
      </c>
      <c r="J39" s="68" t="s">
        <v>2022</v>
      </c>
      <c r="K39" s="68" t="s">
        <v>3309</v>
      </c>
      <c r="L39" s="68" t="s">
        <v>3634</v>
      </c>
      <c r="O39" s="68" t="s">
        <v>2156</v>
      </c>
      <c r="P39" s="68" t="s">
        <v>1912</v>
      </c>
      <c r="S39" s="68" t="s">
        <v>3091</v>
      </c>
      <c r="U39" s="68" t="s">
        <v>3685</v>
      </c>
      <c r="V39" s="68" t="s">
        <v>2133</v>
      </c>
      <c r="W39" s="68" t="s">
        <v>3194</v>
      </c>
      <c r="X39" s="68" t="s">
        <v>1923</v>
      </c>
      <c r="Y39" s="68" t="s">
        <v>854</v>
      </c>
      <c r="Z39" s="68" t="s">
        <v>2466</v>
      </c>
    </row>
    <row r="40" customFormat="false" ht="40" hidden="false" customHeight="false" outlineLevel="0" collapsed="false">
      <c r="B40" s="68" t="s">
        <v>3319</v>
      </c>
      <c r="F40" s="68" t="s">
        <v>2940</v>
      </c>
      <c r="J40" s="68" t="s">
        <v>2039</v>
      </c>
      <c r="K40" s="68" t="s">
        <v>3410</v>
      </c>
      <c r="L40" s="68" t="s">
        <v>3637</v>
      </c>
      <c r="O40" s="68" t="s">
        <v>2193</v>
      </c>
      <c r="P40" s="68" t="s">
        <v>1916</v>
      </c>
      <c r="S40" s="68" t="s">
        <v>3423</v>
      </c>
      <c r="U40" s="68" t="s">
        <v>4002</v>
      </c>
      <c r="V40" s="68" t="s">
        <v>2136</v>
      </c>
      <c r="W40" s="68" t="s">
        <v>3197</v>
      </c>
      <c r="X40" s="68" t="s">
        <v>2190</v>
      </c>
      <c r="Y40" s="68" t="s">
        <v>859</v>
      </c>
      <c r="Z40" s="68" t="s">
        <v>2478</v>
      </c>
    </row>
    <row r="41" customFormat="false" ht="30.5" hidden="false" customHeight="false" outlineLevel="0" collapsed="false">
      <c r="B41" s="68" t="s">
        <v>3363</v>
      </c>
      <c r="F41" s="68" t="s">
        <v>2962</v>
      </c>
      <c r="J41" s="68" t="s">
        <v>2072</v>
      </c>
      <c r="K41" s="68" t="s">
        <v>3539</v>
      </c>
      <c r="L41" s="68" t="s">
        <v>3641</v>
      </c>
      <c r="O41" s="68" t="s">
        <v>2276</v>
      </c>
      <c r="P41" s="68" t="s">
        <v>2004</v>
      </c>
      <c r="S41" s="68" t="s">
        <v>3736</v>
      </c>
      <c r="U41" s="68" t="s">
        <v>4006</v>
      </c>
      <c r="V41" s="68" t="s">
        <v>2342</v>
      </c>
      <c r="W41" s="68" t="s">
        <v>3358</v>
      </c>
      <c r="X41" s="68" t="s">
        <v>2289</v>
      </c>
      <c r="Y41" s="68" t="s">
        <v>862</v>
      </c>
      <c r="Z41" s="68" t="s">
        <v>2482</v>
      </c>
    </row>
    <row r="42" customFormat="false" ht="40" hidden="false" customHeight="false" outlineLevel="0" collapsed="false">
      <c r="B42" s="68" t="s">
        <v>3485</v>
      </c>
      <c r="F42" s="68" t="s">
        <v>2966</v>
      </c>
      <c r="J42" s="68" t="s">
        <v>2167</v>
      </c>
      <c r="K42" s="68" t="s">
        <v>3567</v>
      </c>
      <c r="L42" s="68" t="s">
        <v>3644</v>
      </c>
      <c r="O42" s="68" t="s">
        <v>2280</v>
      </c>
      <c r="P42" s="68" t="s">
        <v>2008</v>
      </c>
      <c r="S42" s="68" t="s">
        <v>3741</v>
      </c>
      <c r="V42" s="68" t="s">
        <v>2427</v>
      </c>
      <c r="W42" s="68" t="s">
        <v>3523</v>
      </c>
      <c r="X42" s="68" t="s">
        <v>2349</v>
      </c>
      <c r="Y42" s="68" t="s">
        <v>871</v>
      </c>
      <c r="Z42" s="68" t="s">
        <v>2486</v>
      </c>
    </row>
    <row r="43" customFormat="false" ht="40" hidden="false" customHeight="false" outlineLevel="0" collapsed="false">
      <c r="B43" s="68" t="s">
        <v>3485</v>
      </c>
      <c r="F43" s="68" t="s">
        <v>3045</v>
      </c>
      <c r="J43" s="68" t="s">
        <v>2172</v>
      </c>
      <c r="K43" s="68" t="s">
        <v>3768</v>
      </c>
      <c r="L43" s="68" t="s">
        <v>3772</v>
      </c>
      <c r="O43" s="68" t="s">
        <v>2283</v>
      </c>
      <c r="P43" s="68" t="s">
        <v>2011</v>
      </c>
      <c r="S43" s="68" t="s">
        <v>3892</v>
      </c>
      <c r="V43" s="68" t="s">
        <v>2789</v>
      </c>
      <c r="W43" s="68" t="s">
        <v>3526</v>
      </c>
      <c r="X43" s="68" t="s">
        <v>1771</v>
      </c>
      <c r="Y43" s="68" t="s">
        <v>895</v>
      </c>
      <c r="Z43" s="68" t="s">
        <v>2516</v>
      </c>
    </row>
    <row r="44" customFormat="false" ht="40" hidden="false" customHeight="false" outlineLevel="0" collapsed="false">
      <c r="B44" s="68" t="s">
        <v>3491</v>
      </c>
      <c r="F44" s="68" t="s">
        <v>3049</v>
      </c>
      <c r="J44" s="68" t="s">
        <v>2175</v>
      </c>
      <c r="L44" s="68" t="s">
        <v>3790</v>
      </c>
      <c r="O44" s="68" t="s">
        <v>2286</v>
      </c>
      <c r="P44" s="68" t="s">
        <v>2018</v>
      </c>
      <c r="S44" s="68" t="s">
        <v>3895</v>
      </c>
      <c r="V44" s="68" t="s">
        <v>2793</v>
      </c>
      <c r="W44" s="68" t="s">
        <v>3530</v>
      </c>
      <c r="X44" s="68" t="s">
        <v>2346</v>
      </c>
      <c r="Y44" s="68" t="s">
        <v>905</v>
      </c>
      <c r="Z44" s="68" t="s">
        <v>2609</v>
      </c>
    </row>
    <row r="45" customFormat="false" ht="30.5" hidden="false" customHeight="false" outlineLevel="0" collapsed="false">
      <c r="B45" s="68" t="s">
        <v>3494</v>
      </c>
      <c r="F45" s="68" t="s">
        <v>3052</v>
      </c>
      <c r="J45" s="68" t="s">
        <v>2186</v>
      </c>
      <c r="L45" s="68" t="s">
        <v>3794</v>
      </c>
      <c r="O45" s="68" t="s">
        <v>2572</v>
      </c>
      <c r="P45" s="68" t="s">
        <v>2025</v>
      </c>
      <c r="S45" s="68" t="s">
        <v>3898</v>
      </c>
      <c r="V45" s="68" t="s">
        <v>2879</v>
      </c>
      <c r="W45" s="68" t="s">
        <v>3533</v>
      </c>
      <c r="X45" s="68" t="s">
        <v>2352</v>
      </c>
      <c r="Y45" s="68" t="s">
        <v>945</v>
      </c>
      <c r="Z45" s="68" t="s">
        <v>2613</v>
      </c>
    </row>
    <row r="46" customFormat="false" ht="40" hidden="false" customHeight="false" outlineLevel="0" collapsed="false">
      <c r="B46" s="68" t="s">
        <v>3498</v>
      </c>
      <c r="F46" s="68" t="s">
        <v>2411</v>
      </c>
      <c r="J46" s="68" t="s">
        <v>2201</v>
      </c>
      <c r="O46" s="68" t="s">
        <v>2645</v>
      </c>
      <c r="P46" s="68" t="s">
        <v>2028</v>
      </c>
      <c r="S46" s="68" t="s">
        <v>3901</v>
      </c>
      <c r="V46" s="68" t="s">
        <v>2884</v>
      </c>
      <c r="X46" s="68" t="s">
        <v>2490</v>
      </c>
      <c r="Y46" s="68" t="s">
        <v>952</v>
      </c>
      <c r="Z46" s="68" t="s">
        <v>2617</v>
      </c>
    </row>
    <row r="47" customFormat="false" ht="30.5" hidden="false" customHeight="false" outlineLevel="0" collapsed="false">
      <c r="B47" s="68" t="s">
        <v>3512</v>
      </c>
      <c r="F47" s="68" t="s">
        <v>2423</v>
      </c>
      <c r="J47" s="68" t="s">
        <v>2205</v>
      </c>
      <c r="O47" s="68" t="s">
        <v>2730</v>
      </c>
      <c r="P47" s="68" t="s">
        <v>2032</v>
      </c>
      <c r="S47" s="68" t="s">
        <v>3833</v>
      </c>
      <c r="V47" s="68" t="s">
        <v>3060</v>
      </c>
      <c r="X47" s="68" t="s">
        <v>2634</v>
      </c>
      <c r="Y47" s="68" t="s">
        <v>955</v>
      </c>
      <c r="Z47" s="68" t="s">
        <v>2665</v>
      </c>
    </row>
    <row r="48" customFormat="false" ht="30.5" hidden="false" customHeight="false" outlineLevel="0" collapsed="false">
      <c r="B48" s="68" t="s">
        <v>3519</v>
      </c>
      <c r="F48" s="68" t="s">
        <v>3095</v>
      </c>
      <c r="J48" s="68" t="s">
        <v>2450</v>
      </c>
      <c r="O48" s="68" t="s">
        <v>2766</v>
      </c>
      <c r="P48" s="68" t="s">
        <v>2317</v>
      </c>
      <c r="S48" s="68" t="s">
        <v>3937</v>
      </c>
      <c r="V48" s="68" t="s">
        <v>3685</v>
      </c>
      <c r="X48" s="68" t="s">
        <v>2845</v>
      </c>
      <c r="Y48" s="68" t="s">
        <v>979</v>
      </c>
      <c r="Z48" s="68" t="s">
        <v>2809</v>
      </c>
    </row>
    <row r="49" customFormat="false" ht="30.5" hidden="false" customHeight="false" outlineLevel="0" collapsed="false">
      <c r="B49" s="68" t="s">
        <v>3647</v>
      </c>
      <c r="F49" s="68" t="s">
        <v>3100</v>
      </c>
      <c r="J49" s="68" t="s">
        <v>2512</v>
      </c>
      <c r="O49" s="68" t="s">
        <v>2785</v>
      </c>
      <c r="P49" s="68" t="s">
        <v>2321</v>
      </c>
      <c r="V49" s="68" t="s">
        <v>3991</v>
      </c>
      <c r="X49" s="68" t="s">
        <v>2494</v>
      </c>
      <c r="Y49" s="68" t="s">
        <v>982</v>
      </c>
      <c r="Z49" s="68" t="s">
        <v>2813</v>
      </c>
    </row>
    <row r="50" customFormat="false" ht="40" hidden="false" customHeight="false" outlineLevel="0" collapsed="false">
      <c r="B50" s="68" t="s">
        <v>3663</v>
      </c>
      <c r="F50" s="68" t="s">
        <v>3104</v>
      </c>
      <c r="J50" s="68" t="s">
        <v>2568</v>
      </c>
      <c r="O50" s="68" t="s">
        <v>2801</v>
      </c>
      <c r="P50" s="68" t="s">
        <v>2624</v>
      </c>
      <c r="X50" s="68" t="s">
        <v>2497</v>
      </c>
      <c r="Y50" s="68" t="s">
        <v>985</v>
      </c>
      <c r="Z50" s="68" t="s">
        <v>2813</v>
      </c>
    </row>
    <row r="51" customFormat="false" ht="40" hidden="false" customHeight="false" outlineLevel="0" collapsed="false">
      <c r="B51" s="68" t="s">
        <v>3703</v>
      </c>
      <c r="F51" s="68" t="s">
        <v>3108</v>
      </c>
      <c r="J51" s="68" t="s">
        <v>2638</v>
      </c>
      <c r="O51" s="68" t="s">
        <v>2805</v>
      </c>
      <c r="P51" s="68" t="s">
        <v>2628</v>
      </c>
      <c r="X51" s="68" t="s">
        <v>2500</v>
      </c>
      <c r="Y51" s="68" t="s">
        <v>1002</v>
      </c>
      <c r="Z51" s="68" t="s">
        <v>2818</v>
      </c>
    </row>
    <row r="52" customFormat="false" ht="40" hidden="false" customHeight="false" outlineLevel="0" collapsed="false">
      <c r="B52" s="68" t="s">
        <v>3707</v>
      </c>
      <c r="F52" s="68" t="s">
        <v>3111</v>
      </c>
      <c r="J52" s="68" t="s">
        <v>2649</v>
      </c>
      <c r="O52" s="68" t="s">
        <v>2900</v>
      </c>
      <c r="P52" s="68" t="s">
        <v>2642</v>
      </c>
      <c r="X52" s="68" t="s">
        <v>2502</v>
      </c>
      <c r="Y52" s="68" t="s">
        <v>1006</v>
      </c>
      <c r="Z52" s="68" t="s">
        <v>3129</v>
      </c>
    </row>
    <row r="53" customFormat="false" ht="30.5" hidden="false" customHeight="false" outlineLevel="0" collapsed="false">
      <c r="B53" s="68" t="s">
        <v>3783</v>
      </c>
      <c r="F53" s="68" t="s">
        <v>3114</v>
      </c>
      <c r="J53" s="68" t="s">
        <v>2726</v>
      </c>
      <c r="O53" s="68" t="s">
        <v>2904</v>
      </c>
      <c r="P53" s="68" t="s">
        <v>2709</v>
      </c>
      <c r="X53" s="68" t="s">
        <v>2867</v>
      </c>
      <c r="Y53" s="68" t="s">
        <v>1010</v>
      </c>
      <c r="Z53" s="68" t="s">
        <v>3136</v>
      </c>
    </row>
    <row r="54" customFormat="false" ht="30.5" hidden="false" customHeight="false" outlineLevel="0" collapsed="false">
      <c r="B54" s="68" t="s">
        <v>3913</v>
      </c>
      <c r="F54" s="68" t="s">
        <v>3154</v>
      </c>
      <c r="J54" s="68" t="s">
        <v>2741</v>
      </c>
      <c r="O54" s="68" t="s">
        <v>2907</v>
      </c>
      <c r="P54" s="68" t="s">
        <v>2716</v>
      </c>
      <c r="X54" s="68" t="s">
        <v>2981</v>
      </c>
      <c r="Y54" s="68" t="s">
        <v>1013</v>
      </c>
      <c r="Z54" s="68" t="s">
        <v>3207</v>
      </c>
    </row>
    <row r="55" customFormat="false" ht="40" hidden="false" customHeight="false" outlineLevel="0" collapsed="false">
      <c r="B55" s="68" t="s">
        <v>3916</v>
      </c>
      <c r="F55" s="68" t="s">
        <v>3390</v>
      </c>
      <c r="J55" s="68" t="s">
        <v>2774</v>
      </c>
      <c r="O55" s="68" t="s">
        <v>2917</v>
      </c>
      <c r="P55" s="68" t="s">
        <v>3015</v>
      </c>
      <c r="X55" s="68" t="s">
        <v>3139</v>
      </c>
      <c r="Y55" s="68" t="s">
        <v>1125</v>
      </c>
      <c r="Z55" s="68" t="s">
        <v>3222</v>
      </c>
    </row>
    <row r="56" customFormat="false" ht="30.5" hidden="false" customHeight="false" outlineLevel="0" collapsed="false">
      <c r="F56" s="68" t="s">
        <v>3393</v>
      </c>
      <c r="J56" s="68" t="s">
        <v>2830</v>
      </c>
      <c r="O56" s="68" t="s">
        <v>2921</v>
      </c>
      <c r="P56" s="68" t="s">
        <v>3022</v>
      </c>
      <c r="X56" s="68" t="s">
        <v>3148</v>
      </c>
      <c r="Y56" s="68" t="s">
        <v>1129</v>
      </c>
      <c r="Z56" s="68" t="s">
        <v>3335</v>
      </c>
    </row>
    <row r="57" customFormat="false" ht="49.5" hidden="false" customHeight="false" outlineLevel="0" collapsed="false">
      <c r="F57" s="68" t="s">
        <v>3413</v>
      </c>
      <c r="J57" s="68" t="s">
        <v>2834</v>
      </c>
      <c r="O57" s="68" t="s">
        <v>2925</v>
      </c>
      <c r="P57" s="68" t="s">
        <v>3026</v>
      </c>
      <c r="X57" s="68" t="s">
        <v>3151</v>
      </c>
      <c r="Y57" s="68" t="s">
        <v>1151</v>
      </c>
      <c r="Z57" s="68" t="s">
        <v>3549</v>
      </c>
    </row>
    <row r="58" customFormat="false" ht="30.5" hidden="false" customHeight="false" outlineLevel="0" collapsed="false">
      <c r="F58" s="68" t="s">
        <v>3450</v>
      </c>
      <c r="J58" s="68" t="s">
        <v>2838</v>
      </c>
      <c r="O58" s="68" t="s">
        <v>2969</v>
      </c>
      <c r="P58" s="68" t="s">
        <v>3029</v>
      </c>
      <c r="X58" s="68" t="s">
        <v>3143</v>
      </c>
      <c r="Y58" s="68" t="s">
        <v>1155</v>
      </c>
    </row>
    <row r="59" customFormat="false" ht="30.5" hidden="false" customHeight="false" outlineLevel="0" collapsed="false">
      <c r="F59" s="68" t="s">
        <v>3470</v>
      </c>
      <c r="J59" s="68" t="s">
        <v>2842</v>
      </c>
      <c r="O59" s="68" t="s">
        <v>3219</v>
      </c>
      <c r="P59" s="68" t="s">
        <v>3157</v>
      </c>
      <c r="X59" s="68" t="s">
        <v>3474</v>
      </c>
      <c r="Y59" s="68" t="s">
        <v>1197</v>
      </c>
    </row>
    <row r="60" customFormat="false" ht="30.5" hidden="false" customHeight="false" outlineLevel="0" collapsed="false">
      <c r="F60" s="68" t="s">
        <v>3504</v>
      </c>
      <c r="J60" s="68" t="s">
        <v>2863</v>
      </c>
      <c r="O60" s="68" t="s">
        <v>3327</v>
      </c>
      <c r="P60" s="68" t="s">
        <v>3215</v>
      </c>
      <c r="X60" s="68" t="s">
        <v>3501</v>
      </c>
      <c r="Y60" s="68" t="s">
        <v>1212</v>
      </c>
    </row>
    <row r="61" customFormat="false" ht="30.5" hidden="false" customHeight="false" outlineLevel="0" collapsed="false">
      <c r="F61" s="68" t="s">
        <v>3745</v>
      </c>
      <c r="J61" s="68" t="s">
        <v>2892</v>
      </c>
      <c r="O61" s="68" t="s">
        <v>3331</v>
      </c>
      <c r="P61" s="68" t="s">
        <v>3242</v>
      </c>
      <c r="X61" s="68" t="s">
        <v>3681</v>
      </c>
      <c r="Y61" s="68" t="s">
        <v>1220</v>
      </c>
    </row>
    <row r="62" customFormat="false" ht="49.5" hidden="false" customHeight="false" outlineLevel="0" collapsed="false">
      <c r="J62" s="68" t="s">
        <v>2937</v>
      </c>
      <c r="O62" s="68" t="s">
        <v>3371</v>
      </c>
      <c r="P62" s="68" t="s">
        <v>3246</v>
      </c>
      <c r="Y62" s="68" t="s">
        <v>1223</v>
      </c>
    </row>
    <row r="63" customFormat="false" ht="40" hidden="false" customHeight="false" outlineLevel="0" collapsed="false">
      <c r="J63" s="68" t="s">
        <v>3125</v>
      </c>
      <c r="O63" s="68" t="s">
        <v>3375</v>
      </c>
      <c r="P63" s="68" t="s">
        <v>3253</v>
      </c>
      <c r="Y63" s="68" t="s">
        <v>1242</v>
      </c>
    </row>
    <row r="64" customFormat="false" ht="21" hidden="false" customHeight="false" outlineLevel="0" collapsed="false">
      <c r="J64" s="68" t="s">
        <v>3305</v>
      </c>
      <c r="O64" s="68" t="s">
        <v>3379</v>
      </c>
      <c r="P64" s="68" t="s">
        <v>3255</v>
      </c>
      <c r="Y64" s="68" t="s">
        <v>664</v>
      </c>
    </row>
    <row r="65" customFormat="false" ht="30.5" hidden="false" customHeight="false" outlineLevel="0" collapsed="false">
      <c r="J65" s="68" t="s">
        <v>3339</v>
      </c>
      <c r="O65" s="68" t="s">
        <v>3396</v>
      </c>
      <c r="P65" s="68" t="s">
        <v>3406</v>
      </c>
      <c r="Y65" s="68" t="s">
        <v>1312</v>
      </c>
    </row>
    <row r="66" customFormat="false" ht="49.5" hidden="false" customHeight="false" outlineLevel="0" collapsed="false">
      <c r="J66" s="68" t="s">
        <v>3343</v>
      </c>
      <c r="O66" s="68" t="s">
        <v>3399</v>
      </c>
      <c r="P66" s="68" t="s">
        <v>3508</v>
      </c>
      <c r="Y66" s="68" t="s">
        <v>1316</v>
      </c>
    </row>
    <row r="67" customFormat="false" ht="30.5" hidden="false" customHeight="false" outlineLevel="0" collapsed="false">
      <c r="J67" s="68" t="s">
        <v>3347</v>
      </c>
      <c r="O67" s="68" t="s">
        <v>3586</v>
      </c>
      <c r="P67" s="68" t="s">
        <v>3545</v>
      </c>
      <c r="Y67" s="68" t="s">
        <v>1359</v>
      </c>
    </row>
    <row r="68" customFormat="false" ht="21" hidden="false" customHeight="false" outlineLevel="0" collapsed="false">
      <c r="J68" s="68" t="s">
        <v>3383</v>
      </c>
      <c r="O68" s="68" t="s">
        <v>3666</v>
      </c>
      <c r="Y68" s="68" t="s">
        <v>1373</v>
      </c>
    </row>
    <row r="69" customFormat="false" ht="30.5" hidden="false" customHeight="false" outlineLevel="0" collapsed="false">
      <c r="J69" s="68" t="s">
        <v>3386</v>
      </c>
      <c r="O69" s="68" t="s">
        <v>3710</v>
      </c>
      <c r="Y69" s="68" t="s">
        <v>1380</v>
      </c>
    </row>
    <row r="70" customFormat="false" ht="30.5" hidden="false" customHeight="false" outlineLevel="0" collapsed="false">
      <c r="J70" s="68" t="s">
        <v>3467</v>
      </c>
      <c r="O70" s="68" t="s">
        <v>3714</v>
      </c>
      <c r="Y70" s="68" t="s">
        <v>1440</v>
      </c>
    </row>
    <row r="71" customFormat="false" ht="30.5" hidden="false" customHeight="false" outlineLevel="0" collapsed="false">
      <c r="J71" s="68" t="s">
        <v>3536</v>
      </c>
      <c r="O71" s="68" t="s">
        <v>3718</v>
      </c>
      <c r="Y71" s="68" t="s">
        <v>1444</v>
      </c>
    </row>
    <row r="72" customFormat="false" ht="30.5" hidden="false" customHeight="false" outlineLevel="0" collapsed="false">
      <c r="J72" s="68" t="s">
        <v>3582</v>
      </c>
      <c r="O72" s="68" t="s">
        <v>3721</v>
      </c>
      <c r="Y72" s="68" t="s">
        <v>1456</v>
      </c>
    </row>
    <row r="73" customFormat="false" ht="21" hidden="false" customHeight="false" outlineLevel="0" collapsed="false">
      <c r="J73" s="68" t="s">
        <v>3593</v>
      </c>
      <c r="O73" s="68" t="s">
        <v>3748</v>
      </c>
      <c r="Y73" s="68" t="s">
        <v>1460</v>
      </c>
    </row>
    <row r="74" customFormat="false" ht="30.5" hidden="false" customHeight="false" outlineLevel="0" collapsed="false">
      <c r="J74" s="68" t="s">
        <v>3655</v>
      </c>
      <c r="Y74" s="68" t="s">
        <v>1545</v>
      </c>
    </row>
    <row r="75" customFormat="false" ht="30.5" hidden="false" customHeight="false" outlineLevel="0" collapsed="false">
      <c r="J75" s="68" t="s">
        <v>3674</v>
      </c>
      <c r="Y75" s="68" t="s">
        <v>1549</v>
      </c>
    </row>
    <row r="76" customFormat="false" ht="21" hidden="false" customHeight="false" outlineLevel="0" collapsed="false">
      <c r="J76" s="68" t="s">
        <v>3677</v>
      </c>
      <c r="Y76" s="68" t="s">
        <v>1585</v>
      </c>
    </row>
    <row r="77" customFormat="false" ht="30.5" hidden="false" customHeight="false" outlineLevel="0" collapsed="false">
      <c r="J77" s="68" t="s">
        <v>3693</v>
      </c>
      <c r="Y77" s="68" t="s">
        <v>1604</v>
      </c>
    </row>
    <row r="78" customFormat="false" ht="21" hidden="false" customHeight="false" outlineLevel="0" collapsed="false">
      <c r="J78" s="68" t="s">
        <v>3729</v>
      </c>
      <c r="Y78" s="68" t="s">
        <v>1612</v>
      </c>
    </row>
    <row r="79" customFormat="false" ht="21" hidden="false" customHeight="false" outlineLevel="0" collapsed="false">
      <c r="J79" s="68" t="s">
        <v>3732</v>
      </c>
      <c r="Y79" s="68" t="s">
        <v>1612</v>
      </c>
    </row>
    <row r="80" customFormat="false" ht="30.5" hidden="false" customHeight="false" outlineLevel="0" collapsed="false">
      <c r="Y80" s="68" t="s">
        <v>1626</v>
      </c>
    </row>
    <row r="81" customFormat="false" ht="30.5" hidden="false" customHeight="false" outlineLevel="0" collapsed="false">
      <c r="Y81" s="68" t="s">
        <v>1638</v>
      </c>
    </row>
    <row r="82" customFormat="false" ht="21" hidden="false" customHeight="false" outlineLevel="0" collapsed="false">
      <c r="Y82" s="68" t="s">
        <v>1649</v>
      </c>
    </row>
    <row r="83" customFormat="false" ht="21" hidden="false" customHeight="false" outlineLevel="0" collapsed="false">
      <c r="Y83" s="68" t="s">
        <v>1703</v>
      </c>
    </row>
    <row r="84" customFormat="false" ht="21" hidden="false" customHeight="false" outlineLevel="0" collapsed="false">
      <c r="Y84" s="68" t="s">
        <v>1886</v>
      </c>
    </row>
    <row r="85" customFormat="false" ht="30.5" hidden="false" customHeight="false" outlineLevel="0" collapsed="false">
      <c r="Y85" s="68" t="s">
        <v>1889</v>
      </c>
    </row>
    <row r="86" customFormat="false" ht="21" hidden="false" customHeight="false" outlineLevel="0" collapsed="false">
      <c r="Y86" s="68" t="s">
        <v>1934</v>
      </c>
    </row>
    <row r="87" customFormat="false" ht="15" hidden="false" customHeight="false" outlineLevel="0" collapsed="false">
      <c r="Y87" s="68" t="s">
        <v>1940</v>
      </c>
    </row>
    <row r="88" customFormat="false" ht="30.5" hidden="false" customHeight="false" outlineLevel="0" collapsed="false">
      <c r="Y88" s="68" t="s">
        <v>1948</v>
      </c>
    </row>
    <row r="89" customFormat="false" ht="21" hidden="false" customHeight="false" outlineLevel="0" collapsed="false">
      <c r="Y89" s="68" t="s">
        <v>1952</v>
      </c>
    </row>
    <row r="90" customFormat="false" ht="30.5" hidden="false" customHeight="false" outlineLevel="0" collapsed="false">
      <c r="Y90" s="68" t="s">
        <v>1956</v>
      </c>
    </row>
    <row r="91" customFormat="false" ht="30.5" hidden="false" customHeight="false" outlineLevel="0" collapsed="false">
      <c r="Y91" s="68" t="s">
        <v>1960</v>
      </c>
    </row>
    <row r="92" customFormat="false" ht="30.5" hidden="false" customHeight="false" outlineLevel="0" collapsed="false">
      <c r="Y92" s="68" t="s">
        <v>1963</v>
      </c>
    </row>
    <row r="93" customFormat="false" ht="21" hidden="false" customHeight="false" outlineLevel="0" collapsed="false">
      <c r="Y93" s="68" t="s">
        <v>1966</v>
      </c>
    </row>
    <row r="94" customFormat="false" ht="30.5" hidden="false" customHeight="false" outlineLevel="0" collapsed="false">
      <c r="Y94" s="68" t="s">
        <v>1970</v>
      </c>
    </row>
    <row r="95" customFormat="false" ht="30.5" hidden="false" customHeight="false" outlineLevel="0" collapsed="false">
      <c r="Y95" s="68" t="s">
        <v>1973</v>
      </c>
    </row>
    <row r="96" customFormat="false" ht="21" hidden="false" customHeight="false" outlineLevel="0" collapsed="false">
      <c r="Y96" s="68" t="s">
        <v>1992</v>
      </c>
    </row>
    <row r="97" customFormat="false" ht="30.5" hidden="false" customHeight="false" outlineLevel="0" collapsed="false">
      <c r="Y97" s="68" t="s">
        <v>1997</v>
      </c>
    </row>
    <row r="98" customFormat="false" ht="21" hidden="false" customHeight="false" outlineLevel="0" collapsed="false">
      <c r="Y98" s="68" t="s">
        <v>2035</v>
      </c>
    </row>
    <row r="99" customFormat="false" ht="40" hidden="false" customHeight="false" outlineLevel="0" collapsed="false">
      <c r="Y99" s="68" t="s">
        <v>2294</v>
      </c>
    </row>
    <row r="100" customFormat="false" ht="15" hidden="false" customHeight="false" outlineLevel="0" collapsed="false">
      <c r="Y100" s="68" t="s">
        <v>2360</v>
      </c>
    </row>
    <row r="101" customFormat="false" ht="21" hidden="false" customHeight="false" outlineLevel="0" collapsed="false">
      <c r="Y101" s="68" t="s">
        <v>2442</v>
      </c>
    </row>
    <row r="102" customFormat="false" ht="40" hidden="false" customHeight="false" outlineLevel="0" collapsed="false">
      <c r="Y102" s="68" t="s">
        <v>2446</v>
      </c>
    </row>
    <row r="103" customFormat="false" ht="15" hidden="false" customHeight="false" outlineLevel="0" collapsed="false">
      <c r="Y103" s="68" t="s">
        <v>2454</v>
      </c>
    </row>
    <row r="104" customFormat="false" ht="30.5" hidden="false" customHeight="false" outlineLevel="0" collapsed="false">
      <c r="Y104" s="68" t="s">
        <v>2457</v>
      </c>
    </row>
    <row r="105" customFormat="false" ht="21" hidden="false" customHeight="false" outlineLevel="0" collapsed="false">
      <c r="Y105" s="68" t="s">
        <v>2470</v>
      </c>
    </row>
    <row r="106" customFormat="false" ht="40" hidden="false" customHeight="false" outlineLevel="0" collapsed="false">
      <c r="Y106" s="68" t="s">
        <v>2474</v>
      </c>
    </row>
    <row r="107" customFormat="false" ht="21" hidden="false" customHeight="false" outlineLevel="0" collapsed="false">
      <c r="Y107" s="68" t="s">
        <v>2564</v>
      </c>
    </row>
    <row r="108" customFormat="false" ht="21" hidden="false" customHeight="false" outlineLevel="0" collapsed="false">
      <c r="Y108" s="68" t="s">
        <v>2580</v>
      </c>
    </row>
    <row r="109" customFormat="false" ht="21" hidden="false" customHeight="false" outlineLevel="0" collapsed="false">
      <c r="Y109" s="68" t="s">
        <v>2584</v>
      </c>
    </row>
    <row r="110" customFormat="false" ht="21" hidden="false" customHeight="false" outlineLevel="0" collapsed="false">
      <c r="Y110" s="68" t="s">
        <v>2588</v>
      </c>
    </row>
    <row r="111" customFormat="false" ht="40" hidden="false" customHeight="false" outlineLevel="0" collapsed="false">
      <c r="Y111" s="68" t="s">
        <v>2592</v>
      </c>
    </row>
    <row r="112" customFormat="false" ht="21" hidden="false" customHeight="false" outlineLevel="0" collapsed="false">
      <c r="Y112" s="68" t="s">
        <v>2594</v>
      </c>
    </row>
    <row r="113" customFormat="false" ht="30.5" hidden="false" customHeight="false" outlineLevel="0" collapsed="false">
      <c r="Y113" s="68" t="s">
        <v>2653</v>
      </c>
    </row>
    <row r="114" customFormat="false" ht="40" hidden="false" customHeight="false" outlineLevel="0" collapsed="false">
      <c r="Y114" s="68" t="s">
        <v>2657</v>
      </c>
    </row>
    <row r="115" customFormat="false" ht="30.5" hidden="false" customHeight="false" outlineLevel="0" collapsed="false">
      <c r="Y115" s="68" t="s">
        <v>2673</v>
      </c>
    </row>
    <row r="116" customFormat="false" ht="21" hidden="false" customHeight="false" outlineLevel="0" collapsed="false">
      <c r="Y116" s="68" t="s">
        <v>2677</v>
      </c>
    </row>
    <row r="117" customFormat="false" ht="30.5" hidden="false" customHeight="false" outlineLevel="0" collapsed="false">
      <c r="Y117" s="68" t="s">
        <v>2685</v>
      </c>
    </row>
    <row r="118" customFormat="false" ht="30.5" hidden="false" customHeight="false" outlineLevel="0" collapsed="false">
      <c r="Y118" s="68" t="s">
        <v>2697</v>
      </c>
    </row>
    <row r="119" customFormat="false" ht="30.5" hidden="false" customHeight="false" outlineLevel="0" collapsed="false">
      <c r="Y119" s="68" t="s">
        <v>2701</v>
      </c>
    </row>
    <row r="120" customFormat="false" ht="21" hidden="false" customHeight="false" outlineLevel="0" collapsed="false">
      <c r="Y120" s="68" t="s">
        <v>2737</v>
      </c>
    </row>
    <row r="121" customFormat="false" ht="21" hidden="false" customHeight="false" outlineLevel="0" collapsed="false">
      <c r="Y121" s="68" t="s">
        <v>2669</v>
      </c>
    </row>
    <row r="122" customFormat="false" ht="30.5" hidden="false" customHeight="false" outlineLevel="0" collapsed="false">
      <c r="Y122" s="68" t="s">
        <v>2849</v>
      </c>
    </row>
    <row r="123" customFormat="false" ht="30.5" hidden="false" customHeight="false" outlineLevel="0" collapsed="false">
      <c r="Y123" s="68" t="s">
        <v>2853</v>
      </c>
    </row>
    <row r="124" customFormat="false" ht="30.5" hidden="false" customHeight="false" outlineLevel="0" collapsed="false">
      <c r="Y124" s="68" t="s">
        <v>2856</v>
      </c>
    </row>
    <row r="125" customFormat="false" ht="30.5" hidden="false" customHeight="false" outlineLevel="0" collapsed="false">
      <c r="Y125" s="68" t="s">
        <v>2860</v>
      </c>
    </row>
    <row r="126" customFormat="false" ht="21" hidden="false" customHeight="false" outlineLevel="0" collapsed="false">
      <c r="Y126" s="68" t="s">
        <v>2875</v>
      </c>
    </row>
    <row r="127" customFormat="false" ht="30.5" hidden="false" customHeight="false" outlineLevel="0" collapsed="false">
      <c r="Y127" s="68" t="s">
        <v>2888</v>
      </c>
    </row>
    <row r="128" customFormat="false" ht="21" hidden="false" customHeight="false" outlineLevel="0" collapsed="false">
      <c r="Y128" s="68" t="s">
        <v>2929</v>
      </c>
    </row>
    <row r="129" customFormat="false" ht="21" hidden="false" customHeight="false" outlineLevel="0" collapsed="false">
      <c r="Y129" s="68" t="s">
        <v>2933</v>
      </c>
    </row>
    <row r="130" customFormat="false" ht="30.5" hidden="false" customHeight="false" outlineLevel="0" collapsed="false">
      <c r="Y130" s="68" t="s">
        <v>2989</v>
      </c>
    </row>
    <row r="131" customFormat="false" ht="21" hidden="false" customHeight="false" outlineLevel="0" collapsed="false">
      <c r="Y131" s="68" t="s">
        <v>2993</v>
      </c>
    </row>
    <row r="132" customFormat="false" ht="30.5" hidden="false" customHeight="false" outlineLevel="0" collapsed="false">
      <c r="Y132" s="68" t="s">
        <v>2997</v>
      </c>
    </row>
    <row r="133" customFormat="false" ht="30.5" hidden="false" customHeight="false" outlineLevel="0" collapsed="false">
      <c r="Y133" s="68" t="s">
        <v>3000</v>
      </c>
    </row>
    <row r="134" customFormat="false" ht="30.5" hidden="false" customHeight="false" outlineLevel="0" collapsed="false">
      <c r="Y134" s="68" t="s">
        <v>3064</v>
      </c>
    </row>
    <row r="135" customFormat="false" ht="21" hidden="false" customHeight="false" outlineLevel="0" collapsed="false">
      <c r="Y135" s="68" t="s">
        <v>3133</v>
      </c>
    </row>
    <row r="136" customFormat="false" ht="21" hidden="false" customHeight="false" outlineLevel="0" collapsed="false">
      <c r="Y136" s="68" t="s">
        <v>3201</v>
      </c>
    </row>
    <row r="137" customFormat="false" ht="30.5" hidden="false" customHeight="false" outlineLevel="0" collapsed="false">
      <c r="Y137" s="68" t="s">
        <v>3203</v>
      </c>
    </row>
    <row r="138" customFormat="false" ht="21" hidden="false" customHeight="false" outlineLevel="0" collapsed="false">
      <c r="Y138" s="68" t="s">
        <v>3230</v>
      </c>
    </row>
    <row r="139" customFormat="false" ht="21" hidden="false" customHeight="false" outlineLevel="0" collapsed="false">
      <c r="Y139" s="68" t="s">
        <v>3233</v>
      </c>
    </row>
    <row r="140" customFormat="false" ht="21" hidden="false" customHeight="false" outlineLevel="0" collapsed="false">
      <c r="Y140" s="68" t="s">
        <v>3236</v>
      </c>
    </row>
    <row r="141" customFormat="false" ht="21" hidden="false" customHeight="false" outlineLevel="0" collapsed="false">
      <c r="Y141" s="68" t="s">
        <v>3323</v>
      </c>
    </row>
    <row r="142" customFormat="false" ht="30.5" hidden="false" customHeight="false" outlineLevel="0" collapsed="false">
      <c r="Y142" s="68" t="s">
        <v>3427</v>
      </c>
    </row>
    <row r="143" customFormat="false" ht="21" hidden="false" customHeight="false" outlineLevel="0" collapsed="false">
      <c r="Y143" s="68" t="s">
        <v>3431</v>
      </c>
    </row>
    <row r="144" customFormat="false" ht="21" hidden="false" customHeight="false" outlineLevel="0" collapsed="false">
      <c r="Y144" s="68" t="s">
        <v>3435</v>
      </c>
    </row>
    <row r="145" customFormat="false" ht="21" hidden="false" customHeight="false" outlineLevel="0" collapsed="false">
      <c r="Y145" s="68" t="s">
        <v>3478</v>
      </c>
    </row>
    <row r="146" customFormat="false" ht="30.5" hidden="false" customHeight="false" outlineLevel="0" collapsed="false">
      <c r="Y146" s="68" t="s">
        <v>3481</v>
      </c>
    </row>
    <row r="147" customFormat="false" ht="30.5" hidden="false" customHeight="false" outlineLevel="0" collapsed="false">
      <c r="Y147" s="68" t="s">
        <v>3553</v>
      </c>
    </row>
    <row r="148" customFormat="false" ht="15" hidden="false" customHeight="false" outlineLevel="0" collapsed="false">
      <c r="Y148" s="68" t="s">
        <v>3557</v>
      </c>
    </row>
    <row r="149" customFormat="false" ht="21" hidden="false" customHeight="false" outlineLevel="0" collapsed="false">
      <c r="Y149" s="68" t="s">
        <v>3590</v>
      </c>
    </row>
    <row r="150" customFormat="false" ht="30.5" hidden="false" customHeight="false" outlineLevel="0" collapsed="false">
      <c r="Y150" s="68" t="s">
        <v>3651</v>
      </c>
    </row>
    <row r="151" customFormat="false" ht="30.5" hidden="false" customHeight="false" outlineLevel="0" collapsed="false">
      <c r="Y151" s="68" t="s">
        <v>3659</v>
      </c>
    </row>
    <row r="152" customFormat="false" ht="30.5" hidden="false" customHeight="false" outlineLevel="0" collapsed="false">
      <c r="Y152" s="68" t="s">
        <v>3689</v>
      </c>
    </row>
    <row r="153" customFormat="false" ht="21" hidden="false" customHeight="false" outlineLevel="0" collapsed="false">
      <c r="Y153" s="68" t="s">
        <v>3725</v>
      </c>
    </row>
    <row r="154" customFormat="false" ht="30.5" hidden="false" customHeight="false" outlineLevel="0" collapsed="false">
      <c r="Y154" s="68" t="s">
        <v>3752</v>
      </c>
    </row>
    <row r="155" customFormat="false" ht="21" hidden="false" customHeight="false" outlineLevel="0" collapsed="false">
      <c r="Y155" s="68" t="s">
        <v>3760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3: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84765625" defaultRowHeight="11.25" customHeight="false" zeroHeight="false" outlineLevelRow="0" outlineLevelCol="0"/>
  <cols>
    <col collapsed="false" customWidth="false" hidden="false" outlineLevel="0" max="2" min="1" style="76" width="10.85"/>
    <col collapsed="false" customWidth="true" hidden="false" outlineLevel="0" max="3" min="3" style="76" width="21.71"/>
    <col collapsed="false" customWidth="true" hidden="false" outlineLevel="0" max="5" min="4" style="76" width="44.71"/>
    <col collapsed="false" customWidth="true" hidden="false" outlineLevel="0" max="6" min="6" style="76" width="32.29"/>
    <col collapsed="false" customWidth="false" hidden="false" outlineLevel="0" max="16384" min="7" style="76" width="10.85"/>
  </cols>
  <sheetData>
    <row r="3" customFormat="false" ht="11.25" hidden="false" customHeight="false" outlineLevel="0" collapsed="false">
      <c r="C3" s="70" t="s">
        <v>4023</v>
      </c>
      <c r="D3" s="70" t="s">
        <v>4024</v>
      </c>
      <c r="E3" s="70" t="s">
        <v>4025</v>
      </c>
      <c r="F3" s="70" t="s">
        <v>4018</v>
      </c>
    </row>
    <row r="4" customFormat="false" ht="11.25" hidden="false" customHeight="false" outlineLevel="0" collapsed="false">
      <c r="C4" s="71" t="n">
        <v>25</v>
      </c>
      <c r="D4" s="72" t="s">
        <v>4027</v>
      </c>
      <c r="E4" s="73"/>
      <c r="F4" s="73" t="str">
        <f aca="false">IF(D4="","",D4)&amp;IF(OR(E4="",D4=""),""," / ")&amp;E4</f>
        <v>Presidente Global</v>
      </c>
    </row>
    <row r="5" customFormat="false" ht="11.25" hidden="false" customHeight="false" outlineLevel="0" collapsed="false">
      <c r="C5" s="71" t="n">
        <v>24</v>
      </c>
      <c r="D5" s="72" t="s">
        <v>4029</v>
      </c>
      <c r="E5" s="73"/>
      <c r="F5" s="73" t="str">
        <f aca="false">IF(D5="","",D5)&amp;IF(OR(E5="",D5=""),""," / ")&amp;E5</f>
        <v>Presidente Regional</v>
      </c>
    </row>
    <row r="6" customFormat="false" ht="11.25" hidden="false" customHeight="false" outlineLevel="0" collapsed="false">
      <c r="C6" s="71" t="n">
        <v>23</v>
      </c>
      <c r="D6" s="72" t="s">
        <v>4031</v>
      </c>
      <c r="E6" s="73"/>
      <c r="F6" s="73" t="str">
        <f aca="false">IF(D6="","",D6)&amp;IF(OR(E6="",D6=""),""," / ")&amp;E6</f>
        <v>Presidente Pais</v>
      </c>
    </row>
    <row r="7" customFormat="false" ht="19" hidden="false" customHeight="false" outlineLevel="0" collapsed="false">
      <c r="C7" s="71" t="n">
        <v>22</v>
      </c>
      <c r="D7" s="72" t="s">
        <v>4033</v>
      </c>
      <c r="E7" s="73"/>
      <c r="F7" s="73" t="str">
        <f aca="false">IF(D7="","",D7)&amp;IF(OR(E7="",D7=""),""," / ")&amp;E7</f>
        <v> Vicepresidente  / Director Región  / Presidente  País</v>
      </c>
    </row>
    <row r="8" customFormat="false" ht="19" hidden="false" customHeight="false" outlineLevel="0" collapsed="false">
      <c r="C8" s="71" t="n">
        <v>21</v>
      </c>
      <c r="D8" s="72" t="s">
        <v>4033</v>
      </c>
      <c r="E8" s="73"/>
      <c r="F8" s="73" t="str">
        <f aca="false">IF(D8="","",D8)&amp;IF(OR(E8="",D8=""),""," / ")&amp;E8</f>
        <v> Vicepresidente  / Director Región  / Presidente  País</v>
      </c>
    </row>
    <row r="9" customFormat="false" ht="19" hidden="false" customHeight="false" outlineLevel="0" collapsed="false">
      <c r="C9" s="71" t="n">
        <v>20</v>
      </c>
      <c r="D9" s="72" t="s">
        <v>4033</v>
      </c>
      <c r="E9" s="73"/>
      <c r="F9" s="73" t="str">
        <f aca="false">IF(D9="","",D9)&amp;IF(OR(E9="",D9=""),""," / ")&amp;E9</f>
        <v> Vicepresidente  / Director Región  / Presidente  País</v>
      </c>
    </row>
    <row r="10" customFormat="false" ht="19" hidden="false" customHeight="false" outlineLevel="0" collapsed="false">
      <c r="C10" s="71" t="n">
        <v>19</v>
      </c>
      <c r="D10" s="72" t="s">
        <v>4037</v>
      </c>
      <c r="E10" s="73"/>
      <c r="F10" s="73" t="str">
        <f aca="false">IF(D10="","",D10)&amp;IF(OR(E10="",D10=""),""," / ")&amp;E10</f>
        <v>Gerente / Gerente Región / Gerente País / Gerente Unidad de Negocio</v>
      </c>
    </row>
    <row r="11" customFormat="false" ht="19" hidden="false" customHeight="false" outlineLevel="0" collapsed="false">
      <c r="C11" s="71" t="n">
        <v>18</v>
      </c>
      <c r="D11" s="72" t="s">
        <v>4037</v>
      </c>
      <c r="E11" s="73" t="s">
        <v>4039</v>
      </c>
      <c r="F11" s="73" t="str">
        <f aca="false">IF(D11="","",D11)&amp;IF(OR(E11="",D11=""),""," / ")&amp;E11</f>
        <v>Gerente / Gerente Región / Gerente País / Gerente Unidad de Negocio / Gerente de Cuenta</v>
      </c>
    </row>
    <row r="12" customFormat="false" ht="19" hidden="false" customHeight="false" outlineLevel="0" collapsed="false">
      <c r="C12" s="71" t="n">
        <v>17</v>
      </c>
      <c r="D12" s="72" t="s">
        <v>4037</v>
      </c>
      <c r="E12" s="73" t="s">
        <v>4039</v>
      </c>
      <c r="F12" s="73" t="str">
        <f aca="false">IF(D12="","",D12)&amp;IF(OR(E12="",D12=""),""," / ")&amp;E12</f>
        <v>Gerente / Gerente Región / Gerente País / Gerente Unidad de Negocio / Gerente de Cuenta</v>
      </c>
    </row>
    <row r="13" customFormat="false" ht="19" hidden="false" customHeight="false" outlineLevel="0" collapsed="false">
      <c r="C13" s="71" t="n">
        <v>16</v>
      </c>
      <c r="D13" s="72" t="s">
        <v>4037</v>
      </c>
      <c r="E13" s="73" t="s">
        <v>4039</v>
      </c>
      <c r="F13" s="73" t="str">
        <f aca="false">IF(D13="","",D13)&amp;IF(OR(E13="",D13=""),""," / ")&amp;E13</f>
        <v>Gerente / Gerente Región / Gerente País / Gerente Unidad de Negocio / Gerente de Cuenta</v>
      </c>
    </row>
    <row r="14" customFormat="false" ht="19" hidden="false" customHeight="false" outlineLevel="0" collapsed="false">
      <c r="C14" s="71" t="n">
        <v>15</v>
      </c>
      <c r="D14" s="72" t="s">
        <v>4043</v>
      </c>
      <c r="E14" s="72" t="s">
        <v>4044</v>
      </c>
      <c r="F14" s="73" t="str">
        <f aca="false">IF(D14="","",D14)&amp;IF(OR(E14="",D14=""),""," / ")&amp;E14</f>
        <v>Director / Jefe / Especialista Sr / Ingeniero / Ejecutivo de Cuenta</v>
      </c>
    </row>
    <row r="15" customFormat="false" ht="19" hidden="false" customHeight="false" outlineLevel="0" collapsed="false">
      <c r="C15" s="71" t="n">
        <v>14</v>
      </c>
      <c r="D15" s="72" t="s">
        <v>4043</v>
      </c>
      <c r="E15" s="72" t="s">
        <v>4044</v>
      </c>
      <c r="F15" s="73" t="str">
        <f aca="false">IF(D15="","",D15)&amp;IF(OR(E15="",D15=""),""," / ")&amp;E15</f>
        <v>Director / Jefe / Especialista Sr / Ingeniero / Ejecutivo de Cuenta</v>
      </c>
    </row>
    <row r="16" customFormat="false" ht="19" hidden="false" customHeight="false" outlineLevel="0" collapsed="false">
      <c r="C16" s="71" t="n">
        <v>13</v>
      </c>
      <c r="D16" s="72" t="s">
        <v>4043</v>
      </c>
      <c r="E16" s="72" t="s">
        <v>4044</v>
      </c>
      <c r="F16" s="73" t="str">
        <f aca="false">IF(D16="","",D16)&amp;IF(OR(E16="",D16=""),""," / ")&amp;E16</f>
        <v>Director / Jefe / Especialista Sr / Ingeniero / Ejecutivo de Cuenta</v>
      </c>
    </row>
    <row r="17" customFormat="false" ht="19" hidden="false" customHeight="false" outlineLevel="0" collapsed="false">
      <c r="C17" s="71" t="n">
        <v>12</v>
      </c>
      <c r="D17" s="72" t="s">
        <v>4043</v>
      </c>
      <c r="E17" s="72" t="s">
        <v>4048</v>
      </c>
      <c r="F17" s="73" t="str">
        <f aca="false">IF(D17="","",D17)&amp;IF(OR(E17="",D17=""),""," / ")&amp;E17</f>
        <v>Director / Jefe / Especialista / Ingeniero / Ejecutivo de Cuenta</v>
      </c>
    </row>
    <row r="18" customFormat="false" ht="19" hidden="false" customHeight="false" outlineLevel="0" collapsed="false">
      <c r="C18" s="71" t="n">
        <v>11</v>
      </c>
      <c r="D18" s="72" t="s">
        <v>4050</v>
      </c>
      <c r="E18" s="72" t="s">
        <v>4048</v>
      </c>
      <c r="F18" s="73" t="str">
        <f aca="false">IF(D18="","",D18)&amp;IF(OR(E18="",D18=""),""," / ")&amp;E18</f>
        <v>Coordinador / Especialista / Ingeniero / Ejecutivo de Cuenta</v>
      </c>
    </row>
    <row r="19" customFormat="false" ht="19" hidden="false" customHeight="false" outlineLevel="0" collapsed="false">
      <c r="C19" s="71" t="n">
        <v>10</v>
      </c>
      <c r="D19" s="72" t="s">
        <v>4050</v>
      </c>
      <c r="E19" s="72" t="s">
        <v>4048</v>
      </c>
      <c r="F19" s="73" t="str">
        <f aca="false">IF(D19="","",D19)&amp;IF(OR(E19="",D19=""),""," / ")&amp;E19</f>
        <v>Coordinador / Especialista / Ingeniero / Ejecutivo de Cuenta</v>
      </c>
    </row>
    <row r="20" customFormat="false" ht="19" hidden="false" customHeight="false" outlineLevel="0" collapsed="false">
      <c r="C20" s="71" t="n">
        <v>9</v>
      </c>
      <c r="D20" s="72" t="s">
        <v>4050</v>
      </c>
      <c r="E20" s="72" t="s">
        <v>4053</v>
      </c>
      <c r="F20" s="73" t="str">
        <f aca="false">IF(D20="","",D20)&amp;IF(OR(E20="",D20=""),""," / ")&amp;E20</f>
        <v>Coordinador / Analista Sr / Ingeniero / Asesor Comercial</v>
      </c>
    </row>
    <row r="21" customFormat="false" ht="19" hidden="false" customHeight="false" outlineLevel="0" collapsed="false">
      <c r="C21" s="71" t="n">
        <v>8</v>
      </c>
      <c r="D21" s="72" t="s">
        <v>4055</v>
      </c>
      <c r="E21" s="72" t="s">
        <v>4056</v>
      </c>
      <c r="F21" s="73" t="str">
        <f aca="false">IF(D21="","",D21)&amp;IF(OR(E21="",D21=""),""," / ")&amp;E21</f>
        <v>Supervisor / Analista Sr / Técnico / Operario Especializado / Ingeniero / Asesor Comercial</v>
      </c>
    </row>
    <row r="22" customFormat="false" ht="19" hidden="false" customHeight="false" outlineLevel="0" collapsed="false">
      <c r="C22" s="71" t="n">
        <v>7</v>
      </c>
      <c r="D22" s="72" t="s">
        <v>4055</v>
      </c>
      <c r="E22" s="72" t="s">
        <v>4058</v>
      </c>
      <c r="F22" s="73" t="str">
        <f aca="false">IF(D22="","",D22)&amp;IF(OR(E22="",D22=""),""," / ")&amp;E22</f>
        <v>Supervisor / Analista / Técnico / Operario Especializado / Ingeniero / Asesor Comercial</v>
      </c>
    </row>
    <row r="23" customFormat="false" ht="19" hidden="false" customHeight="false" outlineLevel="0" collapsed="false">
      <c r="C23" s="71" t="n">
        <v>6</v>
      </c>
      <c r="D23" s="72" t="s">
        <v>4055</v>
      </c>
      <c r="E23" s="72" t="s">
        <v>4060</v>
      </c>
      <c r="F23" s="73" t="str">
        <f aca="false">IF(D23="","",D23)&amp;IF(OR(E23="",D23=""),""," / ")&amp;E23</f>
        <v>Supervisor / Analista / Técnico / Operario Especializado / Asesor Comercial</v>
      </c>
    </row>
    <row r="24" customFormat="false" ht="19" hidden="false" customHeight="false" outlineLevel="0" collapsed="false">
      <c r="C24" s="71" t="n">
        <v>5</v>
      </c>
      <c r="D24" s="73"/>
      <c r="E24" s="72" t="s">
        <v>4062</v>
      </c>
      <c r="F24" s="73" t="str">
        <f aca="false">IF(D24="","",D24)&amp;IF(OR(E24="",D24=""),""," / ")&amp;E24</f>
        <v>Auxiliar/Operario III / Representante de Ventas Sr</v>
      </c>
    </row>
    <row r="25" customFormat="false" ht="19" hidden="false" customHeight="false" outlineLevel="0" collapsed="false">
      <c r="C25" s="71" t="n">
        <v>4</v>
      </c>
      <c r="D25" s="73"/>
      <c r="E25" s="72" t="s">
        <v>4064</v>
      </c>
      <c r="F25" s="73" t="str">
        <f aca="false">IF(D25="","",D25)&amp;IF(OR(E25="",D25=""),""," / ")&amp;E25</f>
        <v>Auxiliar / Operario II / Representante de Ventas Sr</v>
      </c>
    </row>
    <row r="26" customFormat="false" ht="11.25" hidden="false" customHeight="false" outlineLevel="0" collapsed="false">
      <c r="C26" s="71" t="n">
        <v>3</v>
      </c>
      <c r="D26" s="73"/>
      <c r="E26" s="72" t="s">
        <v>4066</v>
      </c>
      <c r="F26" s="73" t="str">
        <f aca="false">IF(D26="","",D26)&amp;IF(OR(E26="",D26=""),""," / ")&amp;E26</f>
        <v>Auxiliar / Operario I / Representante de Ventas Jr</v>
      </c>
    </row>
    <row r="27" customFormat="false" ht="11.25" hidden="false" customHeight="false" outlineLevel="0" collapsed="false">
      <c r="C27" s="71" t="n">
        <v>2</v>
      </c>
      <c r="D27" s="74"/>
      <c r="E27" s="72" t="s">
        <v>4066</v>
      </c>
      <c r="F27" s="73" t="str">
        <f aca="false">IF(D27="","",D27)&amp;IF(OR(E27="",D27=""),""," / ")&amp;E27</f>
        <v>Auxiliar / Operario I / Representante de Ventas Jr</v>
      </c>
    </row>
    <row r="28" customFormat="false" ht="11.25" hidden="false" customHeight="false" outlineLevel="0" collapsed="false">
      <c r="C28" s="71" t="n">
        <v>1</v>
      </c>
      <c r="D28" s="74"/>
      <c r="E28" s="75" t="s">
        <v>4069</v>
      </c>
      <c r="F28" s="73" t="str">
        <f aca="false">IF(D28="","",D28)&amp;IF(OR(E28="",D28=""),""," / ")&amp;E28</f>
        <v>Operario I / Ayudante</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74083085F3E4741954568EF2FEF3C05" ma:contentTypeVersion="3" ma:contentTypeDescription="Crear nuevo documento." ma:contentTypeScope="" ma:versionID="cfbea24897c5d025d673dc922510abdf">
  <xsd:schema xmlns:xsd="http://www.w3.org/2001/XMLSchema" xmlns:xs="http://www.w3.org/2001/XMLSchema" xmlns:p="http://schemas.microsoft.com/office/2006/metadata/properties" xmlns:ns2="629f2d2f-b6b6-44db-ab00-3edb937bbcef" targetNamespace="http://schemas.microsoft.com/office/2006/metadata/properties" ma:root="true" ma:fieldsID="5a6fdb78d685c65998dae7f1c3d40807" ns2:_="">
    <xsd:import namespace="629f2d2f-b6b6-44db-ab00-3edb937bbce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9f2d2f-b6b6-44db-ab00-3edb937bbc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827C678-D200-439C-8B6A-262146EA48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9f2d2f-b6b6-44db-ab00-3edb937bbc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0AB1B5-9AF1-4BF0-BEE8-9EEB11779574}">
  <ds:schemaRefs>
    <ds:schemaRef ds:uri="http://schemas.microsoft.com/sharepoint/v3/contenttype/forms"/>
  </ds:schemaRefs>
</ds:datastoreItem>
</file>

<file path=customXml/itemProps3.xml><?xml version="1.0" encoding="utf-8"?>
<ds:datastoreItem xmlns:ds="http://schemas.openxmlformats.org/officeDocument/2006/customXml" ds:itemID="{A046CF70-A333-4EE9-BA96-9C51ED3EEE34}">
  <ds:schemaRefs>
    <ds:schemaRef ds:uri="629f2d2f-b6b6-44db-ab00-3edb937bbcef"/>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2022-03-16T19:43:46Z</dcterms:created>
  <dc:creator>Usuario</dc:creator>
  <dc:description/>
  <dc:language>es-CO</dc:language>
  <cp:lastModifiedBy/>
  <dcterms:modified xsi:type="dcterms:W3CDTF">2026-04-24T19:45:11Z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0x010100274083085F3E4741954568EF2FEF3C05</vt:lpwstr>
  </property>
  <property fmtid="{D5CDD505-2E9C-101B-9397-08002B2CF9AE}" pid="3" name="MediaServiceImageTags">
    <vt:lpwstr/>
  </property>
</Properties>
</file>